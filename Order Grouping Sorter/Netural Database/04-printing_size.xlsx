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showInkAnnotation="0" autoCompressPictures="0"/>
  <xr:revisionPtr revIDLastSave="0" documentId="8_{88D43325-FE05-4402-A8C2-48AF0BFAE17D}" xr6:coauthVersionLast="47" xr6:coauthVersionMax="47" xr10:uidLastSave="{00000000-0000-0000-0000-000000000000}"/>
  <bookViews>
    <workbookView xWindow="0" yWindow="0" windowWidth="0" windowHeight="0" firstSheet="2" activeTab="2" xr2:uid="{00000000-000D-0000-FFFF-FFFF00000000}"/>
  </bookViews>
  <sheets>
    <sheet name="00-README" sheetId="1" r:id="rId1"/>
    <sheet name="01-Process Controls" sheetId="2" r:id="rId2"/>
    <sheet name="02-Printing Size" sheetId="3" r:id="rId3"/>
    <sheet name="03-POD Product Guide" sheetId="4" r:id="rId4"/>
    <sheet name="07-Paper Priority" sheetId="8" r:id="rId5"/>
    <sheet name="04-Variant Rules" sheetId="5" r:id="rId6"/>
    <sheet name="05-ISO Reference" sheetId="6" r:id="rId7"/>
    <sheet name="06-Audit" sheetId="7" r:id="rId8"/>
    <sheet name="99-Original Backup" sheetId="9" r:id="rId9"/>
  </sheets>
  <definedNames>
    <definedName name="POD_Paper_Codes">'07-Paper Priority'!$B$5:$B$26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64" i="3" l="1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I26" i="8"/>
  <c r="F26" i="8"/>
  <c r="D26" i="8"/>
  <c r="C26" i="8"/>
  <c r="E26" i="8" s="1"/>
  <c r="I25" i="8"/>
  <c r="F25" i="8"/>
  <c r="D25" i="8"/>
  <c r="C25" i="8"/>
  <c r="E25" i="8" s="1"/>
  <c r="I24" i="8"/>
  <c r="F24" i="8"/>
  <c r="D24" i="8"/>
  <c r="C24" i="8"/>
  <c r="E24" i="8" s="1"/>
  <c r="I23" i="8"/>
  <c r="F23" i="8"/>
  <c r="D23" i="8"/>
  <c r="C23" i="8"/>
  <c r="E23" i="8" s="1"/>
  <c r="I22" i="8"/>
  <c r="F22" i="8"/>
  <c r="D22" i="8"/>
  <c r="C22" i="8"/>
  <c r="E22" i="8" s="1"/>
  <c r="I21" i="8"/>
  <c r="F21" i="8"/>
  <c r="D21" i="8"/>
  <c r="C21" i="8"/>
  <c r="E21" i="8" s="1"/>
  <c r="I20" i="8"/>
  <c r="F20" i="8"/>
  <c r="D20" i="8"/>
  <c r="C20" i="8"/>
  <c r="E20" i="8" s="1"/>
  <c r="I19" i="8"/>
  <c r="F19" i="8"/>
  <c r="D19" i="8"/>
  <c r="C19" i="8"/>
  <c r="E19" i="8" s="1"/>
  <c r="I18" i="8"/>
  <c r="F18" i="8"/>
  <c r="D18" i="8"/>
  <c r="C18" i="8"/>
  <c r="E18" i="8" s="1"/>
  <c r="I17" i="8"/>
  <c r="F17" i="8"/>
  <c r="D17" i="8"/>
  <c r="C17" i="8"/>
  <c r="E17" i="8" s="1"/>
  <c r="I16" i="8"/>
  <c r="F16" i="8"/>
  <c r="D16" i="8"/>
  <c r="C16" i="8"/>
  <c r="E16" i="8" s="1"/>
  <c r="I15" i="8"/>
  <c r="F15" i="8"/>
  <c r="D15" i="8"/>
  <c r="C15" i="8"/>
  <c r="E15" i="8" s="1"/>
  <c r="I14" i="8"/>
  <c r="F14" i="8"/>
  <c r="D14" i="8"/>
  <c r="C14" i="8"/>
  <c r="E14" i="8" s="1"/>
  <c r="I13" i="8"/>
  <c r="F13" i="8"/>
  <c r="D13" i="8"/>
  <c r="C13" i="8"/>
  <c r="E13" i="8" s="1"/>
  <c r="I12" i="8"/>
  <c r="F12" i="8"/>
  <c r="D12" i="8"/>
  <c r="C12" i="8"/>
  <c r="E12" i="8" s="1"/>
  <c r="I11" i="8"/>
  <c r="F11" i="8"/>
  <c r="D11" i="8"/>
  <c r="C11" i="8"/>
  <c r="E11" i="8" s="1"/>
  <c r="I10" i="8"/>
  <c r="F10" i="8"/>
  <c r="D10" i="8"/>
  <c r="C10" i="8"/>
  <c r="E10" i="8" s="1"/>
  <c r="I9" i="8"/>
  <c r="F9" i="8"/>
  <c r="D9" i="8"/>
  <c r="C9" i="8"/>
  <c r="E9" i="8" s="1"/>
  <c r="I8" i="8"/>
  <c r="F8" i="8"/>
  <c r="D8" i="8"/>
  <c r="C8" i="8"/>
  <c r="E8" i="8" s="1"/>
  <c r="I7" i="8"/>
  <c r="F7" i="8"/>
  <c r="D7" i="8"/>
  <c r="C7" i="8"/>
  <c r="E7" i="8" s="1"/>
  <c r="I6" i="8"/>
  <c r="F6" i="8"/>
  <c r="D6" i="8"/>
  <c r="C6" i="8"/>
  <c r="E6" i="8" s="1"/>
  <c r="I5" i="8"/>
  <c r="F5" i="8"/>
  <c r="D5" i="8"/>
  <c r="C5" i="8"/>
  <c r="E5" i="8" s="1"/>
  <c r="C35" i="7"/>
  <c r="D35" i="7" s="1"/>
  <c r="H31" i="7"/>
  <c r="F31" i="7"/>
  <c r="E31" i="7"/>
  <c r="D31" i="7"/>
  <c r="C31" i="7"/>
  <c r="B31" i="7"/>
  <c r="H30" i="7"/>
  <c r="F30" i="7"/>
  <c r="E30" i="7"/>
  <c r="D30" i="7"/>
  <c r="C30" i="7"/>
  <c r="B30" i="7"/>
  <c r="H29" i="7"/>
  <c r="F29" i="7"/>
  <c r="E29" i="7"/>
  <c r="D29" i="7"/>
  <c r="C29" i="7"/>
  <c r="B29" i="7"/>
  <c r="B22" i="7"/>
  <c r="C21" i="7"/>
  <c r="B21" i="7"/>
  <c r="B20" i="7"/>
  <c r="B19" i="7"/>
  <c r="F18" i="7"/>
  <c r="E18" i="7"/>
  <c r="D18" i="7"/>
  <c r="C18" i="7"/>
  <c r="B18" i="7"/>
  <c r="C17" i="7"/>
  <c r="B17" i="7"/>
  <c r="B16" i="7"/>
  <c r="C13" i="7"/>
  <c r="D13" i="7" s="1"/>
  <c r="N238" i="4"/>
  <c r="L238" i="4"/>
  <c r="J238" i="4"/>
  <c r="H238" i="4"/>
  <c r="B238" i="4"/>
  <c r="AN235" i="4"/>
  <c r="AM235" i="4"/>
  <c r="AL235" i="4"/>
  <c r="AK235" i="4"/>
  <c r="AJ235" i="4"/>
  <c r="AI235" i="4"/>
  <c r="AH235" i="4"/>
  <c r="AG235" i="4"/>
  <c r="AF235" i="4"/>
  <c r="AE235" i="4"/>
  <c r="AD235" i="4"/>
  <c r="AC235" i="4"/>
  <c r="AB235" i="4"/>
  <c r="AA235" i="4"/>
  <c r="Z235" i="4"/>
  <c r="Y235" i="4"/>
  <c r="X235" i="4"/>
  <c r="W235" i="4"/>
  <c r="V235" i="4"/>
  <c r="U235" i="4"/>
  <c r="T235" i="4"/>
  <c r="S235" i="4"/>
  <c r="K235" i="4"/>
  <c r="AN234" i="4"/>
  <c r="AM234" i="4"/>
  <c r="AL234" i="4"/>
  <c r="AK234" i="4"/>
  <c r="AJ234" i="4"/>
  <c r="AI234" i="4"/>
  <c r="AH234" i="4"/>
  <c r="AG234" i="4"/>
  <c r="AF234" i="4"/>
  <c r="AE234" i="4"/>
  <c r="AD234" i="4"/>
  <c r="AC234" i="4"/>
  <c r="AB234" i="4"/>
  <c r="AA234" i="4"/>
  <c r="Z234" i="4"/>
  <c r="Y234" i="4"/>
  <c r="X234" i="4"/>
  <c r="W234" i="4"/>
  <c r="V234" i="4"/>
  <c r="U234" i="4"/>
  <c r="T234" i="4"/>
  <c r="S234" i="4"/>
  <c r="K234" i="4"/>
  <c r="AN233" i="4"/>
  <c r="AM233" i="4"/>
  <c r="AL233" i="4"/>
  <c r="AK233" i="4"/>
  <c r="AJ233" i="4"/>
  <c r="AI233" i="4"/>
  <c r="AH233" i="4"/>
  <c r="AG233" i="4"/>
  <c r="AF233" i="4"/>
  <c r="AE233" i="4"/>
  <c r="AD233" i="4"/>
  <c r="AC233" i="4"/>
  <c r="AB233" i="4"/>
  <c r="AA233" i="4"/>
  <c r="Z233" i="4"/>
  <c r="Y233" i="4"/>
  <c r="X233" i="4"/>
  <c r="W233" i="4"/>
  <c r="V233" i="4"/>
  <c r="U233" i="4"/>
  <c r="T233" i="4"/>
  <c r="S233" i="4"/>
  <c r="K233" i="4"/>
  <c r="AN232" i="4"/>
  <c r="AM232" i="4"/>
  <c r="AL232" i="4"/>
  <c r="AK232" i="4"/>
  <c r="AJ232" i="4"/>
  <c r="AI232" i="4"/>
  <c r="AH232" i="4"/>
  <c r="AG232" i="4"/>
  <c r="AF232" i="4"/>
  <c r="AE232" i="4"/>
  <c r="AD232" i="4"/>
  <c r="AC232" i="4"/>
  <c r="AB232" i="4"/>
  <c r="AA232" i="4"/>
  <c r="Z232" i="4"/>
  <c r="Y232" i="4"/>
  <c r="X232" i="4"/>
  <c r="W232" i="4"/>
  <c r="V232" i="4"/>
  <c r="U232" i="4"/>
  <c r="T232" i="4"/>
  <c r="S232" i="4"/>
  <c r="K232" i="4"/>
  <c r="AN231" i="4"/>
  <c r="AM231" i="4"/>
  <c r="AL231" i="4"/>
  <c r="AK231" i="4"/>
  <c r="AJ231" i="4"/>
  <c r="AI231" i="4"/>
  <c r="AH231" i="4"/>
  <c r="AG231" i="4"/>
  <c r="AF231" i="4"/>
  <c r="AE231" i="4"/>
  <c r="AD231" i="4"/>
  <c r="AC231" i="4"/>
  <c r="AB231" i="4"/>
  <c r="AA231" i="4"/>
  <c r="Z231" i="4"/>
  <c r="Y231" i="4"/>
  <c r="X231" i="4"/>
  <c r="W231" i="4"/>
  <c r="V231" i="4"/>
  <c r="U231" i="4"/>
  <c r="T231" i="4"/>
  <c r="S231" i="4"/>
  <c r="K231" i="4"/>
  <c r="AN230" i="4"/>
  <c r="AM230" i="4"/>
  <c r="AL230" i="4"/>
  <c r="AK230" i="4"/>
  <c r="AJ230" i="4"/>
  <c r="AI230" i="4"/>
  <c r="AH230" i="4"/>
  <c r="AG230" i="4"/>
  <c r="AF230" i="4"/>
  <c r="AE230" i="4"/>
  <c r="AD230" i="4"/>
  <c r="AC230" i="4"/>
  <c r="AB230" i="4"/>
  <c r="AA230" i="4"/>
  <c r="Z230" i="4"/>
  <c r="Y230" i="4"/>
  <c r="X230" i="4"/>
  <c r="W230" i="4"/>
  <c r="V230" i="4"/>
  <c r="U230" i="4"/>
  <c r="T230" i="4"/>
  <c r="S230" i="4"/>
  <c r="K230" i="4"/>
  <c r="AN229" i="4"/>
  <c r="AM229" i="4"/>
  <c r="AL229" i="4"/>
  <c r="AK229" i="4"/>
  <c r="AJ229" i="4"/>
  <c r="AI229" i="4"/>
  <c r="AH229" i="4"/>
  <c r="AG229" i="4"/>
  <c r="AF229" i="4"/>
  <c r="AE229" i="4"/>
  <c r="AD229" i="4"/>
  <c r="AC229" i="4"/>
  <c r="AB229" i="4"/>
  <c r="AA229" i="4"/>
  <c r="Z229" i="4"/>
  <c r="Y229" i="4"/>
  <c r="X229" i="4"/>
  <c r="W229" i="4"/>
  <c r="V229" i="4"/>
  <c r="U229" i="4"/>
  <c r="T229" i="4"/>
  <c r="S229" i="4"/>
  <c r="K229" i="4"/>
  <c r="AN228" i="4"/>
  <c r="AM228" i="4"/>
  <c r="AL228" i="4"/>
  <c r="AK228" i="4"/>
  <c r="AJ228" i="4"/>
  <c r="AI228" i="4"/>
  <c r="AH228" i="4"/>
  <c r="AG228" i="4"/>
  <c r="AF228" i="4"/>
  <c r="AE228" i="4"/>
  <c r="AD228" i="4"/>
  <c r="AC228" i="4"/>
  <c r="AB228" i="4"/>
  <c r="AA228" i="4"/>
  <c r="Z228" i="4"/>
  <c r="Y228" i="4"/>
  <c r="X228" i="4"/>
  <c r="W228" i="4"/>
  <c r="V228" i="4"/>
  <c r="U228" i="4"/>
  <c r="T228" i="4"/>
  <c r="S228" i="4"/>
  <c r="K228" i="4"/>
  <c r="AN227" i="4"/>
  <c r="AM227" i="4"/>
  <c r="AL227" i="4"/>
  <c r="AK227" i="4"/>
  <c r="AJ227" i="4"/>
  <c r="AI227" i="4"/>
  <c r="AH227" i="4"/>
  <c r="AG227" i="4"/>
  <c r="AF227" i="4"/>
  <c r="AE227" i="4"/>
  <c r="AD227" i="4"/>
  <c r="AC227" i="4"/>
  <c r="AB227" i="4"/>
  <c r="AA227" i="4"/>
  <c r="Z227" i="4"/>
  <c r="Y227" i="4"/>
  <c r="X227" i="4"/>
  <c r="W227" i="4"/>
  <c r="V227" i="4"/>
  <c r="U227" i="4"/>
  <c r="T227" i="4"/>
  <c r="S227" i="4"/>
  <c r="K227" i="4"/>
  <c r="AN226" i="4"/>
  <c r="AM226" i="4"/>
  <c r="AL226" i="4"/>
  <c r="AK226" i="4"/>
  <c r="AJ226" i="4"/>
  <c r="AI226" i="4"/>
  <c r="AH226" i="4"/>
  <c r="AG226" i="4"/>
  <c r="AF226" i="4"/>
  <c r="AE226" i="4"/>
  <c r="AD226" i="4"/>
  <c r="AC226" i="4"/>
  <c r="AB226" i="4"/>
  <c r="AA226" i="4"/>
  <c r="Z226" i="4"/>
  <c r="Y226" i="4"/>
  <c r="X226" i="4"/>
  <c r="W226" i="4"/>
  <c r="V226" i="4"/>
  <c r="U226" i="4"/>
  <c r="T226" i="4"/>
  <c r="S226" i="4"/>
  <c r="K226" i="4"/>
  <c r="AN225" i="4"/>
  <c r="AM225" i="4"/>
  <c r="AL225" i="4"/>
  <c r="AK225" i="4"/>
  <c r="AJ225" i="4"/>
  <c r="AI225" i="4"/>
  <c r="AH225" i="4"/>
  <c r="AG225" i="4"/>
  <c r="AF225" i="4"/>
  <c r="AE225" i="4"/>
  <c r="AD225" i="4"/>
  <c r="AC225" i="4"/>
  <c r="AB225" i="4"/>
  <c r="AA225" i="4"/>
  <c r="Z225" i="4"/>
  <c r="Y225" i="4"/>
  <c r="X225" i="4"/>
  <c r="W225" i="4"/>
  <c r="V225" i="4"/>
  <c r="U225" i="4"/>
  <c r="T225" i="4"/>
  <c r="S225" i="4"/>
  <c r="K225" i="4"/>
  <c r="AN224" i="4"/>
  <c r="AM224" i="4"/>
  <c r="AL224" i="4"/>
  <c r="AK224" i="4"/>
  <c r="AJ224" i="4"/>
  <c r="AI224" i="4"/>
  <c r="AH224" i="4"/>
  <c r="AG224" i="4"/>
  <c r="AF224" i="4"/>
  <c r="AE224" i="4"/>
  <c r="AD224" i="4"/>
  <c r="AC224" i="4"/>
  <c r="AB224" i="4"/>
  <c r="AA224" i="4"/>
  <c r="Z224" i="4"/>
  <c r="Y224" i="4"/>
  <c r="X224" i="4"/>
  <c r="W224" i="4"/>
  <c r="V224" i="4"/>
  <c r="U224" i="4"/>
  <c r="T224" i="4"/>
  <c r="S224" i="4"/>
  <c r="K224" i="4"/>
  <c r="AN223" i="4"/>
  <c r="AM223" i="4"/>
  <c r="AL223" i="4"/>
  <c r="AK223" i="4"/>
  <c r="AJ223" i="4"/>
  <c r="AI223" i="4"/>
  <c r="AH223" i="4"/>
  <c r="AG223" i="4"/>
  <c r="AF223" i="4"/>
  <c r="AE223" i="4"/>
  <c r="AD223" i="4"/>
  <c r="AC223" i="4"/>
  <c r="AB223" i="4"/>
  <c r="AA223" i="4"/>
  <c r="Z223" i="4"/>
  <c r="Y223" i="4"/>
  <c r="X223" i="4"/>
  <c r="W223" i="4"/>
  <c r="V223" i="4"/>
  <c r="U223" i="4"/>
  <c r="T223" i="4"/>
  <c r="S223" i="4"/>
  <c r="K223" i="4"/>
  <c r="AN222" i="4"/>
  <c r="AM222" i="4"/>
  <c r="AL222" i="4"/>
  <c r="AK222" i="4"/>
  <c r="AJ222" i="4"/>
  <c r="AI222" i="4"/>
  <c r="AH222" i="4"/>
  <c r="AG222" i="4"/>
  <c r="AF222" i="4"/>
  <c r="AE222" i="4"/>
  <c r="AD222" i="4"/>
  <c r="AC222" i="4"/>
  <c r="AB222" i="4"/>
  <c r="AA222" i="4"/>
  <c r="Z222" i="4"/>
  <c r="Y222" i="4"/>
  <c r="X222" i="4"/>
  <c r="W222" i="4"/>
  <c r="V222" i="4"/>
  <c r="U222" i="4"/>
  <c r="T222" i="4"/>
  <c r="S222" i="4"/>
  <c r="K222" i="4"/>
  <c r="AN221" i="4"/>
  <c r="AM221" i="4"/>
  <c r="AL221" i="4"/>
  <c r="AK221" i="4"/>
  <c r="AJ221" i="4"/>
  <c r="AI221" i="4"/>
  <c r="AH221" i="4"/>
  <c r="AG221" i="4"/>
  <c r="AF221" i="4"/>
  <c r="AE221" i="4"/>
  <c r="AD221" i="4"/>
  <c r="AC221" i="4"/>
  <c r="AB221" i="4"/>
  <c r="AA221" i="4"/>
  <c r="Z221" i="4"/>
  <c r="Y221" i="4"/>
  <c r="X221" i="4"/>
  <c r="W221" i="4"/>
  <c r="V221" i="4"/>
  <c r="U221" i="4"/>
  <c r="T221" i="4"/>
  <c r="S221" i="4"/>
  <c r="K221" i="4"/>
  <c r="AN220" i="4"/>
  <c r="AM220" i="4"/>
  <c r="AL220" i="4"/>
  <c r="AK220" i="4"/>
  <c r="AJ220" i="4"/>
  <c r="AI220" i="4"/>
  <c r="AH220" i="4"/>
  <c r="AG220" i="4"/>
  <c r="AF220" i="4"/>
  <c r="AE220" i="4"/>
  <c r="AD220" i="4"/>
  <c r="AC220" i="4"/>
  <c r="AB220" i="4"/>
  <c r="AA220" i="4"/>
  <c r="Z220" i="4"/>
  <c r="Y220" i="4"/>
  <c r="X220" i="4"/>
  <c r="W220" i="4"/>
  <c r="V220" i="4"/>
  <c r="U220" i="4"/>
  <c r="T220" i="4"/>
  <c r="S220" i="4"/>
  <c r="K220" i="4"/>
  <c r="AN219" i="4"/>
  <c r="AM219" i="4"/>
  <c r="AL219" i="4"/>
  <c r="AK219" i="4"/>
  <c r="AJ219" i="4"/>
  <c r="AI219" i="4"/>
  <c r="AH219" i="4"/>
  <c r="AG219" i="4"/>
  <c r="AF219" i="4"/>
  <c r="AE219" i="4"/>
  <c r="AD219" i="4"/>
  <c r="AC219" i="4"/>
  <c r="AB219" i="4"/>
  <c r="AA219" i="4"/>
  <c r="Z219" i="4"/>
  <c r="Y219" i="4"/>
  <c r="X219" i="4"/>
  <c r="W219" i="4"/>
  <c r="V219" i="4"/>
  <c r="U219" i="4"/>
  <c r="T219" i="4"/>
  <c r="S219" i="4"/>
  <c r="K219" i="4"/>
  <c r="AN218" i="4"/>
  <c r="AM218" i="4"/>
  <c r="AL218" i="4"/>
  <c r="AK218" i="4"/>
  <c r="AJ218" i="4"/>
  <c r="AI218" i="4"/>
  <c r="AH218" i="4"/>
  <c r="AG218" i="4"/>
  <c r="AF218" i="4"/>
  <c r="AE218" i="4"/>
  <c r="AD218" i="4"/>
  <c r="AC218" i="4"/>
  <c r="AB218" i="4"/>
  <c r="AA218" i="4"/>
  <c r="Z218" i="4"/>
  <c r="Y218" i="4"/>
  <c r="X218" i="4"/>
  <c r="W218" i="4"/>
  <c r="V218" i="4"/>
  <c r="U218" i="4"/>
  <c r="T218" i="4"/>
  <c r="S218" i="4"/>
  <c r="K218" i="4"/>
  <c r="AN217" i="4"/>
  <c r="AM217" i="4"/>
  <c r="AL217" i="4"/>
  <c r="AK217" i="4"/>
  <c r="AJ217" i="4"/>
  <c r="AI217" i="4"/>
  <c r="AH217" i="4"/>
  <c r="AG217" i="4"/>
  <c r="AF217" i="4"/>
  <c r="AE217" i="4"/>
  <c r="AD217" i="4"/>
  <c r="AC217" i="4"/>
  <c r="AB217" i="4"/>
  <c r="AA217" i="4"/>
  <c r="Z217" i="4"/>
  <c r="Y217" i="4"/>
  <c r="X217" i="4"/>
  <c r="W217" i="4"/>
  <c r="V217" i="4"/>
  <c r="U217" i="4"/>
  <c r="T217" i="4"/>
  <c r="S217" i="4"/>
  <c r="K217" i="4"/>
  <c r="AN216" i="4"/>
  <c r="AM216" i="4"/>
  <c r="AL216" i="4"/>
  <c r="AK216" i="4"/>
  <c r="AJ216" i="4"/>
  <c r="AI216" i="4"/>
  <c r="AH216" i="4"/>
  <c r="AG216" i="4"/>
  <c r="AF216" i="4"/>
  <c r="AE216" i="4"/>
  <c r="AD216" i="4"/>
  <c r="AC216" i="4"/>
  <c r="AB216" i="4"/>
  <c r="AA216" i="4"/>
  <c r="Z216" i="4"/>
  <c r="Y216" i="4"/>
  <c r="X216" i="4"/>
  <c r="W216" i="4"/>
  <c r="V216" i="4"/>
  <c r="U216" i="4"/>
  <c r="T216" i="4"/>
  <c r="S216" i="4"/>
  <c r="K216" i="4"/>
  <c r="AN215" i="4"/>
  <c r="AM215" i="4"/>
  <c r="AL215" i="4"/>
  <c r="AK215" i="4"/>
  <c r="AJ215" i="4"/>
  <c r="AI215" i="4"/>
  <c r="AH215" i="4"/>
  <c r="AG215" i="4"/>
  <c r="AF215" i="4"/>
  <c r="AE215" i="4"/>
  <c r="AD215" i="4"/>
  <c r="AC215" i="4"/>
  <c r="AB215" i="4"/>
  <c r="AA215" i="4"/>
  <c r="Z215" i="4"/>
  <c r="Y215" i="4"/>
  <c r="X215" i="4"/>
  <c r="W215" i="4"/>
  <c r="V215" i="4"/>
  <c r="U215" i="4"/>
  <c r="T215" i="4"/>
  <c r="S215" i="4"/>
  <c r="K215" i="4"/>
  <c r="AN214" i="4"/>
  <c r="AM214" i="4"/>
  <c r="AL214" i="4"/>
  <c r="AK214" i="4"/>
  <c r="AJ214" i="4"/>
  <c r="AI214" i="4"/>
  <c r="AH214" i="4"/>
  <c r="AG214" i="4"/>
  <c r="AF214" i="4"/>
  <c r="AE214" i="4"/>
  <c r="AD214" i="4"/>
  <c r="AC214" i="4"/>
  <c r="AB214" i="4"/>
  <c r="AA214" i="4"/>
  <c r="Z214" i="4"/>
  <c r="Y214" i="4"/>
  <c r="X214" i="4"/>
  <c r="W214" i="4"/>
  <c r="V214" i="4"/>
  <c r="U214" i="4"/>
  <c r="T214" i="4"/>
  <c r="S214" i="4"/>
  <c r="K214" i="4"/>
  <c r="AN213" i="4"/>
  <c r="AM213" i="4"/>
  <c r="AL213" i="4"/>
  <c r="AK213" i="4"/>
  <c r="AJ213" i="4"/>
  <c r="AI213" i="4"/>
  <c r="AH213" i="4"/>
  <c r="AG213" i="4"/>
  <c r="AF213" i="4"/>
  <c r="AE213" i="4"/>
  <c r="AD213" i="4"/>
  <c r="AC213" i="4"/>
  <c r="AB213" i="4"/>
  <c r="AA213" i="4"/>
  <c r="Z213" i="4"/>
  <c r="Y213" i="4"/>
  <c r="X213" i="4"/>
  <c r="W213" i="4"/>
  <c r="V213" i="4"/>
  <c r="U213" i="4"/>
  <c r="T213" i="4"/>
  <c r="S213" i="4"/>
  <c r="K213" i="4"/>
  <c r="AN212" i="4"/>
  <c r="AM212" i="4"/>
  <c r="AL212" i="4"/>
  <c r="AK212" i="4"/>
  <c r="AJ212" i="4"/>
  <c r="AI212" i="4"/>
  <c r="AH212" i="4"/>
  <c r="AG212" i="4"/>
  <c r="AF212" i="4"/>
  <c r="AE212" i="4"/>
  <c r="AD212" i="4"/>
  <c r="AC212" i="4"/>
  <c r="AB212" i="4"/>
  <c r="AA212" i="4"/>
  <c r="Z212" i="4"/>
  <c r="Y212" i="4"/>
  <c r="X212" i="4"/>
  <c r="W212" i="4"/>
  <c r="V212" i="4"/>
  <c r="U212" i="4"/>
  <c r="T212" i="4"/>
  <c r="S212" i="4"/>
  <c r="K212" i="4"/>
  <c r="AN211" i="4"/>
  <c r="AM211" i="4"/>
  <c r="AL211" i="4"/>
  <c r="AK211" i="4"/>
  <c r="AJ211" i="4"/>
  <c r="AI211" i="4"/>
  <c r="AH211" i="4"/>
  <c r="AG211" i="4"/>
  <c r="AF211" i="4"/>
  <c r="AE211" i="4"/>
  <c r="AD211" i="4"/>
  <c r="AC211" i="4"/>
  <c r="AB211" i="4"/>
  <c r="AA211" i="4"/>
  <c r="Z211" i="4"/>
  <c r="Y211" i="4"/>
  <c r="X211" i="4"/>
  <c r="W211" i="4"/>
  <c r="V211" i="4"/>
  <c r="U211" i="4"/>
  <c r="T211" i="4"/>
  <c r="S211" i="4"/>
  <c r="K211" i="4"/>
  <c r="AN210" i="4"/>
  <c r="AM210" i="4"/>
  <c r="AL210" i="4"/>
  <c r="AK210" i="4"/>
  <c r="AJ210" i="4"/>
  <c r="AI210" i="4"/>
  <c r="AH210" i="4"/>
  <c r="AG210" i="4"/>
  <c r="AF210" i="4"/>
  <c r="AE210" i="4"/>
  <c r="AD210" i="4"/>
  <c r="AC210" i="4"/>
  <c r="AB210" i="4"/>
  <c r="AA210" i="4"/>
  <c r="Z210" i="4"/>
  <c r="Y210" i="4"/>
  <c r="X210" i="4"/>
  <c r="W210" i="4"/>
  <c r="V210" i="4"/>
  <c r="U210" i="4"/>
  <c r="T210" i="4"/>
  <c r="S210" i="4"/>
  <c r="K210" i="4"/>
  <c r="AN209" i="4"/>
  <c r="AM209" i="4"/>
  <c r="AL209" i="4"/>
  <c r="AK209" i="4"/>
  <c r="AJ209" i="4"/>
  <c r="AI209" i="4"/>
  <c r="AH209" i="4"/>
  <c r="AG209" i="4"/>
  <c r="AF209" i="4"/>
  <c r="AE209" i="4"/>
  <c r="AD209" i="4"/>
  <c r="AC209" i="4"/>
  <c r="AB209" i="4"/>
  <c r="AA209" i="4"/>
  <c r="Z209" i="4"/>
  <c r="Y209" i="4"/>
  <c r="X209" i="4"/>
  <c r="W209" i="4"/>
  <c r="V209" i="4"/>
  <c r="U209" i="4"/>
  <c r="T209" i="4"/>
  <c r="S209" i="4"/>
  <c r="K209" i="4"/>
  <c r="AN208" i="4"/>
  <c r="AM208" i="4"/>
  <c r="AL208" i="4"/>
  <c r="AK208" i="4"/>
  <c r="AJ208" i="4"/>
  <c r="AI208" i="4"/>
  <c r="AH208" i="4"/>
  <c r="AG208" i="4"/>
  <c r="AF208" i="4"/>
  <c r="AE208" i="4"/>
  <c r="AD208" i="4"/>
  <c r="AC208" i="4"/>
  <c r="AB208" i="4"/>
  <c r="AA208" i="4"/>
  <c r="Z208" i="4"/>
  <c r="Y208" i="4"/>
  <c r="X208" i="4"/>
  <c r="W208" i="4"/>
  <c r="V208" i="4"/>
  <c r="U208" i="4"/>
  <c r="T208" i="4"/>
  <c r="S208" i="4"/>
  <c r="K208" i="4"/>
  <c r="AN207" i="4"/>
  <c r="AM207" i="4"/>
  <c r="AL207" i="4"/>
  <c r="AK207" i="4"/>
  <c r="AJ207" i="4"/>
  <c r="AI207" i="4"/>
  <c r="AH207" i="4"/>
  <c r="AG207" i="4"/>
  <c r="AF207" i="4"/>
  <c r="AE207" i="4"/>
  <c r="AD207" i="4"/>
  <c r="AC207" i="4"/>
  <c r="AB207" i="4"/>
  <c r="AA207" i="4"/>
  <c r="Z207" i="4"/>
  <c r="Y207" i="4"/>
  <c r="X207" i="4"/>
  <c r="W207" i="4"/>
  <c r="V207" i="4"/>
  <c r="U207" i="4"/>
  <c r="T207" i="4"/>
  <c r="S207" i="4"/>
  <c r="K207" i="4"/>
  <c r="AN206" i="4"/>
  <c r="AM206" i="4"/>
  <c r="AL206" i="4"/>
  <c r="AK206" i="4"/>
  <c r="AJ206" i="4"/>
  <c r="AI206" i="4"/>
  <c r="AH206" i="4"/>
  <c r="AG206" i="4"/>
  <c r="AF206" i="4"/>
  <c r="AE206" i="4"/>
  <c r="AD206" i="4"/>
  <c r="AC206" i="4"/>
  <c r="AB206" i="4"/>
  <c r="AA206" i="4"/>
  <c r="Z206" i="4"/>
  <c r="Y206" i="4"/>
  <c r="X206" i="4"/>
  <c r="W206" i="4"/>
  <c r="V206" i="4"/>
  <c r="U206" i="4"/>
  <c r="T206" i="4"/>
  <c r="S206" i="4"/>
  <c r="K206" i="4"/>
  <c r="AN205" i="4"/>
  <c r="AM205" i="4"/>
  <c r="AL205" i="4"/>
  <c r="AK205" i="4"/>
  <c r="AJ205" i="4"/>
  <c r="AI205" i="4"/>
  <c r="AH205" i="4"/>
  <c r="AG205" i="4"/>
  <c r="AF205" i="4"/>
  <c r="AE205" i="4"/>
  <c r="AD205" i="4"/>
  <c r="AC205" i="4"/>
  <c r="AB205" i="4"/>
  <c r="AA205" i="4"/>
  <c r="Z205" i="4"/>
  <c r="Y205" i="4"/>
  <c r="X205" i="4"/>
  <c r="W205" i="4"/>
  <c r="V205" i="4"/>
  <c r="U205" i="4"/>
  <c r="T205" i="4"/>
  <c r="S205" i="4"/>
  <c r="K205" i="4"/>
  <c r="AN204" i="4"/>
  <c r="AM204" i="4"/>
  <c r="AL204" i="4"/>
  <c r="AK204" i="4"/>
  <c r="AJ204" i="4"/>
  <c r="AI204" i="4"/>
  <c r="AH204" i="4"/>
  <c r="AG204" i="4"/>
  <c r="AF204" i="4"/>
  <c r="AE204" i="4"/>
  <c r="AD204" i="4"/>
  <c r="AC204" i="4"/>
  <c r="AB204" i="4"/>
  <c r="AA204" i="4"/>
  <c r="Z204" i="4"/>
  <c r="Y204" i="4"/>
  <c r="X204" i="4"/>
  <c r="W204" i="4"/>
  <c r="V204" i="4"/>
  <c r="U204" i="4"/>
  <c r="T204" i="4"/>
  <c r="S204" i="4"/>
  <c r="K204" i="4"/>
  <c r="AN203" i="4"/>
  <c r="AM203" i="4"/>
  <c r="AL203" i="4"/>
  <c r="AK203" i="4"/>
  <c r="AJ203" i="4"/>
  <c r="AI203" i="4"/>
  <c r="AH203" i="4"/>
  <c r="AG203" i="4"/>
  <c r="AF203" i="4"/>
  <c r="AE203" i="4"/>
  <c r="AD203" i="4"/>
  <c r="AC203" i="4"/>
  <c r="AB203" i="4"/>
  <c r="AA203" i="4"/>
  <c r="Z203" i="4"/>
  <c r="Y203" i="4"/>
  <c r="X203" i="4"/>
  <c r="W203" i="4"/>
  <c r="V203" i="4"/>
  <c r="U203" i="4"/>
  <c r="T203" i="4"/>
  <c r="S203" i="4"/>
  <c r="K203" i="4"/>
  <c r="AN202" i="4"/>
  <c r="AM202" i="4"/>
  <c r="AL202" i="4"/>
  <c r="AK202" i="4"/>
  <c r="AJ202" i="4"/>
  <c r="AI202" i="4"/>
  <c r="AH202" i="4"/>
  <c r="AG202" i="4"/>
  <c r="AF202" i="4"/>
  <c r="AE202" i="4"/>
  <c r="AD202" i="4"/>
  <c r="AC202" i="4"/>
  <c r="AB202" i="4"/>
  <c r="AA202" i="4"/>
  <c r="Z202" i="4"/>
  <c r="Y202" i="4"/>
  <c r="X202" i="4"/>
  <c r="W202" i="4"/>
  <c r="V202" i="4"/>
  <c r="U202" i="4"/>
  <c r="T202" i="4"/>
  <c r="S202" i="4"/>
  <c r="K202" i="4"/>
  <c r="AN201" i="4"/>
  <c r="AM201" i="4"/>
  <c r="AL201" i="4"/>
  <c r="AK201" i="4"/>
  <c r="AJ201" i="4"/>
  <c r="AI201" i="4"/>
  <c r="AH201" i="4"/>
  <c r="AG201" i="4"/>
  <c r="AF201" i="4"/>
  <c r="AE201" i="4"/>
  <c r="AD201" i="4"/>
  <c r="AC201" i="4"/>
  <c r="AB201" i="4"/>
  <c r="AA201" i="4"/>
  <c r="Z201" i="4"/>
  <c r="Y201" i="4"/>
  <c r="X201" i="4"/>
  <c r="W201" i="4"/>
  <c r="V201" i="4"/>
  <c r="U201" i="4"/>
  <c r="T201" i="4"/>
  <c r="S201" i="4"/>
  <c r="K201" i="4"/>
  <c r="AN200" i="4"/>
  <c r="AM200" i="4"/>
  <c r="AL200" i="4"/>
  <c r="AK200" i="4"/>
  <c r="AJ200" i="4"/>
  <c r="AI200" i="4"/>
  <c r="AH200" i="4"/>
  <c r="AG200" i="4"/>
  <c r="AF200" i="4"/>
  <c r="AE200" i="4"/>
  <c r="AD200" i="4"/>
  <c r="AC200" i="4"/>
  <c r="AB200" i="4"/>
  <c r="AA200" i="4"/>
  <c r="Z200" i="4"/>
  <c r="Y200" i="4"/>
  <c r="X200" i="4"/>
  <c r="W200" i="4"/>
  <c r="V200" i="4"/>
  <c r="U200" i="4"/>
  <c r="T200" i="4"/>
  <c r="S200" i="4"/>
  <c r="K200" i="4"/>
  <c r="AN199" i="4"/>
  <c r="AM199" i="4"/>
  <c r="AL199" i="4"/>
  <c r="AK199" i="4"/>
  <c r="AJ199" i="4"/>
  <c r="AI199" i="4"/>
  <c r="AH199" i="4"/>
  <c r="AG199" i="4"/>
  <c r="AF199" i="4"/>
  <c r="AE199" i="4"/>
  <c r="AD199" i="4"/>
  <c r="AC199" i="4"/>
  <c r="AB199" i="4"/>
  <c r="AA199" i="4"/>
  <c r="Z199" i="4"/>
  <c r="Y199" i="4"/>
  <c r="X199" i="4"/>
  <c r="W199" i="4"/>
  <c r="V199" i="4"/>
  <c r="U199" i="4"/>
  <c r="T199" i="4"/>
  <c r="S199" i="4"/>
  <c r="K199" i="4"/>
  <c r="AN198" i="4"/>
  <c r="AM198" i="4"/>
  <c r="AL198" i="4"/>
  <c r="AK198" i="4"/>
  <c r="AJ198" i="4"/>
  <c r="AI198" i="4"/>
  <c r="AH198" i="4"/>
  <c r="AG198" i="4"/>
  <c r="AF198" i="4"/>
  <c r="AE198" i="4"/>
  <c r="AD198" i="4"/>
  <c r="AC198" i="4"/>
  <c r="AB198" i="4"/>
  <c r="AA198" i="4"/>
  <c r="Z198" i="4"/>
  <c r="Y198" i="4"/>
  <c r="X198" i="4"/>
  <c r="W198" i="4"/>
  <c r="V198" i="4"/>
  <c r="U198" i="4"/>
  <c r="T198" i="4"/>
  <c r="S198" i="4"/>
  <c r="K198" i="4"/>
  <c r="AN197" i="4"/>
  <c r="AM197" i="4"/>
  <c r="AL197" i="4"/>
  <c r="AK197" i="4"/>
  <c r="AJ197" i="4"/>
  <c r="AI197" i="4"/>
  <c r="AH197" i="4"/>
  <c r="AG197" i="4"/>
  <c r="AF197" i="4"/>
  <c r="AE197" i="4"/>
  <c r="AD197" i="4"/>
  <c r="AC197" i="4"/>
  <c r="AB197" i="4"/>
  <c r="AA197" i="4"/>
  <c r="Z197" i="4"/>
  <c r="Y197" i="4"/>
  <c r="X197" i="4"/>
  <c r="W197" i="4"/>
  <c r="V197" i="4"/>
  <c r="U197" i="4"/>
  <c r="T197" i="4"/>
  <c r="S197" i="4"/>
  <c r="K197" i="4"/>
  <c r="AN196" i="4"/>
  <c r="AM196" i="4"/>
  <c r="AL196" i="4"/>
  <c r="AK196" i="4"/>
  <c r="AJ196" i="4"/>
  <c r="AI196" i="4"/>
  <c r="AH196" i="4"/>
  <c r="AG196" i="4"/>
  <c r="AF196" i="4"/>
  <c r="AE196" i="4"/>
  <c r="AD196" i="4"/>
  <c r="AC196" i="4"/>
  <c r="AB196" i="4"/>
  <c r="AA196" i="4"/>
  <c r="Z196" i="4"/>
  <c r="Y196" i="4"/>
  <c r="X196" i="4"/>
  <c r="W196" i="4"/>
  <c r="V196" i="4"/>
  <c r="U196" i="4"/>
  <c r="T196" i="4"/>
  <c r="S196" i="4"/>
  <c r="K196" i="4"/>
  <c r="AN195" i="4"/>
  <c r="AM195" i="4"/>
  <c r="AL195" i="4"/>
  <c r="AK195" i="4"/>
  <c r="AJ195" i="4"/>
  <c r="AI195" i="4"/>
  <c r="AH195" i="4"/>
  <c r="AG195" i="4"/>
  <c r="AF195" i="4"/>
  <c r="AE195" i="4"/>
  <c r="AD195" i="4"/>
  <c r="AC195" i="4"/>
  <c r="AB195" i="4"/>
  <c r="AA195" i="4"/>
  <c r="Z195" i="4"/>
  <c r="Y195" i="4"/>
  <c r="X195" i="4"/>
  <c r="W195" i="4"/>
  <c r="V195" i="4"/>
  <c r="U195" i="4"/>
  <c r="T195" i="4"/>
  <c r="S195" i="4"/>
  <c r="K195" i="4"/>
  <c r="AN194" i="4"/>
  <c r="AM194" i="4"/>
  <c r="AL194" i="4"/>
  <c r="AK194" i="4"/>
  <c r="AJ194" i="4"/>
  <c r="AI194" i="4"/>
  <c r="AH194" i="4"/>
  <c r="AG194" i="4"/>
  <c r="AF194" i="4"/>
  <c r="AE194" i="4"/>
  <c r="AD194" i="4"/>
  <c r="AC194" i="4"/>
  <c r="AB194" i="4"/>
  <c r="AA194" i="4"/>
  <c r="Z194" i="4"/>
  <c r="Y194" i="4"/>
  <c r="X194" i="4"/>
  <c r="W194" i="4"/>
  <c r="V194" i="4"/>
  <c r="U194" i="4"/>
  <c r="T194" i="4"/>
  <c r="S194" i="4"/>
  <c r="K194" i="4"/>
  <c r="AN193" i="4"/>
  <c r="AM193" i="4"/>
  <c r="AL193" i="4"/>
  <c r="AK193" i="4"/>
  <c r="AJ193" i="4"/>
  <c r="AI193" i="4"/>
  <c r="AH193" i="4"/>
  <c r="AG193" i="4"/>
  <c r="AF193" i="4"/>
  <c r="AE193" i="4"/>
  <c r="AD193" i="4"/>
  <c r="AC193" i="4"/>
  <c r="AB193" i="4"/>
  <c r="AA193" i="4"/>
  <c r="Z193" i="4"/>
  <c r="Y193" i="4"/>
  <c r="X193" i="4"/>
  <c r="W193" i="4"/>
  <c r="V193" i="4"/>
  <c r="U193" i="4"/>
  <c r="T193" i="4"/>
  <c r="S193" i="4"/>
  <c r="K193" i="4"/>
  <c r="AN192" i="4"/>
  <c r="AM192" i="4"/>
  <c r="AL192" i="4"/>
  <c r="AK192" i="4"/>
  <c r="AJ192" i="4"/>
  <c r="AI192" i="4"/>
  <c r="AH192" i="4"/>
  <c r="AG192" i="4"/>
  <c r="AF192" i="4"/>
  <c r="AE192" i="4"/>
  <c r="AD192" i="4"/>
  <c r="AC192" i="4"/>
  <c r="AB192" i="4"/>
  <c r="AA192" i="4"/>
  <c r="Z192" i="4"/>
  <c r="Y192" i="4"/>
  <c r="X192" i="4"/>
  <c r="W192" i="4"/>
  <c r="V192" i="4"/>
  <c r="U192" i="4"/>
  <c r="T192" i="4"/>
  <c r="S192" i="4"/>
  <c r="K192" i="4"/>
  <c r="AN191" i="4"/>
  <c r="AM191" i="4"/>
  <c r="AL191" i="4"/>
  <c r="AK191" i="4"/>
  <c r="AJ191" i="4"/>
  <c r="AI191" i="4"/>
  <c r="AH191" i="4"/>
  <c r="AG191" i="4"/>
  <c r="AF191" i="4"/>
  <c r="AE191" i="4"/>
  <c r="AD191" i="4"/>
  <c r="AC191" i="4"/>
  <c r="AB191" i="4"/>
  <c r="AA191" i="4"/>
  <c r="Z191" i="4"/>
  <c r="Y191" i="4"/>
  <c r="X191" i="4"/>
  <c r="W191" i="4"/>
  <c r="V191" i="4"/>
  <c r="U191" i="4"/>
  <c r="T191" i="4"/>
  <c r="S191" i="4"/>
  <c r="K191" i="4"/>
  <c r="AN190" i="4"/>
  <c r="AM190" i="4"/>
  <c r="AL190" i="4"/>
  <c r="AK190" i="4"/>
  <c r="AJ190" i="4"/>
  <c r="AI190" i="4"/>
  <c r="AH190" i="4"/>
  <c r="AG190" i="4"/>
  <c r="AF190" i="4"/>
  <c r="AE190" i="4"/>
  <c r="AD190" i="4"/>
  <c r="AC190" i="4"/>
  <c r="AB190" i="4"/>
  <c r="AA190" i="4"/>
  <c r="Z190" i="4"/>
  <c r="Y190" i="4"/>
  <c r="X190" i="4"/>
  <c r="W190" i="4"/>
  <c r="V190" i="4"/>
  <c r="U190" i="4"/>
  <c r="T190" i="4"/>
  <c r="S190" i="4"/>
  <c r="K190" i="4"/>
  <c r="AN189" i="4"/>
  <c r="AM189" i="4"/>
  <c r="AL189" i="4"/>
  <c r="AK189" i="4"/>
  <c r="AJ189" i="4"/>
  <c r="AI189" i="4"/>
  <c r="AH189" i="4"/>
  <c r="AG189" i="4"/>
  <c r="AF189" i="4"/>
  <c r="AE189" i="4"/>
  <c r="AD189" i="4"/>
  <c r="AC189" i="4"/>
  <c r="AB189" i="4"/>
  <c r="AA189" i="4"/>
  <c r="Z189" i="4"/>
  <c r="Y189" i="4"/>
  <c r="X189" i="4"/>
  <c r="W189" i="4"/>
  <c r="V189" i="4"/>
  <c r="U189" i="4"/>
  <c r="T189" i="4"/>
  <c r="S189" i="4"/>
  <c r="K189" i="4"/>
  <c r="AN188" i="4"/>
  <c r="AM188" i="4"/>
  <c r="AL188" i="4"/>
  <c r="AK188" i="4"/>
  <c r="AJ188" i="4"/>
  <c r="AI188" i="4"/>
  <c r="AH188" i="4"/>
  <c r="AG188" i="4"/>
  <c r="AF188" i="4"/>
  <c r="AE188" i="4"/>
  <c r="AD188" i="4"/>
  <c r="AC188" i="4"/>
  <c r="AB188" i="4"/>
  <c r="AA188" i="4"/>
  <c r="Z188" i="4"/>
  <c r="Y188" i="4"/>
  <c r="X188" i="4"/>
  <c r="W188" i="4"/>
  <c r="V188" i="4"/>
  <c r="U188" i="4"/>
  <c r="T188" i="4"/>
  <c r="S188" i="4"/>
  <c r="K188" i="4"/>
  <c r="AN187" i="4"/>
  <c r="AM187" i="4"/>
  <c r="AL187" i="4"/>
  <c r="AK187" i="4"/>
  <c r="AJ187" i="4"/>
  <c r="AI187" i="4"/>
  <c r="AH187" i="4"/>
  <c r="AG187" i="4"/>
  <c r="AF187" i="4"/>
  <c r="AE187" i="4"/>
  <c r="AD187" i="4"/>
  <c r="AC187" i="4"/>
  <c r="AB187" i="4"/>
  <c r="AA187" i="4"/>
  <c r="Z187" i="4"/>
  <c r="Y187" i="4"/>
  <c r="X187" i="4"/>
  <c r="W187" i="4"/>
  <c r="V187" i="4"/>
  <c r="U187" i="4"/>
  <c r="T187" i="4"/>
  <c r="S187" i="4"/>
  <c r="K187" i="4"/>
  <c r="AN186" i="4"/>
  <c r="AM186" i="4"/>
  <c r="AL186" i="4"/>
  <c r="AK186" i="4"/>
  <c r="AJ186" i="4"/>
  <c r="AI186" i="4"/>
  <c r="AH186" i="4"/>
  <c r="AG186" i="4"/>
  <c r="AF186" i="4"/>
  <c r="AE186" i="4"/>
  <c r="AD186" i="4"/>
  <c r="AC186" i="4"/>
  <c r="AB186" i="4"/>
  <c r="AA186" i="4"/>
  <c r="Z186" i="4"/>
  <c r="Y186" i="4"/>
  <c r="X186" i="4"/>
  <c r="W186" i="4"/>
  <c r="V186" i="4"/>
  <c r="U186" i="4"/>
  <c r="T186" i="4"/>
  <c r="S186" i="4"/>
  <c r="K186" i="4"/>
  <c r="AN185" i="4"/>
  <c r="AM185" i="4"/>
  <c r="AL185" i="4"/>
  <c r="AK185" i="4"/>
  <c r="AJ185" i="4"/>
  <c r="AI185" i="4"/>
  <c r="AH185" i="4"/>
  <c r="AG185" i="4"/>
  <c r="AF185" i="4"/>
  <c r="AE185" i="4"/>
  <c r="AD185" i="4"/>
  <c r="AC185" i="4"/>
  <c r="AB185" i="4"/>
  <c r="AA185" i="4"/>
  <c r="Z185" i="4"/>
  <c r="Y185" i="4"/>
  <c r="X185" i="4"/>
  <c r="W185" i="4"/>
  <c r="V185" i="4"/>
  <c r="U185" i="4"/>
  <c r="T185" i="4"/>
  <c r="S185" i="4"/>
  <c r="K185" i="4"/>
  <c r="AN184" i="4"/>
  <c r="AM184" i="4"/>
  <c r="AL184" i="4"/>
  <c r="AK184" i="4"/>
  <c r="AJ184" i="4"/>
  <c r="AI184" i="4"/>
  <c r="AH184" i="4"/>
  <c r="AG184" i="4"/>
  <c r="AF184" i="4"/>
  <c r="AE184" i="4"/>
  <c r="AD184" i="4"/>
  <c r="AC184" i="4"/>
  <c r="AB184" i="4"/>
  <c r="AA184" i="4"/>
  <c r="Z184" i="4"/>
  <c r="Y184" i="4"/>
  <c r="X184" i="4"/>
  <c r="W184" i="4"/>
  <c r="V184" i="4"/>
  <c r="U184" i="4"/>
  <c r="T184" i="4"/>
  <c r="S184" i="4"/>
  <c r="K184" i="4"/>
  <c r="AN183" i="4"/>
  <c r="AM183" i="4"/>
  <c r="AL183" i="4"/>
  <c r="AK183" i="4"/>
  <c r="AJ183" i="4"/>
  <c r="AI183" i="4"/>
  <c r="AH183" i="4"/>
  <c r="AG183" i="4"/>
  <c r="AF183" i="4"/>
  <c r="AE183" i="4"/>
  <c r="AD183" i="4"/>
  <c r="AC183" i="4"/>
  <c r="AB183" i="4"/>
  <c r="AA183" i="4"/>
  <c r="Z183" i="4"/>
  <c r="Y183" i="4"/>
  <c r="X183" i="4"/>
  <c r="W183" i="4"/>
  <c r="V183" i="4"/>
  <c r="U183" i="4"/>
  <c r="T183" i="4"/>
  <c r="S183" i="4"/>
  <c r="K183" i="4"/>
  <c r="AN182" i="4"/>
  <c r="AM182" i="4"/>
  <c r="AL182" i="4"/>
  <c r="AK182" i="4"/>
  <c r="AJ182" i="4"/>
  <c r="AI182" i="4"/>
  <c r="AH182" i="4"/>
  <c r="AG182" i="4"/>
  <c r="AF182" i="4"/>
  <c r="AE182" i="4"/>
  <c r="AD182" i="4"/>
  <c r="AC182" i="4"/>
  <c r="AB182" i="4"/>
  <c r="AA182" i="4"/>
  <c r="Z182" i="4"/>
  <c r="Y182" i="4"/>
  <c r="X182" i="4"/>
  <c r="W182" i="4"/>
  <c r="V182" i="4"/>
  <c r="U182" i="4"/>
  <c r="T182" i="4"/>
  <c r="S182" i="4"/>
  <c r="K182" i="4"/>
  <c r="AN181" i="4"/>
  <c r="AM181" i="4"/>
  <c r="AL181" i="4"/>
  <c r="AK181" i="4"/>
  <c r="AJ181" i="4"/>
  <c r="AI181" i="4"/>
  <c r="AH181" i="4"/>
  <c r="AG181" i="4"/>
  <c r="AF181" i="4"/>
  <c r="AE181" i="4"/>
  <c r="AD181" i="4"/>
  <c r="AC181" i="4"/>
  <c r="AB181" i="4"/>
  <c r="AA181" i="4"/>
  <c r="Z181" i="4"/>
  <c r="Y181" i="4"/>
  <c r="X181" i="4"/>
  <c r="W181" i="4"/>
  <c r="V181" i="4"/>
  <c r="U181" i="4"/>
  <c r="T181" i="4"/>
  <c r="S181" i="4"/>
  <c r="K181" i="4"/>
  <c r="AN180" i="4"/>
  <c r="AM180" i="4"/>
  <c r="AL180" i="4"/>
  <c r="AK180" i="4"/>
  <c r="AJ180" i="4"/>
  <c r="AI180" i="4"/>
  <c r="AH180" i="4"/>
  <c r="AG180" i="4"/>
  <c r="AF180" i="4"/>
  <c r="AE180" i="4"/>
  <c r="AD180" i="4"/>
  <c r="AC180" i="4"/>
  <c r="AB180" i="4"/>
  <c r="AA180" i="4"/>
  <c r="Z180" i="4"/>
  <c r="Y180" i="4"/>
  <c r="X180" i="4"/>
  <c r="W180" i="4"/>
  <c r="V180" i="4"/>
  <c r="U180" i="4"/>
  <c r="T180" i="4"/>
  <c r="S180" i="4"/>
  <c r="K180" i="4"/>
  <c r="AN179" i="4"/>
  <c r="AM179" i="4"/>
  <c r="AL179" i="4"/>
  <c r="AK179" i="4"/>
  <c r="AJ179" i="4"/>
  <c r="AI179" i="4"/>
  <c r="AH179" i="4"/>
  <c r="AG179" i="4"/>
  <c r="AF179" i="4"/>
  <c r="AE179" i="4"/>
  <c r="AD179" i="4"/>
  <c r="AC179" i="4"/>
  <c r="AB179" i="4"/>
  <c r="AA179" i="4"/>
  <c r="Z179" i="4"/>
  <c r="Y179" i="4"/>
  <c r="X179" i="4"/>
  <c r="W179" i="4"/>
  <c r="V179" i="4"/>
  <c r="U179" i="4"/>
  <c r="T179" i="4"/>
  <c r="S179" i="4"/>
  <c r="K179" i="4"/>
  <c r="AN178" i="4"/>
  <c r="AM178" i="4"/>
  <c r="AL178" i="4"/>
  <c r="AK178" i="4"/>
  <c r="AJ178" i="4"/>
  <c r="AI178" i="4"/>
  <c r="AH178" i="4"/>
  <c r="AG178" i="4"/>
  <c r="AF178" i="4"/>
  <c r="AE178" i="4"/>
  <c r="AD178" i="4"/>
  <c r="AC178" i="4"/>
  <c r="AB178" i="4"/>
  <c r="AA178" i="4"/>
  <c r="Z178" i="4"/>
  <c r="Y178" i="4"/>
  <c r="X178" i="4"/>
  <c r="W178" i="4"/>
  <c r="V178" i="4"/>
  <c r="U178" i="4"/>
  <c r="T178" i="4"/>
  <c r="S178" i="4"/>
  <c r="K178" i="4"/>
  <c r="AN177" i="4"/>
  <c r="AM177" i="4"/>
  <c r="AL177" i="4"/>
  <c r="AK177" i="4"/>
  <c r="AJ177" i="4"/>
  <c r="AI177" i="4"/>
  <c r="AH177" i="4"/>
  <c r="AG177" i="4"/>
  <c r="AF177" i="4"/>
  <c r="AE177" i="4"/>
  <c r="AD177" i="4"/>
  <c r="AC177" i="4"/>
  <c r="AB177" i="4"/>
  <c r="AA177" i="4"/>
  <c r="Z177" i="4"/>
  <c r="Y177" i="4"/>
  <c r="X177" i="4"/>
  <c r="W177" i="4"/>
  <c r="V177" i="4"/>
  <c r="U177" i="4"/>
  <c r="T177" i="4"/>
  <c r="S177" i="4"/>
  <c r="K177" i="4"/>
  <c r="AN176" i="4"/>
  <c r="AM176" i="4"/>
  <c r="AL176" i="4"/>
  <c r="AK176" i="4"/>
  <c r="AJ176" i="4"/>
  <c r="AI176" i="4"/>
  <c r="AH176" i="4"/>
  <c r="AG176" i="4"/>
  <c r="AF176" i="4"/>
  <c r="AE176" i="4"/>
  <c r="AD176" i="4"/>
  <c r="AC176" i="4"/>
  <c r="AB176" i="4"/>
  <c r="AA176" i="4"/>
  <c r="Z176" i="4"/>
  <c r="Y176" i="4"/>
  <c r="X176" i="4"/>
  <c r="W176" i="4"/>
  <c r="V176" i="4"/>
  <c r="U176" i="4"/>
  <c r="T176" i="4"/>
  <c r="S176" i="4"/>
  <c r="K176" i="4"/>
  <c r="AN175" i="4"/>
  <c r="AM175" i="4"/>
  <c r="AL175" i="4"/>
  <c r="AK175" i="4"/>
  <c r="AJ175" i="4"/>
  <c r="AI175" i="4"/>
  <c r="AH175" i="4"/>
  <c r="AG175" i="4"/>
  <c r="AF175" i="4"/>
  <c r="AE175" i="4"/>
  <c r="AD175" i="4"/>
  <c r="AC175" i="4"/>
  <c r="AB175" i="4"/>
  <c r="AA175" i="4"/>
  <c r="Z175" i="4"/>
  <c r="Y175" i="4"/>
  <c r="X175" i="4"/>
  <c r="W175" i="4"/>
  <c r="V175" i="4"/>
  <c r="U175" i="4"/>
  <c r="T175" i="4"/>
  <c r="S175" i="4"/>
  <c r="K175" i="4"/>
  <c r="AN174" i="4"/>
  <c r="AM174" i="4"/>
  <c r="AL174" i="4"/>
  <c r="AK174" i="4"/>
  <c r="AJ174" i="4"/>
  <c r="AI174" i="4"/>
  <c r="AH174" i="4"/>
  <c r="AG174" i="4"/>
  <c r="AF174" i="4"/>
  <c r="AE174" i="4"/>
  <c r="AD174" i="4"/>
  <c r="AC174" i="4"/>
  <c r="AB174" i="4"/>
  <c r="AA174" i="4"/>
  <c r="Z174" i="4"/>
  <c r="Y174" i="4"/>
  <c r="X174" i="4"/>
  <c r="W174" i="4"/>
  <c r="V174" i="4"/>
  <c r="U174" i="4"/>
  <c r="T174" i="4"/>
  <c r="S174" i="4"/>
  <c r="K174" i="4"/>
  <c r="AN173" i="4"/>
  <c r="AM173" i="4"/>
  <c r="AL173" i="4"/>
  <c r="AK173" i="4"/>
  <c r="AJ173" i="4"/>
  <c r="AI173" i="4"/>
  <c r="AH173" i="4"/>
  <c r="AG173" i="4"/>
  <c r="AF173" i="4"/>
  <c r="AE173" i="4"/>
  <c r="AD173" i="4"/>
  <c r="AC173" i="4"/>
  <c r="AB173" i="4"/>
  <c r="AA173" i="4"/>
  <c r="Z173" i="4"/>
  <c r="Y173" i="4"/>
  <c r="X173" i="4"/>
  <c r="W173" i="4"/>
  <c r="V173" i="4"/>
  <c r="U173" i="4"/>
  <c r="T173" i="4"/>
  <c r="S173" i="4"/>
  <c r="K173" i="4"/>
  <c r="AN172" i="4"/>
  <c r="AM172" i="4"/>
  <c r="AL172" i="4"/>
  <c r="AK172" i="4"/>
  <c r="AJ172" i="4"/>
  <c r="AI172" i="4"/>
  <c r="AH172" i="4"/>
  <c r="AG172" i="4"/>
  <c r="AF172" i="4"/>
  <c r="AE172" i="4"/>
  <c r="AD172" i="4"/>
  <c r="AC172" i="4"/>
  <c r="AB172" i="4"/>
  <c r="AA172" i="4"/>
  <c r="Z172" i="4"/>
  <c r="Y172" i="4"/>
  <c r="X172" i="4"/>
  <c r="W172" i="4"/>
  <c r="V172" i="4"/>
  <c r="U172" i="4"/>
  <c r="T172" i="4"/>
  <c r="S172" i="4"/>
  <c r="K172" i="4"/>
  <c r="AN171" i="4"/>
  <c r="AM171" i="4"/>
  <c r="AL171" i="4"/>
  <c r="AK171" i="4"/>
  <c r="AJ171" i="4"/>
  <c r="AI171" i="4"/>
  <c r="AH171" i="4"/>
  <c r="AG171" i="4"/>
  <c r="AF171" i="4"/>
  <c r="AE171" i="4"/>
  <c r="AD171" i="4"/>
  <c r="AC171" i="4"/>
  <c r="AB171" i="4"/>
  <c r="AA171" i="4"/>
  <c r="Z171" i="4"/>
  <c r="Y171" i="4"/>
  <c r="X171" i="4"/>
  <c r="W171" i="4"/>
  <c r="V171" i="4"/>
  <c r="U171" i="4"/>
  <c r="T171" i="4"/>
  <c r="S171" i="4"/>
  <c r="K171" i="4"/>
  <c r="AN170" i="4"/>
  <c r="AM170" i="4"/>
  <c r="AL170" i="4"/>
  <c r="AK170" i="4"/>
  <c r="AJ170" i="4"/>
  <c r="AI170" i="4"/>
  <c r="AH170" i="4"/>
  <c r="AG170" i="4"/>
  <c r="AF170" i="4"/>
  <c r="AE170" i="4"/>
  <c r="AD170" i="4"/>
  <c r="AC170" i="4"/>
  <c r="AB170" i="4"/>
  <c r="AA170" i="4"/>
  <c r="Z170" i="4"/>
  <c r="Y170" i="4"/>
  <c r="X170" i="4"/>
  <c r="W170" i="4"/>
  <c r="V170" i="4"/>
  <c r="U170" i="4"/>
  <c r="T170" i="4"/>
  <c r="S170" i="4"/>
  <c r="K170" i="4"/>
  <c r="AN169" i="4"/>
  <c r="AM169" i="4"/>
  <c r="AL169" i="4"/>
  <c r="AK169" i="4"/>
  <c r="AJ169" i="4"/>
  <c r="AI169" i="4"/>
  <c r="AH169" i="4"/>
  <c r="AG169" i="4"/>
  <c r="AF169" i="4"/>
  <c r="AE169" i="4"/>
  <c r="AD169" i="4"/>
  <c r="AC169" i="4"/>
  <c r="AB169" i="4"/>
  <c r="AA169" i="4"/>
  <c r="Z169" i="4"/>
  <c r="Y169" i="4"/>
  <c r="X169" i="4"/>
  <c r="W169" i="4"/>
  <c r="V169" i="4"/>
  <c r="U169" i="4"/>
  <c r="T169" i="4"/>
  <c r="S169" i="4"/>
  <c r="K169" i="4"/>
  <c r="AN168" i="4"/>
  <c r="AM168" i="4"/>
  <c r="AL168" i="4"/>
  <c r="AK168" i="4"/>
  <c r="AJ168" i="4"/>
  <c r="AI168" i="4"/>
  <c r="AH168" i="4"/>
  <c r="AG168" i="4"/>
  <c r="AF168" i="4"/>
  <c r="AE168" i="4"/>
  <c r="AD168" i="4"/>
  <c r="AC168" i="4"/>
  <c r="AB168" i="4"/>
  <c r="AA168" i="4"/>
  <c r="Z168" i="4"/>
  <c r="Y168" i="4"/>
  <c r="X168" i="4"/>
  <c r="W168" i="4"/>
  <c r="V168" i="4"/>
  <c r="U168" i="4"/>
  <c r="T168" i="4"/>
  <c r="S168" i="4"/>
  <c r="K168" i="4"/>
  <c r="AN167" i="4"/>
  <c r="AM167" i="4"/>
  <c r="AL167" i="4"/>
  <c r="AK167" i="4"/>
  <c r="AJ167" i="4"/>
  <c r="AI167" i="4"/>
  <c r="AH167" i="4"/>
  <c r="AG167" i="4"/>
  <c r="AF167" i="4"/>
  <c r="AE167" i="4"/>
  <c r="AD167" i="4"/>
  <c r="AC167" i="4"/>
  <c r="AB167" i="4"/>
  <c r="AA167" i="4"/>
  <c r="Z167" i="4"/>
  <c r="Y167" i="4"/>
  <c r="X167" i="4"/>
  <c r="W167" i="4"/>
  <c r="V167" i="4"/>
  <c r="U167" i="4"/>
  <c r="T167" i="4"/>
  <c r="S167" i="4"/>
  <c r="K167" i="4"/>
  <c r="AN166" i="4"/>
  <c r="AM166" i="4"/>
  <c r="AL166" i="4"/>
  <c r="AK166" i="4"/>
  <c r="AJ166" i="4"/>
  <c r="AI166" i="4"/>
  <c r="AH166" i="4"/>
  <c r="AG166" i="4"/>
  <c r="AF166" i="4"/>
  <c r="AE166" i="4"/>
  <c r="AD166" i="4"/>
  <c r="AC166" i="4"/>
  <c r="AB166" i="4"/>
  <c r="AA166" i="4"/>
  <c r="Z166" i="4"/>
  <c r="Y166" i="4"/>
  <c r="X166" i="4"/>
  <c r="W166" i="4"/>
  <c r="V166" i="4"/>
  <c r="U166" i="4"/>
  <c r="T166" i="4"/>
  <c r="S166" i="4"/>
  <c r="K166" i="4"/>
  <c r="AN165" i="4"/>
  <c r="AM165" i="4"/>
  <c r="AL165" i="4"/>
  <c r="AK165" i="4"/>
  <c r="AJ165" i="4"/>
  <c r="AI165" i="4"/>
  <c r="AH165" i="4"/>
  <c r="AG165" i="4"/>
  <c r="AF165" i="4"/>
  <c r="AE165" i="4"/>
  <c r="AD165" i="4"/>
  <c r="AC165" i="4"/>
  <c r="AB165" i="4"/>
  <c r="AA165" i="4"/>
  <c r="Z165" i="4"/>
  <c r="Y165" i="4"/>
  <c r="X165" i="4"/>
  <c r="W165" i="4"/>
  <c r="V165" i="4"/>
  <c r="U165" i="4"/>
  <c r="T165" i="4"/>
  <c r="S165" i="4"/>
  <c r="K165" i="4"/>
  <c r="AN164" i="4"/>
  <c r="AM164" i="4"/>
  <c r="AL164" i="4"/>
  <c r="AK164" i="4"/>
  <c r="AJ164" i="4"/>
  <c r="AI164" i="4"/>
  <c r="AH164" i="4"/>
  <c r="AG164" i="4"/>
  <c r="AF164" i="4"/>
  <c r="AE164" i="4"/>
  <c r="AD164" i="4"/>
  <c r="AC164" i="4"/>
  <c r="AB164" i="4"/>
  <c r="AA164" i="4"/>
  <c r="Z164" i="4"/>
  <c r="Y164" i="4"/>
  <c r="X164" i="4"/>
  <c r="W164" i="4"/>
  <c r="V164" i="4"/>
  <c r="U164" i="4"/>
  <c r="T164" i="4"/>
  <c r="S164" i="4"/>
  <c r="K164" i="4"/>
  <c r="AN163" i="4"/>
  <c r="AM163" i="4"/>
  <c r="AL163" i="4"/>
  <c r="AK163" i="4"/>
  <c r="AJ163" i="4"/>
  <c r="AI163" i="4"/>
  <c r="AH163" i="4"/>
  <c r="AG163" i="4"/>
  <c r="AF163" i="4"/>
  <c r="AE163" i="4"/>
  <c r="AD163" i="4"/>
  <c r="AC163" i="4"/>
  <c r="AB163" i="4"/>
  <c r="AA163" i="4"/>
  <c r="Z163" i="4"/>
  <c r="Y163" i="4"/>
  <c r="X163" i="4"/>
  <c r="W163" i="4"/>
  <c r="V163" i="4"/>
  <c r="U163" i="4"/>
  <c r="T163" i="4"/>
  <c r="S163" i="4"/>
  <c r="K163" i="4"/>
  <c r="AN162" i="4"/>
  <c r="AM162" i="4"/>
  <c r="AL162" i="4"/>
  <c r="AK162" i="4"/>
  <c r="AJ162" i="4"/>
  <c r="AI162" i="4"/>
  <c r="AH162" i="4"/>
  <c r="AG162" i="4"/>
  <c r="AF162" i="4"/>
  <c r="AE162" i="4"/>
  <c r="AD162" i="4"/>
  <c r="AC162" i="4"/>
  <c r="AB162" i="4"/>
  <c r="AA162" i="4"/>
  <c r="Z162" i="4"/>
  <c r="Y162" i="4"/>
  <c r="X162" i="4"/>
  <c r="W162" i="4"/>
  <c r="V162" i="4"/>
  <c r="U162" i="4"/>
  <c r="T162" i="4"/>
  <c r="S162" i="4"/>
  <c r="K162" i="4"/>
  <c r="AN161" i="4"/>
  <c r="AM161" i="4"/>
  <c r="AL161" i="4"/>
  <c r="AK161" i="4"/>
  <c r="AJ161" i="4"/>
  <c r="AI161" i="4"/>
  <c r="AH161" i="4"/>
  <c r="AG161" i="4"/>
  <c r="AF161" i="4"/>
  <c r="AE161" i="4"/>
  <c r="AD161" i="4"/>
  <c r="AC161" i="4"/>
  <c r="AB161" i="4"/>
  <c r="AA161" i="4"/>
  <c r="Z161" i="4"/>
  <c r="Y161" i="4"/>
  <c r="X161" i="4"/>
  <c r="W161" i="4"/>
  <c r="V161" i="4"/>
  <c r="U161" i="4"/>
  <c r="T161" i="4"/>
  <c r="S161" i="4"/>
  <c r="K161" i="4"/>
  <c r="AN160" i="4"/>
  <c r="AM160" i="4"/>
  <c r="AL160" i="4"/>
  <c r="AK160" i="4"/>
  <c r="AJ160" i="4"/>
  <c r="AI160" i="4"/>
  <c r="AH160" i="4"/>
  <c r="AG160" i="4"/>
  <c r="AF160" i="4"/>
  <c r="AE160" i="4"/>
  <c r="AD160" i="4"/>
  <c r="AC160" i="4"/>
  <c r="AB160" i="4"/>
  <c r="AA160" i="4"/>
  <c r="Z160" i="4"/>
  <c r="Y160" i="4"/>
  <c r="X160" i="4"/>
  <c r="W160" i="4"/>
  <c r="V160" i="4"/>
  <c r="U160" i="4"/>
  <c r="T160" i="4"/>
  <c r="S160" i="4"/>
  <c r="K160" i="4"/>
  <c r="AN159" i="4"/>
  <c r="AM159" i="4"/>
  <c r="AL159" i="4"/>
  <c r="AK159" i="4"/>
  <c r="AJ159" i="4"/>
  <c r="AI159" i="4"/>
  <c r="AH159" i="4"/>
  <c r="AG159" i="4"/>
  <c r="AF159" i="4"/>
  <c r="AE159" i="4"/>
  <c r="AD159" i="4"/>
  <c r="AC159" i="4"/>
  <c r="AB159" i="4"/>
  <c r="AA159" i="4"/>
  <c r="Z159" i="4"/>
  <c r="Y159" i="4"/>
  <c r="X159" i="4"/>
  <c r="W159" i="4"/>
  <c r="V159" i="4"/>
  <c r="U159" i="4"/>
  <c r="T159" i="4"/>
  <c r="S159" i="4"/>
  <c r="K159" i="4"/>
  <c r="AN158" i="4"/>
  <c r="AM158" i="4"/>
  <c r="AL158" i="4"/>
  <c r="AK158" i="4"/>
  <c r="AJ158" i="4"/>
  <c r="AI158" i="4"/>
  <c r="AH158" i="4"/>
  <c r="AG158" i="4"/>
  <c r="AF158" i="4"/>
  <c r="AE158" i="4"/>
  <c r="AD158" i="4"/>
  <c r="AC158" i="4"/>
  <c r="AB158" i="4"/>
  <c r="AA158" i="4"/>
  <c r="Z158" i="4"/>
  <c r="Y158" i="4"/>
  <c r="X158" i="4"/>
  <c r="W158" i="4"/>
  <c r="V158" i="4"/>
  <c r="U158" i="4"/>
  <c r="T158" i="4"/>
  <c r="S158" i="4"/>
  <c r="K158" i="4"/>
  <c r="AN157" i="4"/>
  <c r="AM157" i="4"/>
  <c r="AL157" i="4"/>
  <c r="AK157" i="4"/>
  <c r="AJ157" i="4"/>
  <c r="AI157" i="4"/>
  <c r="AH157" i="4"/>
  <c r="AG157" i="4"/>
  <c r="AF157" i="4"/>
  <c r="AE157" i="4"/>
  <c r="AD157" i="4"/>
  <c r="AC157" i="4"/>
  <c r="AB157" i="4"/>
  <c r="AA157" i="4"/>
  <c r="Z157" i="4"/>
  <c r="Y157" i="4"/>
  <c r="X157" i="4"/>
  <c r="W157" i="4"/>
  <c r="V157" i="4"/>
  <c r="U157" i="4"/>
  <c r="T157" i="4"/>
  <c r="S157" i="4"/>
  <c r="K157" i="4"/>
  <c r="AN156" i="4"/>
  <c r="AM156" i="4"/>
  <c r="AL156" i="4"/>
  <c r="AK156" i="4"/>
  <c r="AJ156" i="4"/>
  <c r="AI156" i="4"/>
  <c r="AH156" i="4"/>
  <c r="AG156" i="4"/>
  <c r="AF156" i="4"/>
  <c r="AE156" i="4"/>
  <c r="AD156" i="4"/>
  <c r="AC156" i="4"/>
  <c r="AB156" i="4"/>
  <c r="AA156" i="4"/>
  <c r="Z156" i="4"/>
  <c r="Y156" i="4"/>
  <c r="X156" i="4"/>
  <c r="W156" i="4"/>
  <c r="V156" i="4"/>
  <c r="U156" i="4"/>
  <c r="T156" i="4"/>
  <c r="S156" i="4"/>
  <c r="K156" i="4"/>
  <c r="AN155" i="4"/>
  <c r="AM155" i="4"/>
  <c r="AL155" i="4"/>
  <c r="AK155" i="4"/>
  <c r="AJ155" i="4"/>
  <c r="AI155" i="4"/>
  <c r="AH155" i="4"/>
  <c r="AG155" i="4"/>
  <c r="AF155" i="4"/>
  <c r="AE155" i="4"/>
  <c r="AD155" i="4"/>
  <c r="AC155" i="4"/>
  <c r="AB155" i="4"/>
  <c r="AA155" i="4"/>
  <c r="Z155" i="4"/>
  <c r="Y155" i="4"/>
  <c r="X155" i="4"/>
  <c r="W155" i="4"/>
  <c r="V155" i="4"/>
  <c r="U155" i="4"/>
  <c r="T155" i="4"/>
  <c r="S155" i="4"/>
  <c r="K155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F114" i="4"/>
  <c r="E114" i="4"/>
  <c r="J114" i="4" s="1"/>
  <c r="F113" i="4"/>
  <c r="E113" i="4"/>
  <c r="J113" i="4" s="1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F78" i="4"/>
  <c r="E78" i="4"/>
  <c r="J78" i="4" s="1"/>
  <c r="F77" i="4"/>
  <c r="E77" i="4"/>
  <c r="J77" i="4" s="1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F43" i="4"/>
  <c r="E43" i="4"/>
  <c r="J43" i="4" s="1"/>
  <c r="F42" i="4"/>
  <c r="E42" i="4"/>
  <c r="J42" i="4" s="1"/>
  <c r="F41" i="4"/>
  <c r="E41" i="4"/>
  <c r="J41" i="4" s="1"/>
  <c r="L2169" i="3"/>
  <c r="K2169" i="3"/>
  <c r="J2169" i="3"/>
  <c r="H2169" i="3"/>
  <c r="L2168" i="3"/>
  <c r="K2168" i="3"/>
  <c r="J2168" i="3"/>
  <c r="H2168" i="3"/>
  <c r="L2167" i="3"/>
  <c r="K2167" i="3"/>
  <c r="J2167" i="3"/>
  <c r="H2167" i="3"/>
  <c r="L2166" i="3"/>
  <c r="K2166" i="3"/>
  <c r="J2166" i="3"/>
  <c r="H2166" i="3"/>
  <c r="L2165" i="3"/>
  <c r="K2165" i="3"/>
  <c r="J2165" i="3"/>
  <c r="H2165" i="3"/>
  <c r="L2164" i="3"/>
  <c r="K2164" i="3"/>
  <c r="J2164" i="3"/>
  <c r="H2164" i="3"/>
  <c r="L2163" i="3"/>
  <c r="K2163" i="3"/>
  <c r="J2163" i="3"/>
  <c r="H2163" i="3"/>
  <c r="L2162" i="3"/>
  <c r="K2162" i="3"/>
  <c r="J2162" i="3"/>
  <c r="H2162" i="3"/>
  <c r="L2161" i="3"/>
  <c r="K2161" i="3"/>
  <c r="J2161" i="3"/>
  <c r="H2161" i="3"/>
  <c r="L2160" i="3"/>
  <c r="K2160" i="3"/>
  <c r="J2160" i="3"/>
  <c r="H2160" i="3"/>
  <c r="L2159" i="3"/>
  <c r="K2159" i="3"/>
  <c r="J2159" i="3"/>
  <c r="H2159" i="3"/>
  <c r="L2158" i="3"/>
  <c r="K2158" i="3"/>
  <c r="J2158" i="3"/>
  <c r="H2158" i="3"/>
  <c r="L2157" i="3"/>
  <c r="K2157" i="3"/>
  <c r="J2157" i="3"/>
  <c r="H2157" i="3"/>
  <c r="L2156" i="3"/>
  <c r="K2156" i="3"/>
  <c r="J2156" i="3"/>
  <c r="H2156" i="3"/>
  <c r="L2155" i="3"/>
  <c r="K2155" i="3"/>
  <c r="J2155" i="3"/>
  <c r="H2155" i="3"/>
  <c r="L2154" i="3"/>
  <c r="K2154" i="3"/>
  <c r="J2154" i="3"/>
  <c r="L2153" i="3"/>
  <c r="K2153" i="3"/>
  <c r="J2153" i="3"/>
  <c r="L2152" i="3"/>
  <c r="K2152" i="3"/>
  <c r="J2152" i="3"/>
  <c r="L2151" i="3"/>
  <c r="K2151" i="3"/>
  <c r="J2151" i="3"/>
  <c r="L2150" i="3"/>
  <c r="K2150" i="3"/>
  <c r="J2150" i="3"/>
  <c r="L2149" i="3"/>
  <c r="K2149" i="3"/>
  <c r="J2149" i="3"/>
  <c r="L2148" i="3"/>
  <c r="K2148" i="3"/>
  <c r="J2148" i="3"/>
  <c r="L2147" i="3"/>
  <c r="K2147" i="3"/>
  <c r="J2147" i="3"/>
  <c r="L2146" i="3"/>
  <c r="K2146" i="3"/>
  <c r="J2146" i="3"/>
  <c r="L2145" i="3"/>
  <c r="K2145" i="3"/>
  <c r="J2145" i="3"/>
  <c r="L2144" i="3"/>
  <c r="K2144" i="3"/>
  <c r="J2144" i="3"/>
  <c r="L2143" i="3"/>
  <c r="K2143" i="3"/>
  <c r="J2143" i="3"/>
  <c r="L2142" i="3"/>
  <c r="K2142" i="3"/>
  <c r="J2142" i="3"/>
  <c r="L2141" i="3"/>
  <c r="K2141" i="3"/>
  <c r="J2141" i="3"/>
  <c r="L2140" i="3"/>
  <c r="K2140" i="3"/>
  <c r="J2140" i="3"/>
  <c r="L2139" i="3"/>
  <c r="K2139" i="3"/>
  <c r="J2139" i="3"/>
  <c r="L2138" i="3"/>
  <c r="K2138" i="3"/>
  <c r="J2138" i="3"/>
  <c r="L2137" i="3"/>
  <c r="K2137" i="3"/>
  <c r="J2137" i="3"/>
  <c r="L2136" i="3"/>
  <c r="K2136" i="3"/>
  <c r="J2136" i="3"/>
  <c r="L2135" i="3"/>
  <c r="K2135" i="3"/>
  <c r="N2135" i="3" s="1"/>
  <c r="J2135" i="3"/>
  <c r="M2135" i="3" s="1"/>
  <c r="L2134" i="3"/>
  <c r="K2134" i="3"/>
  <c r="N2134" i="3" s="1"/>
  <c r="J2134" i="3"/>
  <c r="M2134" i="3" s="1"/>
  <c r="L2133" i="3"/>
  <c r="K2133" i="3"/>
  <c r="N2133" i="3" s="1"/>
  <c r="J2133" i="3"/>
  <c r="M2133" i="3" s="1"/>
  <c r="L2132" i="3"/>
  <c r="K2132" i="3"/>
  <c r="N2132" i="3" s="1"/>
  <c r="J2132" i="3"/>
  <c r="M2132" i="3" s="1"/>
  <c r="L2131" i="3"/>
  <c r="K2131" i="3"/>
  <c r="N2131" i="3" s="1"/>
  <c r="J2131" i="3"/>
  <c r="M2131" i="3" s="1"/>
  <c r="L2130" i="3"/>
  <c r="K2130" i="3"/>
  <c r="N2130" i="3" s="1"/>
  <c r="J2130" i="3"/>
  <c r="M2130" i="3" s="1"/>
  <c r="L2129" i="3"/>
  <c r="K2129" i="3"/>
  <c r="N2129" i="3" s="1"/>
  <c r="J2129" i="3"/>
  <c r="M2129" i="3" s="1"/>
  <c r="L2128" i="3"/>
  <c r="K2128" i="3"/>
  <c r="N2128" i="3" s="1"/>
  <c r="J2128" i="3"/>
  <c r="M2128" i="3" s="1"/>
  <c r="L2127" i="3"/>
  <c r="K2127" i="3"/>
  <c r="N2127" i="3" s="1"/>
  <c r="J2127" i="3"/>
  <c r="M2127" i="3" s="1"/>
  <c r="L2126" i="3"/>
  <c r="K2126" i="3"/>
  <c r="N2126" i="3" s="1"/>
  <c r="J2126" i="3"/>
  <c r="M2126" i="3" s="1"/>
  <c r="L2125" i="3"/>
  <c r="K2125" i="3"/>
  <c r="N2125" i="3" s="1"/>
  <c r="J2125" i="3"/>
  <c r="M2125" i="3" s="1"/>
  <c r="L2124" i="3"/>
  <c r="K2124" i="3"/>
  <c r="N2124" i="3" s="1"/>
  <c r="J2124" i="3"/>
  <c r="M2124" i="3" s="1"/>
  <c r="L2123" i="3"/>
  <c r="K2123" i="3"/>
  <c r="N2123" i="3" s="1"/>
  <c r="J2123" i="3"/>
  <c r="M2123" i="3" s="1"/>
  <c r="L2122" i="3"/>
  <c r="K2122" i="3"/>
  <c r="N2122" i="3" s="1"/>
  <c r="J2122" i="3"/>
  <c r="M2122" i="3" s="1"/>
  <c r="L2121" i="3"/>
  <c r="K2121" i="3"/>
  <c r="N2121" i="3" s="1"/>
  <c r="J2121" i="3"/>
  <c r="M2121" i="3" s="1"/>
  <c r="L2120" i="3"/>
  <c r="K2120" i="3"/>
  <c r="N2120" i="3" s="1"/>
  <c r="J2120" i="3"/>
  <c r="M2120" i="3" s="1"/>
  <c r="L2119" i="3"/>
  <c r="K2119" i="3"/>
  <c r="N2119" i="3" s="1"/>
  <c r="J2119" i="3"/>
  <c r="M2119" i="3" s="1"/>
  <c r="L2118" i="3"/>
  <c r="K2118" i="3"/>
  <c r="N2118" i="3" s="1"/>
  <c r="J2118" i="3"/>
  <c r="M2118" i="3" s="1"/>
  <c r="L2117" i="3"/>
  <c r="K2117" i="3"/>
  <c r="N2117" i="3" s="1"/>
  <c r="J2117" i="3"/>
  <c r="M2117" i="3" s="1"/>
  <c r="L2116" i="3"/>
  <c r="K2116" i="3"/>
  <c r="N2116" i="3" s="1"/>
  <c r="J2116" i="3"/>
  <c r="M2116" i="3" s="1"/>
  <c r="L2115" i="3"/>
  <c r="K2115" i="3"/>
  <c r="N2115" i="3" s="1"/>
  <c r="J2115" i="3"/>
  <c r="M2115" i="3" s="1"/>
  <c r="L2114" i="3"/>
  <c r="K2114" i="3"/>
  <c r="N2114" i="3" s="1"/>
  <c r="J2114" i="3"/>
  <c r="M2114" i="3" s="1"/>
  <c r="L2113" i="3"/>
  <c r="K2113" i="3"/>
  <c r="N2113" i="3" s="1"/>
  <c r="J2113" i="3"/>
  <c r="M2113" i="3" s="1"/>
  <c r="L2112" i="3"/>
  <c r="K2112" i="3"/>
  <c r="N2112" i="3" s="1"/>
  <c r="J2112" i="3"/>
  <c r="M2112" i="3" s="1"/>
  <c r="L2111" i="3"/>
  <c r="K2111" i="3"/>
  <c r="N2111" i="3" s="1"/>
  <c r="J2111" i="3"/>
  <c r="M2111" i="3" s="1"/>
  <c r="L2110" i="3"/>
  <c r="K2110" i="3"/>
  <c r="N2110" i="3" s="1"/>
  <c r="J2110" i="3"/>
  <c r="M2110" i="3" s="1"/>
  <c r="L2109" i="3"/>
  <c r="K2109" i="3"/>
  <c r="N2109" i="3" s="1"/>
  <c r="J2109" i="3"/>
  <c r="M2109" i="3" s="1"/>
  <c r="L2108" i="3"/>
  <c r="K2108" i="3"/>
  <c r="N2108" i="3" s="1"/>
  <c r="J2108" i="3"/>
  <c r="M2108" i="3" s="1"/>
  <c r="L2107" i="3"/>
  <c r="K2107" i="3"/>
  <c r="N2107" i="3" s="1"/>
  <c r="J2107" i="3"/>
  <c r="M2107" i="3" s="1"/>
  <c r="L2106" i="3"/>
  <c r="K2106" i="3"/>
  <c r="N2106" i="3" s="1"/>
  <c r="J2106" i="3"/>
  <c r="M2106" i="3" s="1"/>
  <c r="L2105" i="3"/>
  <c r="K2105" i="3"/>
  <c r="N2105" i="3" s="1"/>
  <c r="J2105" i="3"/>
  <c r="M2105" i="3" s="1"/>
  <c r="L2104" i="3"/>
  <c r="K2104" i="3"/>
  <c r="N2104" i="3" s="1"/>
  <c r="J2104" i="3"/>
  <c r="M2104" i="3" s="1"/>
  <c r="L2103" i="3"/>
  <c r="K2103" i="3"/>
  <c r="N2103" i="3" s="1"/>
  <c r="J2103" i="3"/>
  <c r="M2103" i="3" s="1"/>
  <c r="L2102" i="3"/>
  <c r="K2102" i="3"/>
  <c r="N2102" i="3" s="1"/>
  <c r="J2102" i="3"/>
  <c r="M2102" i="3" s="1"/>
  <c r="L2101" i="3"/>
  <c r="K2101" i="3"/>
  <c r="N2101" i="3" s="1"/>
  <c r="J2101" i="3"/>
  <c r="M2101" i="3" s="1"/>
  <c r="L2100" i="3"/>
  <c r="K2100" i="3"/>
  <c r="N2100" i="3" s="1"/>
  <c r="J2100" i="3"/>
  <c r="M2100" i="3" s="1"/>
  <c r="L2099" i="3"/>
  <c r="K2099" i="3"/>
  <c r="N2099" i="3" s="1"/>
  <c r="J2099" i="3"/>
  <c r="M2099" i="3" s="1"/>
  <c r="H2099" i="3"/>
  <c r="C2099" i="3"/>
  <c r="B2099" i="3"/>
  <c r="L2098" i="3"/>
  <c r="K2098" i="3"/>
  <c r="J2098" i="3"/>
  <c r="H2098" i="3"/>
  <c r="L2097" i="3"/>
  <c r="K2097" i="3"/>
  <c r="J2097" i="3"/>
  <c r="H2097" i="3"/>
  <c r="L2096" i="3"/>
  <c r="K2096" i="3"/>
  <c r="J2096" i="3"/>
  <c r="H2096" i="3"/>
  <c r="L2095" i="3"/>
  <c r="K2095" i="3"/>
  <c r="J2095" i="3"/>
  <c r="H2095" i="3"/>
  <c r="L2094" i="3"/>
  <c r="K2094" i="3"/>
  <c r="J2094" i="3"/>
  <c r="H2094" i="3"/>
  <c r="L2093" i="3"/>
  <c r="K2093" i="3"/>
  <c r="J2093" i="3"/>
  <c r="H2093" i="3"/>
  <c r="L2092" i="3"/>
  <c r="K2092" i="3"/>
  <c r="J2092" i="3"/>
  <c r="H2092" i="3"/>
  <c r="L2091" i="3"/>
  <c r="K2091" i="3"/>
  <c r="J2091" i="3"/>
  <c r="H2091" i="3"/>
  <c r="L2090" i="3"/>
  <c r="K2090" i="3"/>
  <c r="J2090" i="3"/>
  <c r="H2090" i="3"/>
  <c r="L2089" i="3"/>
  <c r="K2089" i="3"/>
  <c r="J2089" i="3"/>
  <c r="H2089" i="3"/>
  <c r="L2088" i="3"/>
  <c r="K2088" i="3"/>
  <c r="J2088" i="3"/>
  <c r="H2088" i="3"/>
  <c r="L2087" i="3"/>
  <c r="K2087" i="3"/>
  <c r="J2087" i="3"/>
  <c r="H2087" i="3"/>
  <c r="L2086" i="3"/>
  <c r="K2086" i="3"/>
  <c r="J2086" i="3"/>
  <c r="H2086" i="3"/>
  <c r="L2085" i="3"/>
  <c r="K2085" i="3"/>
  <c r="J2085" i="3"/>
  <c r="H2085" i="3"/>
  <c r="L2084" i="3"/>
  <c r="K2084" i="3"/>
  <c r="J2084" i="3"/>
  <c r="H2084" i="3"/>
  <c r="L2083" i="3"/>
  <c r="K2083" i="3"/>
  <c r="J2083" i="3"/>
  <c r="L2082" i="3"/>
  <c r="K2082" i="3"/>
  <c r="J2082" i="3"/>
  <c r="L2081" i="3"/>
  <c r="K2081" i="3"/>
  <c r="J2081" i="3"/>
  <c r="L2080" i="3"/>
  <c r="K2080" i="3"/>
  <c r="J2080" i="3"/>
  <c r="L2079" i="3"/>
  <c r="K2079" i="3"/>
  <c r="J2079" i="3"/>
  <c r="L2078" i="3"/>
  <c r="K2078" i="3"/>
  <c r="J2078" i="3"/>
  <c r="L2077" i="3"/>
  <c r="K2077" i="3"/>
  <c r="J2077" i="3"/>
  <c r="L2076" i="3"/>
  <c r="K2076" i="3"/>
  <c r="J2076" i="3"/>
  <c r="L2075" i="3"/>
  <c r="K2075" i="3"/>
  <c r="J2075" i="3"/>
  <c r="L2074" i="3"/>
  <c r="K2074" i="3"/>
  <c r="J2074" i="3"/>
  <c r="L2073" i="3"/>
  <c r="K2073" i="3"/>
  <c r="J2073" i="3"/>
  <c r="L2072" i="3"/>
  <c r="K2072" i="3"/>
  <c r="J2072" i="3"/>
  <c r="L2071" i="3"/>
  <c r="K2071" i="3"/>
  <c r="J2071" i="3"/>
  <c r="L2070" i="3"/>
  <c r="K2070" i="3"/>
  <c r="J2070" i="3"/>
  <c r="L2069" i="3"/>
  <c r="K2069" i="3"/>
  <c r="J2069" i="3"/>
  <c r="L2068" i="3"/>
  <c r="K2068" i="3"/>
  <c r="J2068" i="3"/>
  <c r="L2067" i="3"/>
  <c r="K2067" i="3"/>
  <c r="J2067" i="3"/>
  <c r="L2066" i="3"/>
  <c r="K2066" i="3"/>
  <c r="J2066" i="3"/>
  <c r="L2065" i="3"/>
  <c r="K2065" i="3"/>
  <c r="J2065" i="3"/>
  <c r="L2064" i="3"/>
  <c r="K2064" i="3"/>
  <c r="N2064" i="3" s="1"/>
  <c r="J2064" i="3"/>
  <c r="M2064" i="3" s="1"/>
  <c r="L2063" i="3"/>
  <c r="K2063" i="3"/>
  <c r="N2063" i="3" s="1"/>
  <c r="J2063" i="3"/>
  <c r="M2063" i="3" s="1"/>
  <c r="L2062" i="3"/>
  <c r="K2062" i="3"/>
  <c r="N2062" i="3" s="1"/>
  <c r="J2062" i="3"/>
  <c r="M2062" i="3" s="1"/>
  <c r="L2061" i="3"/>
  <c r="K2061" i="3"/>
  <c r="N2061" i="3" s="1"/>
  <c r="J2061" i="3"/>
  <c r="M2061" i="3" s="1"/>
  <c r="L2060" i="3"/>
  <c r="K2060" i="3"/>
  <c r="N2060" i="3" s="1"/>
  <c r="J2060" i="3"/>
  <c r="M2060" i="3" s="1"/>
  <c r="L2059" i="3"/>
  <c r="K2059" i="3"/>
  <c r="N2059" i="3" s="1"/>
  <c r="J2059" i="3"/>
  <c r="M2059" i="3" s="1"/>
  <c r="L2058" i="3"/>
  <c r="K2058" i="3"/>
  <c r="N2058" i="3" s="1"/>
  <c r="J2058" i="3"/>
  <c r="M2058" i="3" s="1"/>
  <c r="L2057" i="3"/>
  <c r="K2057" i="3"/>
  <c r="N2057" i="3" s="1"/>
  <c r="J2057" i="3"/>
  <c r="M2057" i="3" s="1"/>
  <c r="L2056" i="3"/>
  <c r="K2056" i="3"/>
  <c r="N2056" i="3" s="1"/>
  <c r="J2056" i="3"/>
  <c r="M2056" i="3" s="1"/>
  <c r="L2055" i="3"/>
  <c r="K2055" i="3"/>
  <c r="N2055" i="3" s="1"/>
  <c r="J2055" i="3"/>
  <c r="M2055" i="3" s="1"/>
  <c r="L2054" i="3"/>
  <c r="K2054" i="3"/>
  <c r="N2054" i="3" s="1"/>
  <c r="J2054" i="3"/>
  <c r="M2054" i="3" s="1"/>
  <c r="L2053" i="3"/>
  <c r="K2053" i="3"/>
  <c r="N2053" i="3" s="1"/>
  <c r="J2053" i="3"/>
  <c r="M2053" i="3" s="1"/>
  <c r="L2052" i="3"/>
  <c r="K2052" i="3"/>
  <c r="N2052" i="3" s="1"/>
  <c r="J2052" i="3"/>
  <c r="M2052" i="3" s="1"/>
  <c r="L2051" i="3"/>
  <c r="K2051" i="3"/>
  <c r="N2051" i="3" s="1"/>
  <c r="J2051" i="3"/>
  <c r="M2051" i="3" s="1"/>
  <c r="L2050" i="3"/>
  <c r="K2050" i="3"/>
  <c r="N2050" i="3" s="1"/>
  <c r="J2050" i="3"/>
  <c r="M2050" i="3" s="1"/>
  <c r="L2049" i="3"/>
  <c r="K2049" i="3"/>
  <c r="N2049" i="3" s="1"/>
  <c r="J2049" i="3"/>
  <c r="M2049" i="3" s="1"/>
  <c r="L2048" i="3"/>
  <c r="K2048" i="3"/>
  <c r="N2048" i="3" s="1"/>
  <c r="J2048" i="3"/>
  <c r="M2048" i="3" s="1"/>
  <c r="L2047" i="3"/>
  <c r="K2047" i="3"/>
  <c r="N2047" i="3" s="1"/>
  <c r="J2047" i="3"/>
  <c r="M2047" i="3" s="1"/>
  <c r="L2046" i="3"/>
  <c r="K2046" i="3"/>
  <c r="N2046" i="3" s="1"/>
  <c r="J2046" i="3"/>
  <c r="M2046" i="3" s="1"/>
  <c r="L2045" i="3"/>
  <c r="K2045" i="3"/>
  <c r="N2045" i="3" s="1"/>
  <c r="J2045" i="3"/>
  <c r="M2045" i="3" s="1"/>
  <c r="L2044" i="3"/>
  <c r="K2044" i="3"/>
  <c r="N2044" i="3" s="1"/>
  <c r="J2044" i="3"/>
  <c r="M2044" i="3" s="1"/>
  <c r="L2043" i="3"/>
  <c r="K2043" i="3"/>
  <c r="N2043" i="3" s="1"/>
  <c r="J2043" i="3"/>
  <c r="M2043" i="3" s="1"/>
  <c r="L2042" i="3"/>
  <c r="K2042" i="3"/>
  <c r="N2042" i="3" s="1"/>
  <c r="J2042" i="3"/>
  <c r="M2042" i="3" s="1"/>
  <c r="L2041" i="3"/>
  <c r="K2041" i="3"/>
  <c r="N2041" i="3" s="1"/>
  <c r="J2041" i="3"/>
  <c r="M2041" i="3" s="1"/>
  <c r="L2040" i="3"/>
  <c r="K2040" i="3"/>
  <c r="N2040" i="3" s="1"/>
  <c r="J2040" i="3"/>
  <c r="M2040" i="3" s="1"/>
  <c r="L2039" i="3"/>
  <c r="K2039" i="3"/>
  <c r="N2039" i="3" s="1"/>
  <c r="J2039" i="3"/>
  <c r="M2039" i="3" s="1"/>
  <c r="L2038" i="3"/>
  <c r="K2038" i="3"/>
  <c r="N2038" i="3" s="1"/>
  <c r="J2038" i="3"/>
  <c r="M2038" i="3" s="1"/>
  <c r="L2037" i="3"/>
  <c r="K2037" i="3"/>
  <c r="N2037" i="3" s="1"/>
  <c r="J2037" i="3"/>
  <c r="M2037" i="3" s="1"/>
  <c r="L2036" i="3"/>
  <c r="K2036" i="3"/>
  <c r="N2036" i="3" s="1"/>
  <c r="J2036" i="3"/>
  <c r="M2036" i="3" s="1"/>
  <c r="L2035" i="3"/>
  <c r="K2035" i="3"/>
  <c r="N2035" i="3" s="1"/>
  <c r="J2035" i="3"/>
  <c r="M2035" i="3" s="1"/>
  <c r="L2034" i="3"/>
  <c r="K2034" i="3"/>
  <c r="N2034" i="3" s="1"/>
  <c r="J2034" i="3"/>
  <c r="M2034" i="3" s="1"/>
  <c r="L2033" i="3"/>
  <c r="K2033" i="3"/>
  <c r="N2033" i="3" s="1"/>
  <c r="J2033" i="3"/>
  <c r="M2033" i="3" s="1"/>
  <c r="L2032" i="3"/>
  <c r="K2032" i="3"/>
  <c r="N2032" i="3" s="1"/>
  <c r="J2032" i="3"/>
  <c r="M2032" i="3" s="1"/>
  <c r="L2031" i="3"/>
  <c r="K2031" i="3"/>
  <c r="N2031" i="3" s="1"/>
  <c r="J2031" i="3"/>
  <c r="M2031" i="3" s="1"/>
  <c r="L2030" i="3"/>
  <c r="K2030" i="3"/>
  <c r="N2030" i="3" s="1"/>
  <c r="J2030" i="3"/>
  <c r="M2030" i="3" s="1"/>
  <c r="L2029" i="3"/>
  <c r="K2029" i="3"/>
  <c r="N2029" i="3" s="1"/>
  <c r="J2029" i="3"/>
  <c r="M2029" i="3" s="1"/>
  <c r="L2028" i="3"/>
  <c r="K2028" i="3"/>
  <c r="N2028" i="3" s="1"/>
  <c r="J2028" i="3"/>
  <c r="M2028" i="3" s="1"/>
  <c r="H2028" i="3"/>
  <c r="C2028" i="3"/>
  <c r="B2028" i="3"/>
  <c r="L2027" i="3"/>
  <c r="K2027" i="3"/>
  <c r="J2027" i="3"/>
  <c r="H2027" i="3"/>
  <c r="L2026" i="3"/>
  <c r="K2026" i="3"/>
  <c r="J2026" i="3"/>
  <c r="H2026" i="3"/>
  <c r="L2025" i="3"/>
  <c r="K2025" i="3"/>
  <c r="J2025" i="3"/>
  <c r="H2025" i="3"/>
  <c r="L2024" i="3"/>
  <c r="K2024" i="3"/>
  <c r="J2024" i="3"/>
  <c r="H2024" i="3"/>
  <c r="L2023" i="3"/>
  <c r="K2023" i="3"/>
  <c r="J2023" i="3"/>
  <c r="H2023" i="3"/>
  <c r="L2022" i="3"/>
  <c r="K2022" i="3"/>
  <c r="J2022" i="3"/>
  <c r="H2022" i="3"/>
  <c r="L2021" i="3"/>
  <c r="K2021" i="3"/>
  <c r="J2021" i="3"/>
  <c r="H2021" i="3"/>
  <c r="L2020" i="3"/>
  <c r="K2020" i="3"/>
  <c r="J2020" i="3"/>
  <c r="H2020" i="3"/>
  <c r="L2019" i="3"/>
  <c r="K2019" i="3"/>
  <c r="J2019" i="3"/>
  <c r="H2019" i="3"/>
  <c r="L2018" i="3"/>
  <c r="K2018" i="3"/>
  <c r="J2018" i="3"/>
  <c r="H2018" i="3"/>
  <c r="L2017" i="3"/>
  <c r="K2017" i="3"/>
  <c r="J2017" i="3"/>
  <c r="H2017" i="3"/>
  <c r="L2016" i="3"/>
  <c r="K2016" i="3"/>
  <c r="J2016" i="3"/>
  <c r="H2016" i="3"/>
  <c r="L2015" i="3"/>
  <c r="K2015" i="3"/>
  <c r="J2015" i="3"/>
  <c r="H2015" i="3"/>
  <c r="L2014" i="3"/>
  <c r="K2014" i="3"/>
  <c r="J2014" i="3"/>
  <c r="H2014" i="3"/>
  <c r="L2013" i="3"/>
  <c r="K2013" i="3"/>
  <c r="J2013" i="3"/>
  <c r="H2013" i="3"/>
  <c r="L2012" i="3"/>
  <c r="K2012" i="3"/>
  <c r="J2012" i="3"/>
  <c r="L2011" i="3"/>
  <c r="K2011" i="3"/>
  <c r="J2011" i="3"/>
  <c r="L2010" i="3"/>
  <c r="K2010" i="3"/>
  <c r="J2010" i="3"/>
  <c r="L2009" i="3"/>
  <c r="K2009" i="3"/>
  <c r="J2009" i="3"/>
  <c r="L2008" i="3"/>
  <c r="K2008" i="3"/>
  <c r="J2008" i="3"/>
  <c r="L2007" i="3"/>
  <c r="K2007" i="3"/>
  <c r="J2007" i="3"/>
  <c r="L2006" i="3"/>
  <c r="K2006" i="3"/>
  <c r="J2006" i="3"/>
  <c r="L2005" i="3"/>
  <c r="K2005" i="3"/>
  <c r="J2005" i="3"/>
  <c r="L2004" i="3"/>
  <c r="K2004" i="3"/>
  <c r="J2004" i="3"/>
  <c r="L2003" i="3"/>
  <c r="K2003" i="3"/>
  <c r="J2003" i="3"/>
  <c r="L2002" i="3"/>
  <c r="K2002" i="3"/>
  <c r="J2002" i="3"/>
  <c r="L2001" i="3"/>
  <c r="K2001" i="3"/>
  <c r="J2001" i="3"/>
  <c r="L2000" i="3"/>
  <c r="K2000" i="3"/>
  <c r="J2000" i="3"/>
  <c r="L1999" i="3"/>
  <c r="K1999" i="3"/>
  <c r="J1999" i="3"/>
  <c r="L1998" i="3"/>
  <c r="K1998" i="3"/>
  <c r="J1998" i="3"/>
  <c r="L1997" i="3"/>
  <c r="K1997" i="3"/>
  <c r="J1997" i="3"/>
  <c r="L1996" i="3"/>
  <c r="K1996" i="3"/>
  <c r="J1996" i="3"/>
  <c r="L1995" i="3"/>
  <c r="K1995" i="3"/>
  <c r="J1995" i="3"/>
  <c r="L1994" i="3"/>
  <c r="K1994" i="3"/>
  <c r="J1994" i="3"/>
  <c r="L1993" i="3"/>
  <c r="K1993" i="3"/>
  <c r="N1993" i="3" s="1"/>
  <c r="J1993" i="3"/>
  <c r="M1993" i="3" s="1"/>
  <c r="L1992" i="3"/>
  <c r="K1992" i="3"/>
  <c r="N1992" i="3" s="1"/>
  <c r="J1992" i="3"/>
  <c r="M1992" i="3" s="1"/>
  <c r="L1991" i="3"/>
  <c r="K1991" i="3"/>
  <c r="N1991" i="3" s="1"/>
  <c r="J1991" i="3"/>
  <c r="M1991" i="3" s="1"/>
  <c r="L1990" i="3"/>
  <c r="K1990" i="3"/>
  <c r="N1990" i="3" s="1"/>
  <c r="J1990" i="3"/>
  <c r="M1990" i="3" s="1"/>
  <c r="L1989" i="3"/>
  <c r="K1989" i="3"/>
  <c r="N1989" i="3" s="1"/>
  <c r="J1989" i="3"/>
  <c r="M1989" i="3" s="1"/>
  <c r="L1988" i="3"/>
  <c r="K1988" i="3"/>
  <c r="N1988" i="3" s="1"/>
  <c r="J1988" i="3"/>
  <c r="M1988" i="3" s="1"/>
  <c r="L1987" i="3"/>
  <c r="K1987" i="3"/>
  <c r="N1987" i="3" s="1"/>
  <c r="J1987" i="3"/>
  <c r="M1987" i="3" s="1"/>
  <c r="L1986" i="3"/>
  <c r="K1986" i="3"/>
  <c r="N1986" i="3" s="1"/>
  <c r="J1986" i="3"/>
  <c r="M1986" i="3" s="1"/>
  <c r="L1985" i="3"/>
  <c r="K1985" i="3"/>
  <c r="N1985" i="3" s="1"/>
  <c r="J1985" i="3"/>
  <c r="M1985" i="3" s="1"/>
  <c r="L1984" i="3"/>
  <c r="K1984" i="3"/>
  <c r="N1984" i="3" s="1"/>
  <c r="J1984" i="3"/>
  <c r="M1984" i="3" s="1"/>
  <c r="L1983" i="3"/>
  <c r="K1983" i="3"/>
  <c r="N1983" i="3" s="1"/>
  <c r="J1983" i="3"/>
  <c r="M1983" i="3" s="1"/>
  <c r="L1982" i="3"/>
  <c r="K1982" i="3"/>
  <c r="N1982" i="3" s="1"/>
  <c r="J1982" i="3"/>
  <c r="M1982" i="3" s="1"/>
  <c r="L1981" i="3"/>
  <c r="K1981" i="3"/>
  <c r="N1981" i="3" s="1"/>
  <c r="J1981" i="3"/>
  <c r="M1981" i="3" s="1"/>
  <c r="L1980" i="3"/>
  <c r="K1980" i="3"/>
  <c r="N1980" i="3" s="1"/>
  <c r="J1980" i="3"/>
  <c r="M1980" i="3" s="1"/>
  <c r="L1979" i="3"/>
  <c r="K1979" i="3"/>
  <c r="N1979" i="3" s="1"/>
  <c r="J1979" i="3"/>
  <c r="M1979" i="3" s="1"/>
  <c r="L1978" i="3"/>
  <c r="K1978" i="3"/>
  <c r="N1978" i="3" s="1"/>
  <c r="J1978" i="3"/>
  <c r="M1978" i="3" s="1"/>
  <c r="L1977" i="3"/>
  <c r="K1977" i="3"/>
  <c r="N1977" i="3" s="1"/>
  <c r="J1977" i="3"/>
  <c r="M1977" i="3" s="1"/>
  <c r="L1976" i="3"/>
  <c r="K1976" i="3"/>
  <c r="N1976" i="3" s="1"/>
  <c r="J1976" i="3"/>
  <c r="M1976" i="3" s="1"/>
  <c r="L1975" i="3"/>
  <c r="K1975" i="3"/>
  <c r="N1975" i="3" s="1"/>
  <c r="J1975" i="3"/>
  <c r="M1975" i="3" s="1"/>
  <c r="L1974" i="3"/>
  <c r="K1974" i="3"/>
  <c r="N1974" i="3" s="1"/>
  <c r="J1974" i="3"/>
  <c r="M1974" i="3" s="1"/>
  <c r="L1973" i="3"/>
  <c r="K1973" i="3"/>
  <c r="N1973" i="3" s="1"/>
  <c r="J1973" i="3"/>
  <c r="M1973" i="3" s="1"/>
  <c r="L1972" i="3"/>
  <c r="K1972" i="3"/>
  <c r="N1972" i="3" s="1"/>
  <c r="J1972" i="3"/>
  <c r="M1972" i="3" s="1"/>
  <c r="L1971" i="3"/>
  <c r="K1971" i="3"/>
  <c r="N1971" i="3" s="1"/>
  <c r="J1971" i="3"/>
  <c r="M1971" i="3" s="1"/>
  <c r="L1970" i="3"/>
  <c r="K1970" i="3"/>
  <c r="N1970" i="3" s="1"/>
  <c r="J1970" i="3"/>
  <c r="M1970" i="3" s="1"/>
  <c r="L1969" i="3"/>
  <c r="K1969" i="3"/>
  <c r="N1969" i="3" s="1"/>
  <c r="J1969" i="3"/>
  <c r="M1969" i="3" s="1"/>
  <c r="L1968" i="3"/>
  <c r="K1968" i="3"/>
  <c r="N1968" i="3" s="1"/>
  <c r="J1968" i="3"/>
  <c r="M1968" i="3" s="1"/>
  <c r="L1967" i="3"/>
  <c r="K1967" i="3"/>
  <c r="N1967" i="3" s="1"/>
  <c r="J1967" i="3"/>
  <c r="M1967" i="3" s="1"/>
  <c r="L1966" i="3"/>
  <c r="K1966" i="3"/>
  <c r="N1966" i="3" s="1"/>
  <c r="J1966" i="3"/>
  <c r="M1966" i="3" s="1"/>
  <c r="L1965" i="3"/>
  <c r="K1965" i="3"/>
  <c r="N1965" i="3" s="1"/>
  <c r="J1965" i="3"/>
  <c r="M1965" i="3" s="1"/>
  <c r="L1964" i="3"/>
  <c r="K1964" i="3"/>
  <c r="N1964" i="3" s="1"/>
  <c r="J1964" i="3"/>
  <c r="M1964" i="3" s="1"/>
  <c r="L1963" i="3"/>
  <c r="K1963" i="3"/>
  <c r="N1963" i="3" s="1"/>
  <c r="J1963" i="3"/>
  <c r="M1963" i="3" s="1"/>
  <c r="L1962" i="3"/>
  <c r="K1962" i="3"/>
  <c r="N1962" i="3" s="1"/>
  <c r="J1962" i="3"/>
  <c r="M1962" i="3" s="1"/>
  <c r="L1961" i="3"/>
  <c r="K1961" i="3"/>
  <c r="N1961" i="3" s="1"/>
  <c r="J1961" i="3"/>
  <c r="M1961" i="3" s="1"/>
  <c r="L1960" i="3"/>
  <c r="K1960" i="3"/>
  <c r="N1960" i="3" s="1"/>
  <c r="J1960" i="3"/>
  <c r="M1960" i="3" s="1"/>
  <c r="L1959" i="3"/>
  <c r="K1959" i="3"/>
  <c r="N1959" i="3" s="1"/>
  <c r="J1959" i="3"/>
  <c r="M1959" i="3" s="1"/>
  <c r="L1958" i="3"/>
  <c r="K1958" i="3"/>
  <c r="N1958" i="3" s="1"/>
  <c r="J1958" i="3"/>
  <c r="M1958" i="3" s="1"/>
  <c r="L1957" i="3"/>
  <c r="K1957" i="3"/>
  <c r="N1957" i="3" s="1"/>
  <c r="J1957" i="3"/>
  <c r="M1957" i="3" s="1"/>
  <c r="H1957" i="3"/>
  <c r="C1957" i="3"/>
  <c r="B1957" i="3"/>
  <c r="L1956" i="3"/>
  <c r="K1956" i="3"/>
  <c r="J1956" i="3"/>
  <c r="H1956" i="3"/>
  <c r="L1955" i="3"/>
  <c r="K1955" i="3"/>
  <c r="J1955" i="3"/>
  <c r="H1955" i="3"/>
  <c r="L1954" i="3"/>
  <c r="K1954" i="3"/>
  <c r="J1954" i="3"/>
  <c r="H1954" i="3"/>
  <c r="L1953" i="3"/>
  <c r="K1953" i="3"/>
  <c r="J1953" i="3"/>
  <c r="H1953" i="3"/>
  <c r="L1952" i="3"/>
  <c r="K1952" i="3"/>
  <c r="J1952" i="3"/>
  <c r="H1952" i="3"/>
  <c r="L1951" i="3"/>
  <c r="K1951" i="3"/>
  <c r="J1951" i="3"/>
  <c r="H1951" i="3"/>
  <c r="L1950" i="3"/>
  <c r="K1950" i="3"/>
  <c r="J1950" i="3"/>
  <c r="H1950" i="3"/>
  <c r="L1949" i="3"/>
  <c r="K1949" i="3"/>
  <c r="J1949" i="3"/>
  <c r="H1949" i="3"/>
  <c r="L1948" i="3"/>
  <c r="K1948" i="3"/>
  <c r="J1948" i="3"/>
  <c r="H1948" i="3"/>
  <c r="L1947" i="3"/>
  <c r="K1947" i="3"/>
  <c r="J1947" i="3"/>
  <c r="H1947" i="3"/>
  <c r="L1946" i="3"/>
  <c r="K1946" i="3"/>
  <c r="J1946" i="3"/>
  <c r="H1946" i="3"/>
  <c r="L1945" i="3"/>
  <c r="K1945" i="3"/>
  <c r="J1945" i="3"/>
  <c r="H1945" i="3"/>
  <c r="L1944" i="3"/>
  <c r="K1944" i="3"/>
  <c r="J1944" i="3"/>
  <c r="H1944" i="3"/>
  <c r="L1943" i="3"/>
  <c r="K1943" i="3"/>
  <c r="J1943" i="3"/>
  <c r="H1943" i="3"/>
  <c r="L1942" i="3"/>
  <c r="K1942" i="3"/>
  <c r="J1942" i="3"/>
  <c r="H1942" i="3"/>
  <c r="L1941" i="3"/>
  <c r="K1941" i="3"/>
  <c r="J1941" i="3"/>
  <c r="L1940" i="3"/>
  <c r="K1940" i="3"/>
  <c r="J1940" i="3"/>
  <c r="L1939" i="3"/>
  <c r="K1939" i="3"/>
  <c r="J1939" i="3"/>
  <c r="L1938" i="3"/>
  <c r="K1938" i="3"/>
  <c r="J1938" i="3"/>
  <c r="L1937" i="3"/>
  <c r="K1937" i="3"/>
  <c r="J1937" i="3"/>
  <c r="L1936" i="3"/>
  <c r="K1936" i="3"/>
  <c r="J1936" i="3"/>
  <c r="L1935" i="3"/>
  <c r="K1935" i="3"/>
  <c r="J1935" i="3"/>
  <c r="L1934" i="3"/>
  <c r="K1934" i="3"/>
  <c r="J1934" i="3"/>
  <c r="L1933" i="3"/>
  <c r="K1933" i="3"/>
  <c r="J1933" i="3"/>
  <c r="L1932" i="3"/>
  <c r="K1932" i="3"/>
  <c r="J1932" i="3"/>
  <c r="L1931" i="3"/>
  <c r="K1931" i="3"/>
  <c r="J1931" i="3"/>
  <c r="L1930" i="3"/>
  <c r="K1930" i="3"/>
  <c r="J1930" i="3"/>
  <c r="L1929" i="3"/>
  <c r="K1929" i="3"/>
  <c r="J1929" i="3"/>
  <c r="L1928" i="3"/>
  <c r="K1928" i="3"/>
  <c r="J1928" i="3"/>
  <c r="L1927" i="3"/>
  <c r="K1927" i="3"/>
  <c r="J1927" i="3"/>
  <c r="L1926" i="3"/>
  <c r="K1926" i="3"/>
  <c r="J1926" i="3"/>
  <c r="L1925" i="3"/>
  <c r="K1925" i="3"/>
  <c r="J1925" i="3"/>
  <c r="L1924" i="3"/>
  <c r="K1924" i="3"/>
  <c r="J1924" i="3"/>
  <c r="L1923" i="3"/>
  <c r="K1923" i="3"/>
  <c r="J1923" i="3"/>
  <c r="L1922" i="3"/>
  <c r="K1922" i="3"/>
  <c r="N1922" i="3" s="1"/>
  <c r="J1922" i="3"/>
  <c r="M1922" i="3" s="1"/>
  <c r="L1921" i="3"/>
  <c r="K1921" i="3"/>
  <c r="N1921" i="3" s="1"/>
  <c r="J1921" i="3"/>
  <c r="M1921" i="3" s="1"/>
  <c r="L1920" i="3"/>
  <c r="K1920" i="3"/>
  <c r="N1920" i="3" s="1"/>
  <c r="J1920" i="3"/>
  <c r="M1920" i="3" s="1"/>
  <c r="L1919" i="3"/>
  <c r="K1919" i="3"/>
  <c r="N1919" i="3" s="1"/>
  <c r="J1919" i="3"/>
  <c r="M1919" i="3" s="1"/>
  <c r="L1918" i="3"/>
  <c r="K1918" i="3"/>
  <c r="N1918" i="3" s="1"/>
  <c r="J1918" i="3"/>
  <c r="M1918" i="3" s="1"/>
  <c r="L1917" i="3"/>
  <c r="K1917" i="3"/>
  <c r="N1917" i="3" s="1"/>
  <c r="J1917" i="3"/>
  <c r="M1917" i="3" s="1"/>
  <c r="L1916" i="3"/>
  <c r="K1916" i="3"/>
  <c r="N1916" i="3" s="1"/>
  <c r="J1916" i="3"/>
  <c r="M1916" i="3" s="1"/>
  <c r="L1915" i="3"/>
  <c r="K1915" i="3"/>
  <c r="N1915" i="3" s="1"/>
  <c r="J1915" i="3"/>
  <c r="M1915" i="3" s="1"/>
  <c r="L1914" i="3"/>
  <c r="K1914" i="3"/>
  <c r="N1914" i="3" s="1"/>
  <c r="J1914" i="3"/>
  <c r="M1914" i="3" s="1"/>
  <c r="L1913" i="3"/>
  <c r="K1913" i="3"/>
  <c r="N1913" i="3" s="1"/>
  <c r="J1913" i="3"/>
  <c r="M1913" i="3" s="1"/>
  <c r="L1912" i="3"/>
  <c r="K1912" i="3"/>
  <c r="N1912" i="3" s="1"/>
  <c r="J1912" i="3"/>
  <c r="M1912" i="3" s="1"/>
  <c r="L1911" i="3"/>
  <c r="K1911" i="3"/>
  <c r="N1911" i="3" s="1"/>
  <c r="J1911" i="3"/>
  <c r="M1911" i="3" s="1"/>
  <c r="L1910" i="3"/>
  <c r="K1910" i="3"/>
  <c r="N1910" i="3" s="1"/>
  <c r="J1910" i="3"/>
  <c r="M1910" i="3" s="1"/>
  <c r="L1909" i="3"/>
  <c r="K1909" i="3"/>
  <c r="N1909" i="3" s="1"/>
  <c r="J1909" i="3"/>
  <c r="M1909" i="3" s="1"/>
  <c r="L1908" i="3"/>
  <c r="K1908" i="3"/>
  <c r="N1908" i="3" s="1"/>
  <c r="J1908" i="3"/>
  <c r="M1908" i="3" s="1"/>
  <c r="L1907" i="3"/>
  <c r="K1907" i="3"/>
  <c r="N1907" i="3" s="1"/>
  <c r="J1907" i="3"/>
  <c r="M1907" i="3" s="1"/>
  <c r="L1906" i="3"/>
  <c r="K1906" i="3"/>
  <c r="N1906" i="3" s="1"/>
  <c r="J1906" i="3"/>
  <c r="M1906" i="3" s="1"/>
  <c r="L1905" i="3"/>
  <c r="K1905" i="3"/>
  <c r="N1905" i="3" s="1"/>
  <c r="J1905" i="3"/>
  <c r="M1905" i="3" s="1"/>
  <c r="L1904" i="3"/>
  <c r="K1904" i="3"/>
  <c r="N1904" i="3" s="1"/>
  <c r="J1904" i="3"/>
  <c r="M1904" i="3" s="1"/>
  <c r="L1903" i="3"/>
  <c r="K1903" i="3"/>
  <c r="N1903" i="3" s="1"/>
  <c r="J1903" i="3"/>
  <c r="M1903" i="3" s="1"/>
  <c r="L1902" i="3"/>
  <c r="K1902" i="3"/>
  <c r="N1902" i="3" s="1"/>
  <c r="J1902" i="3"/>
  <c r="M1902" i="3" s="1"/>
  <c r="L1901" i="3"/>
  <c r="K1901" i="3"/>
  <c r="N1901" i="3" s="1"/>
  <c r="J1901" i="3"/>
  <c r="M1901" i="3" s="1"/>
  <c r="L1900" i="3"/>
  <c r="K1900" i="3"/>
  <c r="N1900" i="3" s="1"/>
  <c r="J1900" i="3"/>
  <c r="M1900" i="3" s="1"/>
  <c r="L1899" i="3"/>
  <c r="K1899" i="3"/>
  <c r="N1899" i="3" s="1"/>
  <c r="J1899" i="3"/>
  <c r="M1899" i="3" s="1"/>
  <c r="L1898" i="3"/>
  <c r="K1898" i="3"/>
  <c r="N1898" i="3" s="1"/>
  <c r="J1898" i="3"/>
  <c r="M1898" i="3" s="1"/>
  <c r="L1897" i="3"/>
  <c r="K1897" i="3"/>
  <c r="N1897" i="3" s="1"/>
  <c r="J1897" i="3"/>
  <c r="M1897" i="3" s="1"/>
  <c r="L1896" i="3"/>
  <c r="K1896" i="3"/>
  <c r="N1896" i="3" s="1"/>
  <c r="J1896" i="3"/>
  <c r="M1896" i="3" s="1"/>
  <c r="L1895" i="3"/>
  <c r="K1895" i="3"/>
  <c r="N1895" i="3" s="1"/>
  <c r="J1895" i="3"/>
  <c r="M1895" i="3" s="1"/>
  <c r="L1894" i="3"/>
  <c r="K1894" i="3"/>
  <c r="N1894" i="3" s="1"/>
  <c r="J1894" i="3"/>
  <c r="M1894" i="3" s="1"/>
  <c r="L1893" i="3"/>
  <c r="K1893" i="3"/>
  <c r="N1893" i="3" s="1"/>
  <c r="J1893" i="3"/>
  <c r="M1893" i="3" s="1"/>
  <c r="L1892" i="3"/>
  <c r="K1892" i="3"/>
  <c r="N1892" i="3" s="1"/>
  <c r="J1892" i="3"/>
  <c r="M1892" i="3" s="1"/>
  <c r="L1891" i="3"/>
  <c r="K1891" i="3"/>
  <c r="N1891" i="3" s="1"/>
  <c r="J1891" i="3"/>
  <c r="M1891" i="3" s="1"/>
  <c r="L1890" i="3"/>
  <c r="K1890" i="3"/>
  <c r="N1890" i="3" s="1"/>
  <c r="J1890" i="3"/>
  <c r="M1890" i="3" s="1"/>
  <c r="L1889" i="3"/>
  <c r="K1889" i="3"/>
  <c r="N1889" i="3" s="1"/>
  <c r="J1889" i="3"/>
  <c r="M1889" i="3" s="1"/>
  <c r="L1888" i="3"/>
  <c r="K1888" i="3"/>
  <c r="N1888" i="3" s="1"/>
  <c r="J1888" i="3"/>
  <c r="M1888" i="3" s="1"/>
  <c r="L1887" i="3"/>
  <c r="K1887" i="3"/>
  <c r="N1887" i="3" s="1"/>
  <c r="J1887" i="3"/>
  <c r="M1887" i="3" s="1"/>
  <c r="L1886" i="3"/>
  <c r="K1886" i="3"/>
  <c r="N1886" i="3" s="1"/>
  <c r="J1886" i="3"/>
  <c r="M1886" i="3" s="1"/>
  <c r="H1886" i="3"/>
  <c r="C1886" i="3"/>
  <c r="B1886" i="3"/>
  <c r="L1885" i="3"/>
  <c r="K1885" i="3"/>
  <c r="J1885" i="3"/>
  <c r="H1885" i="3"/>
  <c r="L1884" i="3"/>
  <c r="K1884" i="3"/>
  <c r="J1884" i="3"/>
  <c r="H1884" i="3"/>
  <c r="L1883" i="3"/>
  <c r="K1883" i="3"/>
  <c r="J1883" i="3"/>
  <c r="H1883" i="3"/>
  <c r="L1882" i="3"/>
  <c r="K1882" i="3"/>
  <c r="J1882" i="3"/>
  <c r="H1882" i="3"/>
  <c r="L1881" i="3"/>
  <c r="K1881" i="3"/>
  <c r="J1881" i="3"/>
  <c r="H1881" i="3"/>
  <c r="L1880" i="3"/>
  <c r="K1880" i="3"/>
  <c r="J1880" i="3"/>
  <c r="H1880" i="3"/>
  <c r="L1879" i="3"/>
  <c r="K1879" i="3"/>
  <c r="J1879" i="3"/>
  <c r="H1879" i="3"/>
  <c r="L1878" i="3"/>
  <c r="K1878" i="3"/>
  <c r="J1878" i="3"/>
  <c r="H1878" i="3"/>
  <c r="L1877" i="3"/>
  <c r="K1877" i="3"/>
  <c r="J1877" i="3"/>
  <c r="H1877" i="3"/>
  <c r="L1876" i="3"/>
  <c r="K1876" i="3"/>
  <c r="J1876" i="3"/>
  <c r="H1876" i="3"/>
  <c r="L1875" i="3"/>
  <c r="K1875" i="3"/>
  <c r="J1875" i="3"/>
  <c r="H1875" i="3"/>
  <c r="L1874" i="3"/>
  <c r="K1874" i="3"/>
  <c r="J1874" i="3"/>
  <c r="H1874" i="3"/>
  <c r="L1873" i="3"/>
  <c r="K1873" i="3"/>
  <c r="J1873" i="3"/>
  <c r="H1873" i="3"/>
  <c r="L1872" i="3"/>
  <c r="K1872" i="3"/>
  <c r="J1872" i="3"/>
  <c r="H1872" i="3"/>
  <c r="L1871" i="3"/>
  <c r="K1871" i="3"/>
  <c r="J1871" i="3"/>
  <c r="H1871" i="3"/>
  <c r="L1870" i="3"/>
  <c r="K1870" i="3"/>
  <c r="J1870" i="3"/>
  <c r="L1869" i="3"/>
  <c r="K1869" i="3"/>
  <c r="J1869" i="3"/>
  <c r="L1868" i="3"/>
  <c r="K1868" i="3"/>
  <c r="J1868" i="3"/>
  <c r="L1867" i="3"/>
  <c r="K1867" i="3"/>
  <c r="J1867" i="3"/>
  <c r="L1866" i="3"/>
  <c r="K1866" i="3"/>
  <c r="J1866" i="3"/>
  <c r="L1865" i="3"/>
  <c r="K1865" i="3"/>
  <c r="J1865" i="3"/>
  <c r="L1864" i="3"/>
  <c r="K1864" i="3"/>
  <c r="J1864" i="3"/>
  <c r="L1863" i="3"/>
  <c r="K1863" i="3"/>
  <c r="J1863" i="3"/>
  <c r="L1862" i="3"/>
  <c r="K1862" i="3"/>
  <c r="J1862" i="3"/>
  <c r="L1861" i="3"/>
  <c r="K1861" i="3"/>
  <c r="J1861" i="3"/>
  <c r="L1860" i="3"/>
  <c r="K1860" i="3"/>
  <c r="J1860" i="3"/>
  <c r="L1859" i="3"/>
  <c r="K1859" i="3"/>
  <c r="J1859" i="3"/>
  <c r="L1858" i="3"/>
  <c r="K1858" i="3"/>
  <c r="J1858" i="3"/>
  <c r="L1857" i="3"/>
  <c r="K1857" i="3"/>
  <c r="J1857" i="3"/>
  <c r="L1856" i="3"/>
  <c r="K1856" i="3"/>
  <c r="J1856" i="3"/>
  <c r="L1855" i="3"/>
  <c r="K1855" i="3"/>
  <c r="J1855" i="3"/>
  <c r="L1854" i="3"/>
  <c r="K1854" i="3"/>
  <c r="J1854" i="3"/>
  <c r="L1853" i="3"/>
  <c r="K1853" i="3"/>
  <c r="J1853" i="3"/>
  <c r="L1852" i="3"/>
  <c r="K1852" i="3"/>
  <c r="J1852" i="3"/>
  <c r="L1851" i="3"/>
  <c r="K1851" i="3"/>
  <c r="N1851" i="3" s="1"/>
  <c r="J1851" i="3"/>
  <c r="M1851" i="3" s="1"/>
  <c r="L1850" i="3"/>
  <c r="K1850" i="3"/>
  <c r="N1850" i="3" s="1"/>
  <c r="J1850" i="3"/>
  <c r="M1850" i="3" s="1"/>
  <c r="L1849" i="3"/>
  <c r="K1849" i="3"/>
  <c r="N1849" i="3" s="1"/>
  <c r="J1849" i="3"/>
  <c r="M1849" i="3" s="1"/>
  <c r="L1848" i="3"/>
  <c r="K1848" i="3"/>
  <c r="N1848" i="3" s="1"/>
  <c r="J1848" i="3"/>
  <c r="M1848" i="3" s="1"/>
  <c r="L1847" i="3"/>
  <c r="K1847" i="3"/>
  <c r="N1847" i="3" s="1"/>
  <c r="J1847" i="3"/>
  <c r="M1847" i="3" s="1"/>
  <c r="L1846" i="3"/>
  <c r="K1846" i="3"/>
  <c r="N1846" i="3" s="1"/>
  <c r="J1846" i="3"/>
  <c r="M1846" i="3" s="1"/>
  <c r="L1845" i="3"/>
  <c r="K1845" i="3"/>
  <c r="N1845" i="3" s="1"/>
  <c r="J1845" i="3"/>
  <c r="M1845" i="3" s="1"/>
  <c r="L1844" i="3"/>
  <c r="K1844" i="3"/>
  <c r="N1844" i="3" s="1"/>
  <c r="J1844" i="3"/>
  <c r="M1844" i="3" s="1"/>
  <c r="L1843" i="3"/>
  <c r="K1843" i="3"/>
  <c r="N1843" i="3" s="1"/>
  <c r="J1843" i="3"/>
  <c r="M1843" i="3" s="1"/>
  <c r="L1842" i="3"/>
  <c r="K1842" i="3"/>
  <c r="N1842" i="3" s="1"/>
  <c r="J1842" i="3"/>
  <c r="M1842" i="3" s="1"/>
  <c r="L1841" i="3"/>
  <c r="K1841" i="3"/>
  <c r="N1841" i="3" s="1"/>
  <c r="J1841" i="3"/>
  <c r="M1841" i="3" s="1"/>
  <c r="L1840" i="3"/>
  <c r="K1840" i="3"/>
  <c r="N1840" i="3" s="1"/>
  <c r="J1840" i="3"/>
  <c r="M1840" i="3" s="1"/>
  <c r="L1839" i="3"/>
  <c r="K1839" i="3"/>
  <c r="N1839" i="3" s="1"/>
  <c r="J1839" i="3"/>
  <c r="M1839" i="3" s="1"/>
  <c r="L1838" i="3"/>
  <c r="K1838" i="3"/>
  <c r="N1838" i="3" s="1"/>
  <c r="J1838" i="3"/>
  <c r="M1838" i="3" s="1"/>
  <c r="L1837" i="3"/>
  <c r="K1837" i="3"/>
  <c r="N1837" i="3" s="1"/>
  <c r="J1837" i="3"/>
  <c r="M1837" i="3" s="1"/>
  <c r="L1836" i="3"/>
  <c r="K1836" i="3"/>
  <c r="N1836" i="3" s="1"/>
  <c r="J1836" i="3"/>
  <c r="M1836" i="3" s="1"/>
  <c r="L1835" i="3"/>
  <c r="K1835" i="3"/>
  <c r="N1835" i="3" s="1"/>
  <c r="J1835" i="3"/>
  <c r="M1835" i="3" s="1"/>
  <c r="L1834" i="3"/>
  <c r="K1834" i="3"/>
  <c r="N1834" i="3" s="1"/>
  <c r="J1834" i="3"/>
  <c r="M1834" i="3" s="1"/>
  <c r="L1833" i="3"/>
  <c r="K1833" i="3"/>
  <c r="N1833" i="3" s="1"/>
  <c r="J1833" i="3"/>
  <c r="M1833" i="3" s="1"/>
  <c r="L1832" i="3"/>
  <c r="K1832" i="3"/>
  <c r="N1832" i="3" s="1"/>
  <c r="J1832" i="3"/>
  <c r="M1832" i="3" s="1"/>
  <c r="L1831" i="3"/>
  <c r="K1831" i="3"/>
  <c r="N1831" i="3" s="1"/>
  <c r="J1831" i="3"/>
  <c r="M1831" i="3" s="1"/>
  <c r="L1830" i="3"/>
  <c r="K1830" i="3"/>
  <c r="N1830" i="3" s="1"/>
  <c r="J1830" i="3"/>
  <c r="M1830" i="3" s="1"/>
  <c r="L1829" i="3"/>
  <c r="K1829" i="3"/>
  <c r="N1829" i="3" s="1"/>
  <c r="J1829" i="3"/>
  <c r="M1829" i="3" s="1"/>
  <c r="L1828" i="3"/>
  <c r="K1828" i="3"/>
  <c r="N1828" i="3" s="1"/>
  <c r="J1828" i="3"/>
  <c r="M1828" i="3" s="1"/>
  <c r="L1827" i="3"/>
  <c r="K1827" i="3"/>
  <c r="N1827" i="3" s="1"/>
  <c r="J1827" i="3"/>
  <c r="M1827" i="3" s="1"/>
  <c r="L1826" i="3"/>
  <c r="K1826" i="3"/>
  <c r="N1826" i="3" s="1"/>
  <c r="J1826" i="3"/>
  <c r="M1826" i="3" s="1"/>
  <c r="L1825" i="3"/>
  <c r="K1825" i="3"/>
  <c r="N1825" i="3" s="1"/>
  <c r="J1825" i="3"/>
  <c r="M1825" i="3" s="1"/>
  <c r="L1824" i="3"/>
  <c r="K1824" i="3"/>
  <c r="N1824" i="3" s="1"/>
  <c r="J1824" i="3"/>
  <c r="M1824" i="3" s="1"/>
  <c r="L1823" i="3"/>
  <c r="K1823" i="3"/>
  <c r="N1823" i="3" s="1"/>
  <c r="J1823" i="3"/>
  <c r="M1823" i="3" s="1"/>
  <c r="L1822" i="3"/>
  <c r="K1822" i="3"/>
  <c r="N1822" i="3" s="1"/>
  <c r="J1822" i="3"/>
  <c r="M1822" i="3" s="1"/>
  <c r="L1821" i="3"/>
  <c r="K1821" i="3"/>
  <c r="N1821" i="3" s="1"/>
  <c r="J1821" i="3"/>
  <c r="M1821" i="3" s="1"/>
  <c r="L1820" i="3"/>
  <c r="K1820" i="3"/>
  <c r="N1820" i="3" s="1"/>
  <c r="J1820" i="3"/>
  <c r="M1820" i="3" s="1"/>
  <c r="L1819" i="3"/>
  <c r="K1819" i="3"/>
  <c r="N1819" i="3" s="1"/>
  <c r="J1819" i="3"/>
  <c r="M1819" i="3" s="1"/>
  <c r="L1818" i="3"/>
  <c r="K1818" i="3"/>
  <c r="N1818" i="3" s="1"/>
  <c r="J1818" i="3"/>
  <c r="M1818" i="3" s="1"/>
  <c r="L1817" i="3"/>
  <c r="K1817" i="3"/>
  <c r="N1817" i="3" s="1"/>
  <c r="J1817" i="3"/>
  <c r="M1817" i="3" s="1"/>
  <c r="L1816" i="3"/>
  <c r="K1816" i="3"/>
  <c r="N1816" i="3" s="1"/>
  <c r="J1816" i="3"/>
  <c r="M1816" i="3" s="1"/>
  <c r="L1815" i="3"/>
  <c r="K1815" i="3"/>
  <c r="N1815" i="3" s="1"/>
  <c r="J1815" i="3"/>
  <c r="M1815" i="3" s="1"/>
  <c r="H1815" i="3"/>
  <c r="C1815" i="3"/>
  <c r="B1815" i="3"/>
  <c r="L1814" i="3"/>
  <c r="K1814" i="3"/>
  <c r="J1814" i="3"/>
  <c r="H1814" i="3"/>
  <c r="L1813" i="3"/>
  <c r="K1813" i="3"/>
  <c r="J1813" i="3"/>
  <c r="H1813" i="3"/>
  <c r="L1812" i="3"/>
  <c r="K1812" i="3"/>
  <c r="J1812" i="3"/>
  <c r="H1812" i="3"/>
  <c r="L1811" i="3"/>
  <c r="K1811" i="3"/>
  <c r="J1811" i="3"/>
  <c r="H1811" i="3"/>
  <c r="L1810" i="3"/>
  <c r="K1810" i="3"/>
  <c r="J1810" i="3"/>
  <c r="H1810" i="3"/>
  <c r="L1809" i="3"/>
  <c r="K1809" i="3"/>
  <c r="J1809" i="3"/>
  <c r="H1809" i="3"/>
  <c r="L1808" i="3"/>
  <c r="K1808" i="3"/>
  <c r="J1808" i="3"/>
  <c r="H1808" i="3"/>
  <c r="L1807" i="3"/>
  <c r="K1807" i="3"/>
  <c r="J1807" i="3"/>
  <c r="H1807" i="3"/>
  <c r="L1806" i="3"/>
  <c r="K1806" i="3"/>
  <c r="J1806" i="3"/>
  <c r="H1806" i="3"/>
  <c r="L1805" i="3"/>
  <c r="K1805" i="3"/>
  <c r="J1805" i="3"/>
  <c r="H1805" i="3"/>
  <c r="L1804" i="3"/>
  <c r="K1804" i="3"/>
  <c r="J1804" i="3"/>
  <c r="H1804" i="3"/>
  <c r="L1803" i="3"/>
  <c r="K1803" i="3"/>
  <c r="J1803" i="3"/>
  <c r="H1803" i="3"/>
  <c r="L1802" i="3"/>
  <c r="K1802" i="3"/>
  <c r="J1802" i="3"/>
  <c r="H1802" i="3"/>
  <c r="L1801" i="3"/>
  <c r="K1801" i="3"/>
  <c r="J1801" i="3"/>
  <c r="H1801" i="3"/>
  <c r="L1800" i="3"/>
  <c r="K1800" i="3"/>
  <c r="J1800" i="3"/>
  <c r="H1800" i="3"/>
  <c r="L1799" i="3"/>
  <c r="K1799" i="3"/>
  <c r="J1799" i="3"/>
  <c r="L1798" i="3"/>
  <c r="K1798" i="3"/>
  <c r="J1798" i="3"/>
  <c r="L1797" i="3"/>
  <c r="K1797" i="3"/>
  <c r="J1797" i="3"/>
  <c r="L1796" i="3"/>
  <c r="K1796" i="3"/>
  <c r="J1796" i="3"/>
  <c r="L1795" i="3"/>
  <c r="K1795" i="3"/>
  <c r="J1795" i="3"/>
  <c r="L1794" i="3"/>
  <c r="K1794" i="3"/>
  <c r="J1794" i="3"/>
  <c r="L1793" i="3"/>
  <c r="K1793" i="3"/>
  <c r="J1793" i="3"/>
  <c r="L1792" i="3"/>
  <c r="K1792" i="3"/>
  <c r="J1792" i="3"/>
  <c r="L1791" i="3"/>
  <c r="K1791" i="3"/>
  <c r="J1791" i="3"/>
  <c r="L1790" i="3"/>
  <c r="K1790" i="3"/>
  <c r="J1790" i="3"/>
  <c r="L1789" i="3"/>
  <c r="K1789" i="3"/>
  <c r="J1789" i="3"/>
  <c r="L1788" i="3"/>
  <c r="K1788" i="3"/>
  <c r="J1788" i="3"/>
  <c r="L1787" i="3"/>
  <c r="K1787" i="3"/>
  <c r="J1787" i="3"/>
  <c r="L1786" i="3"/>
  <c r="K1786" i="3"/>
  <c r="J1786" i="3"/>
  <c r="L1785" i="3"/>
  <c r="K1785" i="3"/>
  <c r="J1785" i="3"/>
  <c r="L1784" i="3"/>
  <c r="K1784" i="3"/>
  <c r="J1784" i="3"/>
  <c r="L1783" i="3"/>
  <c r="K1783" i="3"/>
  <c r="J1783" i="3"/>
  <c r="L1782" i="3"/>
  <c r="K1782" i="3"/>
  <c r="J1782" i="3"/>
  <c r="L1781" i="3"/>
  <c r="K1781" i="3"/>
  <c r="J1781" i="3"/>
  <c r="L1780" i="3"/>
  <c r="K1780" i="3"/>
  <c r="N1780" i="3" s="1"/>
  <c r="J1780" i="3"/>
  <c r="M1780" i="3" s="1"/>
  <c r="L1779" i="3"/>
  <c r="K1779" i="3"/>
  <c r="N1779" i="3" s="1"/>
  <c r="J1779" i="3"/>
  <c r="M1779" i="3" s="1"/>
  <c r="L1778" i="3"/>
  <c r="K1778" i="3"/>
  <c r="N1778" i="3" s="1"/>
  <c r="J1778" i="3"/>
  <c r="M1778" i="3" s="1"/>
  <c r="L1777" i="3"/>
  <c r="K1777" i="3"/>
  <c r="N1777" i="3" s="1"/>
  <c r="J1777" i="3"/>
  <c r="M1777" i="3" s="1"/>
  <c r="L1776" i="3"/>
  <c r="K1776" i="3"/>
  <c r="N1776" i="3" s="1"/>
  <c r="J1776" i="3"/>
  <c r="M1776" i="3" s="1"/>
  <c r="L1775" i="3"/>
  <c r="K1775" i="3"/>
  <c r="N1775" i="3" s="1"/>
  <c r="J1775" i="3"/>
  <c r="M1775" i="3" s="1"/>
  <c r="L1774" i="3"/>
  <c r="K1774" i="3"/>
  <c r="N1774" i="3" s="1"/>
  <c r="J1774" i="3"/>
  <c r="M1774" i="3" s="1"/>
  <c r="L1773" i="3"/>
  <c r="K1773" i="3"/>
  <c r="N1773" i="3" s="1"/>
  <c r="J1773" i="3"/>
  <c r="M1773" i="3" s="1"/>
  <c r="L1772" i="3"/>
  <c r="K1772" i="3"/>
  <c r="N1772" i="3" s="1"/>
  <c r="J1772" i="3"/>
  <c r="M1772" i="3" s="1"/>
  <c r="L1771" i="3"/>
  <c r="K1771" i="3"/>
  <c r="N1771" i="3" s="1"/>
  <c r="J1771" i="3"/>
  <c r="M1771" i="3" s="1"/>
  <c r="L1770" i="3"/>
  <c r="K1770" i="3"/>
  <c r="N1770" i="3" s="1"/>
  <c r="J1770" i="3"/>
  <c r="M1770" i="3" s="1"/>
  <c r="L1769" i="3"/>
  <c r="K1769" i="3"/>
  <c r="N1769" i="3" s="1"/>
  <c r="J1769" i="3"/>
  <c r="M1769" i="3" s="1"/>
  <c r="L1768" i="3"/>
  <c r="K1768" i="3"/>
  <c r="N1768" i="3" s="1"/>
  <c r="J1768" i="3"/>
  <c r="M1768" i="3" s="1"/>
  <c r="L1767" i="3"/>
  <c r="K1767" i="3"/>
  <c r="N1767" i="3" s="1"/>
  <c r="J1767" i="3"/>
  <c r="M1767" i="3" s="1"/>
  <c r="L1766" i="3"/>
  <c r="K1766" i="3"/>
  <c r="N1766" i="3" s="1"/>
  <c r="J1766" i="3"/>
  <c r="M1766" i="3" s="1"/>
  <c r="L1765" i="3"/>
  <c r="K1765" i="3"/>
  <c r="N1765" i="3" s="1"/>
  <c r="J1765" i="3"/>
  <c r="M1765" i="3" s="1"/>
  <c r="L1764" i="3"/>
  <c r="K1764" i="3"/>
  <c r="N1764" i="3" s="1"/>
  <c r="J1764" i="3"/>
  <c r="M1764" i="3" s="1"/>
  <c r="L1763" i="3"/>
  <c r="K1763" i="3"/>
  <c r="N1763" i="3" s="1"/>
  <c r="J1763" i="3"/>
  <c r="M1763" i="3" s="1"/>
  <c r="L1762" i="3"/>
  <c r="K1762" i="3"/>
  <c r="N1762" i="3" s="1"/>
  <c r="J1762" i="3"/>
  <c r="M1762" i="3" s="1"/>
  <c r="L1761" i="3"/>
  <c r="K1761" i="3"/>
  <c r="N1761" i="3" s="1"/>
  <c r="J1761" i="3"/>
  <c r="M1761" i="3" s="1"/>
  <c r="L1760" i="3"/>
  <c r="K1760" i="3"/>
  <c r="N1760" i="3" s="1"/>
  <c r="J1760" i="3"/>
  <c r="M1760" i="3" s="1"/>
  <c r="L1759" i="3"/>
  <c r="K1759" i="3"/>
  <c r="N1759" i="3" s="1"/>
  <c r="J1759" i="3"/>
  <c r="M1759" i="3" s="1"/>
  <c r="L1758" i="3"/>
  <c r="K1758" i="3"/>
  <c r="N1758" i="3" s="1"/>
  <c r="J1758" i="3"/>
  <c r="M1758" i="3" s="1"/>
  <c r="L1757" i="3"/>
  <c r="K1757" i="3"/>
  <c r="N1757" i="3" s="1"/>
  <c r="J1757" i="3"/>
  <c r="M1757" i="3" s="1"/>
  <c r="L1756" i="3"/>
  <c r="K1756" i="3"/>
  <c r="N1756" i="3" s="1"/>
  <c r="J1756" i="3"/>
  <c r="M1756" i="3" s="1"/>
  <c r="L1755" i="3"/>
  <c r="K1755" i="3"/>
  <c r="N1755" i="3" s="1"/>
  <c r="J1755" i="3"/>
  <c r="M1755" i="3" s="1"/>
  <c r="L1754" i="3"/>
  <c r="K1754" i="3"/>
  <c r="N1754" i="3" s="1"/>
  <c r="J1754" i="3"/>
  <c r="M1754" i="3" s="1"/>
  <c r="L1753" i="3"/>
  <c r="K1753" i="3"/>
  <c r="N1753" i="3" s="1"/>
  <c r="J1753" i="3"/>
  <c r="M1753" i="3" s="1"/>
  <c r="L1752" i="3"/>
  <c r="K1752" i="3"/>
  <c r="N1752" i="3" s="1"/>
  <c r="J1752" i="3"/>
  <c r="M1752" i="3" s="1"/>
  <c r="L1751" i="3"/>
  <c r="K1751" i="3"/>
  <c r="N1751" i="3" s="1"/>
  <c r="J1751" i="3"/>
  <c r="M1751" i="3" s="1"/>
  <c r="L1750" i="3"/>
  <c r="K1750" i="3"/>
  <c r="N1750" i="3" s="1"/>
  <c r="J1750" i="3"/>
  <c r="M1750" i="3" s="1"/>
  <c r="L1749" i="3"/>
  <c r="K1749" i="3"/>
  <c r="N1749" i="3" s="1"/>
  <c r="J1749" i="3"/>
  <c r="M1749" i="3" s="1"/>
  <c r="L1748" i="3"/>
  <c r="K1748" i="3"/>
  <c r="N1748" i="3" s="1"/>
  <c r="J1748" i="3"/>
  <c r="M1748" i="3" s="1"/>
  <c r="L1747" i="3"/>
  <c r="K1747" i="3"/>
  <c r="N1747" i="3" s="1"/>
  <c r="J1747" i="3"/>
  <c r="M1747" i="3" s="1"/>
  <c r="L1746" i="3"/>
  <c r="K1746" i="3"/>
  <c r="N1746" i="3" s="1"/>
  <c r="J1746" i="3"/>
  <c r="M1746" i="3" s="1"/>
  <c r="L1745" i="3"/>
  <c r="K1745" i="3"/>
  <c r="N1745" i="3" s="1"/>
  <c r="J1745" i="3"/>
  <c r="M1745" i="3" s="1"/>
  <c r="L1744" i="3"/>
  <c r="K1744" i="3"/>
  <c r="N1744" i="3" s="1"/>
  <c r="J1744" i="3"/>
  <c r="M1744" i="3" s="1"/>
  <c r="H1744" i="3"/>
  <c r="C1744" i="3"/>
  <c r="B1744" i="3"/>
  <c r="L1743" i="3"/>
  <c r="K1743" i="3"/>
  <c r="J1743" i="3"/>
  <c r="H1743" i="3"/>
  <c r="L1742" i="3"/>
  <c r="K1742" i="3"/>
  <c r="J1742" i="3"/>
  <c r="H1742" i="3"/>
  <c r="L1741" i="3"/>
  <c r="K1741" i="3"/>
  <c r="J1741" i="3"/>
  <c r="H1741" i="3"/>
  <c r="L1740" i="3"/>
  <c r="K1740" i="3"/>
  <c r="J1740" i="3"/>
  <c r="H1740" i="3"/>
  <c r="L1739" i="3"/>
  <c r="K1739" i="3"/>
  <c r="J1739" i="3"/>
  <c r="H1739" i="3"/>
  <c r="L1738" i="3"/>
  <c r="K1738" i="3"/>
  <c r="J1738" i="3"/>
  <c r="H1738" i="3"/>
  <c r="L1737" i="3"/>
  <c r="K1737" i="3"/>
  <c r="J1737" i="3"/>
  <c r="H1737" i="3"/>
  <c r="L1736" i="3"/>
  <c r="K1736" i="3"/>
  <c r="J1736" i="3"/>
  <c r="H1736" i="3"/>
  <c r="L1735" i="3"/>
  <c r="K1735" i="3"/>
  <c r="J1735" i="3"/>
  <c r="H1735" i="3"/>
  <c r="L1734" i="3"/>
  <c r="K1734" i="3"/>
  <c r="J1734" i="3"/>
  <c r="H1734" i="3"/>
  <c r="L1733" i="3"/>
  <c r="K1733" i="3"/>
  <c r="J1733" i="3"/>
  <c r="H1733" i="3"/>
  <c r="L1732" i="3"/>
  <c r="K1732" i="3"/>
  <c r="J1732" i="3"/>
  <c r="H1732" i="3"/>
  <c r="L1731" i="3"/>
  <c r="K1731" i="3"/>
  <c r="J1731" i="3"/>
  <c r="H1731" i="3"/>
  <c r="L1730" i="3"/>
  <c r="K1730" i="3"/>
  <c r="J1730" i="3"/>
  <c r="H1730" i="3"/>
  <c r="L1729" i="3"/>
  <c r="K1729" i="3"/>
  <c r="J1729" i="3"/>
  <c r="H1729" i="3"/>
  <c r="L1728" i="3"/>
  <c r="K1728" i="3"/>
  <c r="J1728" i="3"/>
  <c r="L1727" i="3"/>
  <c r="K1727" i="3"/>
  <c r="J1727" i="3"/>
  <c r="L1726" i="3"/>
  <c r="K1726" i="3"/>
  <c r="J1726" i="3"/>
  <c r="L1725" i="3"/>
  <c r="K1725" i="3"/>
  <c r="J1725" i="3"/>
  <c r="L1724" i="3"/>
  <c r="K1724" i="3"/>
  <c r="J1724" i="3"/>
  <c r="L1723" i="3"/>
  <c r="K1723" i="3"/>
  <c r="J1723" i="3"/>
  <c r="L1722" i="3"/>
  <c r="K1722" i="3"/>
  <c r="J1722" i="3"/>
  <c r="L1721" i="3"/>
  <c r="K1721" i="3"/>
  <c r="J1721" i="3"/>
  <c r="L1720" i="3"/>
  <c r="K1720" i="3"/>
  <c r="J1720" i="3"/>
  <c r="L1719" i="3"/>
  <c r="K1719" i="3"/>
  <c r="J1719" i="3"/>
  <c r="L1718" i="3"/>
  <c r="K1718" i="3"/>
  <c r="J1718" i="3"/>
  <c r="L1717" i="3"/>
  <c r="K1717" i="3"/>
  <c r="J1717" i="3"/>
  <c r="L1716" i="3"/>
  <c r="K1716" i="3"/>
  <c r="J1716" i="3"/>
  <c r="L1715" i="3"/>
  <c r="K1715" i="3"/>
  <c r="J1715" i="3"/>
  <c r="L1714" i="3"/>
  <c r="K1714" i="3"/>
  <c r="J1714" i="3"/>
  <c r="L1713" i="3"/>
  <c r="K1713" i="3"/>
  <c r="J1713" i="3"/>
  <c r="L1712" i="3"/>
  <c r="K1712" i="3"/>
  <c r="J1712" i="3"/>
  <c r="L1711" i="3"/>
  <c r="K1711" i="3"/>
  <c r="J1711" i="3"/>
  <c r="L1710" i="3"/>
  <c r="K1710" i="3"/>
  <c r="J1710" i="3"/>
  <c r="L1709" i="3"/>
  <c r="K1709" i="3"/>
  <c r="N1709" i="3" s="1"/>
  <c r="J1709" i="3"/>
  <c r="M1709" i="3" s="1"/>
  <c r="L1708" i="3"/>
  <c r="K1708" i="3"/>
  <c r="N1708" i="3" s="1"/>
  <c r="J1708" i="3"/>
  <c r="M1708" i="3" s="1"/>
  <c r="L1707" i="3"/>
  <c r="K1707" i="3"/>
  <c r="N1707" i="3" s="1"/>
  <c r="J1707" i="3"/>
  <c r="M1707" i="3" s="1"/>
  <c r="L1706" i="3"/>
  <c r="K1706" i="3"/>
  <c r="N1706" i="3" s="1"/>
  <c r="J1706" i="3"/>
  <c r="M1706" i="3" s="1"/>
  <c r="L1705" i="3"/>
  <c r="K1705" i="3"/>
  <c r="N1705" i="3" s="1"/>
  <c r="J1705" i="3"/>
  <c r="M1705" i="3" s="1"/>
  <c r="L1704" i="3"/>
  <c r="K1704" i="3"/>
  <c r="N1704" i="3" s="1"/>
  <c r="J1704" i="3"/>
  <c r="M1704" i="3" s="1"/>
  <c r="L1703" i="3"/>
  <c r="K1703" i="3"/>
  <c r="N1703" i="3" s="1"/>
  <c r="J1703" i="3"/>
  <c r="M1703" i="3" s="1"/>
  <c r="L1702" i="3"/>
  <c r="K1702" i="3"/>
  <c r="N1702" i="3" s="1"/>
  <c r="J1702" i="3"/>
  <c r="M1702" i="3" s="1"/>
  <c r="L1701" i="3"/>
  <c r="K1701" i="3"/>
  <c r="N1701" i="3" s="1"/>
  <c r="J1701" i="3"/>
  <c r="M1701" i="3" s="1"/>
  <c r="L1700" i="3"/>
  <c r="K1700" i="3"/>
  <c r="N1700" i="3" s="1"/>
  <c r="J1700" i="3"/>
  <c r="M1700" i="3" s="1"/>
  <c r="L1699" i="3"/>
  <c r="K1699" i="3"/>
  <c r="N1699" i="3" s="1"/>
  <c r="J1699" i="3"/>
  <c r="M1699" i="3" s="1"/>
  <c r="L1698" i="3"/>
  <c r="K1698" i="3"/>
  <c r="N1698" i="3" s="1"/>
  <c r="J1698" i="3"/>
  <c r="M1698" i="3" s="1"/>
  <c r="L1697" i="3"/>
  <c r="K1697" i="3"/>
  <c r="N1697" i="3" s="1"/>
  <c r="J1697" i="3"/>
  <c r="M1697" i="3" s="1"/>
  <c r="L1696" i="3"/>
  <c r="K1696" i="3"/>
  <c r="N1696" i="3" s="1"/>
  <c r="J1696" i="3"/>
  <c r="M1696" i="3" s="1"/>
  <c r="L1695" i="3"/>
  <c r="K1695" i="3"/>
  <c r="N1695" i="3" s="1"/>
  <c r="J1695" i="3"/>
  <c r="M1695" i="3" s="1"/>
  <c r="L1694" i="3"/>
  <c r="K1694" i="3"/>
  <c r="N1694" i="3" s="1"/>
  <c r="J1694" i="3"/>
  <c r="M1694" i="3" s="1"/>
  <c r="L1693" i="3"/>
  <c r="K1693" i="3"/>
  <c r="N1693" i="3" s="1"/>
  <c r="J1693" i="3"/>
  <c r="M1693" i="3" s="1"/>
  <c r="L1692" i="3"/>
  <c r="K1692" i="3"/>
  <c r="N1692" i="3" s="1"/>
  <c r="J1692" i="3"/>
  <c r="M1692" i="3" s="1"/>
  <c r="L1691" i="3"/>
  <c r="K1691" i="3"/>
  <c r="N1691" i="3" s="1"/>
  <c r="J1691" i="3"/>
  <c r="M1691" i="3" s="1"/>
  <c r="L1690" i="3"/>
  <c r="K1690" i="3"/>
  <c r="N1690" i="3" s="1"/>
  <c r="J1690" i="3"/>
  <c r="M1690" i="3" s="1"/>
  <c r="L1689" i="3"/>
  <c r="K1689" i="3"/>
  <c r="N1689" i="3" s="1"/>
  <c r="J1689" i="3"/>
  <c r="M1689" i="3" s="1"/>
  <c r="L1688" i="3"/>
  <c r="K1688" i="3"/>
  <c r="N1688" i="3" s="1"/>
  <c r="J1688" i="3"/>
  <c r="M1688" i="3" s="1"/>
  <c r="L1687" i="3"/>
  <c r="K1687" i="3"/>
  <c r="N1687" i="3" s="1"/>
  <c r="J1687" i="3"/>
  <c r="M1687" i="3" s="1"/>
  <c r="L1686" i="3"/>
  <c r="K1686" i="3"/>
  <c r="N1686" i="3" s="1"/>
  <c r="J1686" i="3"/>
  <c r="M1686" i="3" s="1"/>
  <c r="L1685" i="3"/>
  <c r="K1685" i="3"/>
  <c r="N1685" i="3" s="1"/>
  <c r="J1685" i="3"/>
  <c r="M1685" i="3" s="1"/>
  <c r="L1684" i="3"/>
  <c r="K1684" i="3"/>
  <c r="N1684" i="3" s="1"/>
  <c r="J1684" i="3"/>
  <c r="M1684" i="3" s="1"/>
  <c r="L1683" i="3"/>
  <c r="K1683" i="3"/>
  <c r="N1683" i="3" s="1"/>
  <c r="J1683" i="3"/>
  <c r="M1683" i="3" s="1"/>
  <c r="L1682" i="3"/>
  <c r="K1682" i="3"/>
  <c r="N1682" i="3" s="1"/>
  <c r="J1682" i="3"/>
  <c r="M1682" i="3" s="1"/>
  <c r="L1681" i="3"/>
  <c r="K1681" i="3"/>
  <c r="N1681" i="3" s="1"/>
  <c r="J1681" i="3"/>
  <c r="M1681" i="3" s="1"/>
  <c r="L1680" i="3"/>
  <c r="K1680" i="3"/>
  <c r="N1680" i="3" s="1"/>
  <c r="J1680" i="3"/>
  <c r="M1680" i="3" s="1"/>
  <c r="L1679" i="3"/>
  <c r="K1679" i="3"/>
  <c r="N1679" i="3" s="1"/>
  <c r="J1679" i="3"/>
  <c r="M1679" i="3" s="1"/>
  <c r="L1678" i="3"/>
  <c r="K1678" i="3"/>
  <c r="N1678" i="3" s="1"/>
  <c r="J1678" i="3"/>
  <c r="M1678" i="3" s="1"/>
  <c r="L1677" i="3"/>
  <c r="K1677" i="3"/>
  <c r="N1677" i="3" s="1"/>
  <c r="J1677" i="3"/>
  <c r="M1677" i="3" s="1"/>
  <c r="L1676" i="3"/>
  <c r="K1676" i="3"/>
  <c r="N1676" i="3" s="1"/>
  <c r="J1676" i="3"/>
  <c r="M1676" i="3" s="1"/>
  <c r="L1675" i="3"/>
  <c r="K1675" i="3"/>
  <c r="N1675" i="3" s="1"/>
  <c r="J1675" i="3"/>
  <c r="M1675" i="3" s="1"/>
  <c r="L1674" i="3"/>
  <c r="K1674" i="3"/>
  <c r="N1674" i="3" s="1"/>
  <c r="J1674" i="3"/>
  <c r="M1674" i="3" s="1"/>
  <c r="L1673" i="3"/>
  <c r="K1673" i="3"/>
  <c r="N1673" i="3" s="1"/>
  <c r="J1673" i="3"/>
  <c r="M1673" i="3" s="1"/>
  <c r="H1673" i="3"/>
  <c r="C1673" i="3"/>
  <c r="B1673" i="3"/>
  <c r="L1672" i="3"/>
  <c r="K1672" i="3"/>
  <c r="J1672" i="3"/>
  <c r="H1672" i="3"/>
  <c r="L1671" i="3"/>
  <c r="K1671" i="3"/>
  <c r="J1671" i="3"/>
  <c r="H1671" i="3"/>
  <c r="L1670" i="3"/>
  <c r="K1670" i="3"/>
  <c r="J1670" i="3"/>
  <c r="H1670" i="3"/>
  <c r="L1669" i="3"/>
  <c r="K1669" i="3"/>
  <c r="J1669" i="3"/>
  <c r="H1669" i="3"/>
  <c r="L1668" i="3"/>
  <c r="K1668" i="3"/>
  <c r="J1668" i="3"/>
  <c r="H1668" i="3"/>
  <c r="L1667" i="3"/>
  <c r="K1667" i="3"/>
  <c r="J1667" i="3"/>
  <c r="H1667" i="3"/>
  <c r="L1666" i="3"/>
  <c r="K1666" i="3"/>
  <c r="J1666" i="3"/>
  <c r="H1666" i="3"/>
  <c r="L1665" i="3"/>
  <c r="K1665" i="3"/>
  <c r="J1665" i="3"/>
  <c r="H1665" i="3"/>
  <c r="L1664" i="3"/>
  <c r="K1664" i="3"/>
  <c r="J1664" i="3"/>
  <c r="H1664" i="3"/>
  <c r="L1663" i="3"/>
  <c r="K1663" i="3"/>
  <c r="J1663" i="3"/>
  <c r="H1663" i="3"/>
  <c r="L1662" i="3"/>
  <c r="K1662" i="3"/>
  <c r="J1662" i="3"/>
  <c r="H1662" i="3"/>
  <c r="L1661" i="3"/>
  <c r="K1661" i="3"/>
  <c r="J1661" i="3"/>
  <c r="H1661" i="3"/>
  <c r="L1660" i="3"/>
  <c r="K1660" i="3"/>
  <c r="J1660" i="3"/>
  <c r="H1660" i="3"/>
  <c r="L1659" i="3"/>
  <c r="K1659" i="3"/>
  <c r="J1659" i="3"/>
  <c r="H1659" i="3"/>
  <c r="L1658" i="3"/>
  <c r="K1658" i="3"/>
  <c r="J1658" i="3"/>
  <c r="H1658" i="3"/>
  <c r="L1657" i="3"/>
  <c r="K1657" i="3"/>
  <c r="J1657" i="3"/>
  <c r="L1656" i="3"/>
  <c r="K1656" i="3"/>
  <c r="J1656" i="3"/>
  <c r="L1655" i="3"/>
  <c r="K1655" i="3"/>
  <c r="J1655" i="3"/>
  <c r="L1654" i="3"/>
  <c r="K1654" i="3"/>
  <c r="J1654" i="3"/>
  <c r="L1653" i="3"/>
  <c r="K1653" i="3"/>
  <c r="J1653" i="3"/>
  <c r="L1652" i="3"/>
  <c r="K1652" i="3"/>
  <c r="J1652" i="3"/>
  <c r="L1651" i="3"/>
  <c r="K1651" i="3"/>
  <c r="J1651" i="3"/>
  <c r="L1650" i="3"/>
  <c r="K1650" i="3"/>
  <c r="J1650" i="3"/>
  <c r="L1649" i="3"/>
  <c r="K1649" i="3"/>
  <c r="J1649" i="3"/>
  <c r="L1648" i="3"/>
  <c r="K1648" i="3"/>
  <c r="J1648" i="3"/>
  <c r="L1647" i="3"/>
  <c r="K1647" i="3"/>
  <c r="J1647" i="3"/>
  <c r="L1646" i="3"/>
  <c r="K1646" i="3"/>
  <c r="J1646" i="3"/>
  <c r="L1645" i="3"/>
  <c r="K1645" i="3"/>
  <c r="J1645" i="3"/>
  <c r="L1644" i="3"/>
  <c r="K1644" i="3"/>
  <c r="J1644" i="3"/>
  <c r="L1643" i="3"/>
  <c r="K1643" i="3"/>
  <c r="J1643" i="3"/>
  <c r="L1642" i="3"/>
  <c r="K1642" i="3"/>
  <c r="J1642" i="3"/>
  <c r="L1641" i="3"/>
  <c r="K1641" i="3"/>
  <c r="J1641" i="3"/>
  <c r="L1640" i="3"/>
  <c r="K1640" i="3"/>
  <c r="J1640" i="3"/>
  <c r="L1639" i="3"/>
  <c r="K1639" i="3"/>
  <c r="J1639" i="3"/>
  <c r="L1638" i="3"/>
  <c r="K1638" i="3"/>
  <c r="N1638" i="3" s="1"/>
  <c r="J1638" i="3"/>
  <c r="M1638" i="3" s="1"/>
  <c r="L1637" i="3"/>
  <c r="K1637" i="3"/>
  <c r="N1637" i="3" s="1"/>
  <c r="J1637" i="3"/>
  <c r="M1637" i="3" s="1"/>
  <c r="L1636" i="3"/>
  <c r="K1636" i="3"/>
  <c r="N1636" i="3" s="1"/>
  <c r="J1636" i="3"/>
  <c r="M1636" i="3" s="1"/>
  <c r="L1635" i="3"/>
  <c r="K1635" i="3"/>
  <c r="N1635" i="3" s="1"/>
  <c r="J1635" i="3"/>
  <c r="M1635" i="3" s="1"/>
  <c r="L1634" i="3"/>
  <c r="K1634" i="3"/>
  <c r="N1634" i="3" s="1"/>
  <c r="J1634" i="3"/>
  <c r="M1634" i="3" s="1"/>
  <c r="L1633" i="3"/>
  <c r="K1633" i="3"/>
  <c r="N1633" i="3" s="1"/>
  <c r="J1633" i="3"/>
  <c r="M1633" i="3" s="1"/>
  <c r="L1632" i="3"/>
  <c r="K1632" i="3"/>
  <c r="N1632" i="3" s="1"/>
  <c r="J1632" i="3"/>
  <c r="M1632" i="3" s="1"/>
  <c r="L1631" i="3"/>
  <c r="K1631" i="3"/>
  <c r="N1631" i="3" s="1"/>
  <c r="J1631" i="3"/>
  <c r="M1631" i="3" s="1"/>
  <c r="L1630" i="3"/>
  <c r="K1630" i="3"/>
  <c r="N1630" i="3" s="1"/>
  <c r="J1630" i="3"/>
  <c r="M1630" i="3" s="1"/>
  <c r="L1629" i="3"/>
  <c r="K1629" i="3"/>
  <c r="N1629" i="3" s="1"/>
  <c r="J1629" i="3"/>
  <c r="M1629" i="3" s="1"/>
  <c r="L1628" i="3"/>
  <c r="K1628" i="3"/>
  <c r="N1628" i="3" s="1"/>
  <c r="J1628" i="3"/>
  <c r="M1628" i="3" s="1"/>
  <c r="L1627" i="3"/>
  <c r="K1627" i="3"/>
  <c r="N1627" i="3" s="1"/>
  <c r="J1627" i="3"/>
  <c r="M1627" i="3" s="1"/>
  <c r="L1626" i="3"/>
  <c r="K1626" i="3"/>
  <c r="N1626" i="3" s="1"/>
  <c r="J1626" i="3"/>
  <c r="M1626" i="3" s="1"/>
  <c r="L1625" i="3"/>
  <c r="K1625" i="3"/>
  <c r="N1625" i="3" s="1"/>
  <c r="J1625" i="3"/>
  <c r="M1625" i="3" s="1"/>
  <c r="L1624" i="3"/>
  <c r="K1624" i="3"/>
  <c r="N1624" i="3" s="1"/>
  <c r="J1624" i="3"/>
  <c r="M1624" i="3" s="1"/>
  <c r="L1623" i="3"/>
  <c r="K1623" i="3"/>
  <c r="N1623" i="3" s="1"/>
  <c r="J1623" i="3"/>
  <c r="M1623" i="3" s="1"/>
  <c r="L1622" i="3"/>
  <c r="K1622" i="3"/>
  <c r="N1622" i="3" s="1"/>
  <c r="J1622" i="3"/>
  <c r="M1622" i="3" s="1"/>
  <c r="L1621" i="3"/>
  <c r="K1621" i="3"/>
  <c r="N1621" i="3" s="1"/>
  <c r="J1621" i="3"/>
  <c r="M1621" i="3" s="1"/>
  <c r="L1620" i="3"/>
  <c r="K1620" i="3"/>
  <c r="N1620" i="3" s="1"/>
  <c r="J1620" i="3"/>
  <c r="M1620" i="3" s="1"/>
  <c r="L1619" i="3"/>
  <c r="K1619" i="3"/>
  <c r="N1619" i="3" s="1"/>
  <c r="J1619" i="3"/>
  <c r="M1619" i="3" s="1"/>
  <c r="L1618" i="3"/>
  <c r="K1618" i="3"/>
  <c r="N1618" i="3" s="1"/>
  <c r="J1618" i="3"/>
  <c r="M1618" i="3" s="1"/>
  <c r="L1617" i="3"/>
  <c r="K1617" i="3"/>
  <c r="N1617" i="3" s="1"/>
  <c r="J1617" i="3"/>
  <c r="M1617" i="3" s="1"/>
  <c r="L1616" i="3"/>
  <c r="K1616" i="3"/>
  <c r="N1616" i="3" s="1"/>
  <c r="J1616" i="3"/>
  <c r="M1616" i="3" s="1"/>
  <c r="L1615" i="3"/>
  <c r="K1615" i="3"/>
  <c r="N1615" i="3" s="1"/>
  <c r="J1615" i="3"/>
  <c r="M1615" i="3" s="1"/>
  <c r="L1614" i="3"/>
  <c r="K1614" i="3"/>
  <c r="N1614" i="3" s="1"/>
  <c r="J1614" i="3"/>
  <c r="M1614" i="3" s="1"/>
  <c r="L1613" i="3"/>
  <c r="K1613" i="3"/>
  <c r="N1613" i="3" s="1"/>
  <c r="J1613" i="3"/>
  <c r="M1613" i="3" s="1"/>
  <c r="L1612" i="3"/>
  <c r="K1612" i="3"/>
  <c r="N1612" i="3" s="1"/>
  <c r="J1612" i="3"/>
  <c r="M1612" i="3" s="1"/>
  <c r="L1611" i="3"/>
  <c r="K1611" i="3"/>
  <c r="N1611" i="3" s="1"/>
  <c r="J1611" i="3"/>
  <c r="M1611" i="3" s="1"/>
  <c r="L1610" i="3"/>
  <c r="K1610" i="3"/>
  <c r="N1610" i="3" s="1"/>
  <c r="J1610" i="3"/>
  <c r="M1610" i="3" s="1"/>
  <c r="L1609" i="3"/>
  <c r="K1609" i="3"/>
  <c r="N1609" i="3" s="1"/>
  <c r="J1609" i="3"/>
  <c r="M1609" i="3" s="1"/>
  <c r="L1608" i="3"/>
  <c r="K1608" i="3"/>
  <c r="N1608" i="3" s="1"/>
  <c r="J1608" i="3"/>
  <c r="M1608" i="3" s="1"/>
  <c r="L1607" i="3"/>
  <c r="K1607" i="3"/>
  <c r="N1607" i="3" s="1"/>
  <c r="J1607" i="3"/>
  <c r="M1607" i="3" s="1"/>
  <c r="L1606" i="3"/>
  <c r="K1606" i="3"/>
  <c r="N1606" i="3" s="1"/>
  <c r="J1606" i="3"/>
  <c r="M1606" i="3" s="1"/>
  <c r="L1605" i="3"/>
  <c r="K1605" i="3"/>
  <c r="N1605" i="3" s="1"/>
  <c r="J1605" i="3"/>
  <c r="M1605" i="3" s="1"/>
  <c r="L1604" i="3"/>
  <c r="K1604" i="3"/>
  <c r="N1604" i="3" s="1"/>
  <c r="J1604" i="3"/>
  <c r="M1604" i="3" s="1"/>
  <c r="L1603" i="3"/>
  <c r="K1603" i="3"/>
  <c r="N1603" i="3" s="1"/>
  <c r="J1603" i="3"/>
  <c r="M1603" i="3" s="1"/>
  <c r="L1602" i="3"/>
  <c r="K1602" i="3"/>
  <c r="N1602" i="3" s="1"/>
  <c r="J1602" i="3"/>
  <c r="M1602" i="3" s="1"/>
  <c r="H1602" i="3"/>
  <c r="C1602" i="3"/>
  <c r="B1602" i="3"/>
  <c r="L1601" i="3"/>
  <c r="K1601" i="3"/>
  <c r="J1601" i="3"/>
  <c r="H1601" i="3"/>
  <c r="L1600" i="3"/>
  <c r="K1600" i="3"/>
  <c r="J1600" i="3"/>
  <c r="H1600" i="3"/>
  <c r="L1599" i="3"/>
  <c r="K1599" i="3"/>
  <c r="J1599" i="3"/>
  <c r="H1599" i="3"/>
  <c r="L1598" i="3"/>
  <c r="K1598" i="3"/>
  <c r="J1598" i="3"/>
  <c r="H1598" i="3"/>
  <c r="L1597" i="3"/>
  <c r="K1597" i="3"/>
  <c r="J1597" i="3"/>
  <c r="H1597" i="3"/>
  <c r="L1596" i="3"/>
  <c r="K1596" i="3"/>
  <c r="J1596" i="3"/>
  <c r="H1596" i="3"/>
  <c r="L1595" i="3"/>
  <c r="K1595" i="3"/>
  <c r="J1595" i="3"/>
  <c r="H1595" i="3"/>
  <c r="L1594" i="3"/>
  <c r="K1594" i="3"/>
  <c r="J1594" i="3"/>
  <c r="H1594" i="3"/>
  <c r="L1593" i="3"/>
  <c r="K1593" i="3"/>
  <c r="J1593" i="3"/>
  <c r="H1593" i="3"/>
  <c r="L1592" i="3"/>
  <c r="K1592" i="3"/>
  <c r="J1592" i="3"/>
  <c r="H1592" i="3"/>
  <c r="L1591" i="3"/>
  <c r="K1591" i="3"/>
  <c r="J1591" i="3"/>
  <c r="H1591" i="3"/>
  <c r="L1590" i="3"/>
  <c r="K1590" i="3"/>
  <c r="J1590" i="3"/>
  <c r="H1590" i="3"/>
  <c r="L1589" i="3"/>
  <c r="K1589" i="3"/>
  <c r="J1589" i="3"/>
  <c r="H1589" i="3"/>
  <c r="L1588" i="3"/>
  <c r="K1588" i="3"/>
  <c r="J1588" i="3"/>
  <c r="H1588" i="3"/>
  <c r="L1587" i="3"/>
  <c r="K1587" i="3"/>
  <c r="J1587" i="3"/>
  <c r="H1587" i="3"/>
  <c r="L1586" i="3"/>
  <c r="K1586" i="3"/>
  <c r="J1586" i="3"/>
  <c r="L1585" i="3"/>
  <c r="K1585" i="3"/>
  <c r="J1585" i="3"/>
  <c r="L1584" i="3"/>
  <c r="K1584" i="3"/>
  <c r="J1584" i="3"/>
  <c r="L1583" i="3"/>
  <c r="K1583" i="3"/>
  <c r="J1583" i="3"/>
  <c r="L1582" i="3"/>
  <c r="K1582" i="3"/>
  <c r="J1582" i="3"/>
  <c r="L1581" i="3"/>
  <c r="K1581" i="3"/>
  <c r="J1581" i="3"/>
  <c r="L1580" i="3"/>
  <c r="K1580" i="3"/>
  <c r="J1580" i="3"/>
  <c r="L1579" i="3"/>
  <c r="K1579" i="3"/>
  <c r="J1579" i="3"/>
  <c r="L1578" i="3"/>
  <c r="K1578" i="3"/>
  <c r="J1578" i="3"/>
  <c r="L1577" i="3"/>
  <c r="K1577" i="3"/>
  <c r="J1577" i="3"/>
  <c r="L1576" i="3"/>
  <c r="K1576" i="3"/>
  <c r="J1576" i="3"/>
  <c r="L1575" i="3"/>
  <c r="K1575" i="3"/>
  <c r="J1575" i="3"/>
  <c r="L1574" i="3"/>
  <c r="K1574" i="3"/>
  <c r="J1574" i="3"/>
  <c r="L1573" i="3"/>
  <c r="K1573" i="3"/>
  <c r="J1573" i="3"/>
  <c r="L1572" i="3"/>
  <c r="K1572" i="3"/>
  <c r="J1572" i="3"/>
  <c r="L1571" i="3"/>
  <c r="K1571" i="3"/>
  <c r="J1571" i="3"/>
  <c r="L1570" i="3"/>
  <c r="K1570" i="3"/>
  <c r="J1570" i="3"/>
  <c r="L1569" i="3"/>
  <c r="K1569" i="3"/>
  <c r="J1569" i="3"/>
  <c r="L1568" i="3"/>
  <c r="K1568" i="3"/>
  <c r="J1568" i="3"/>
  <c r="L1567" i="3"/>
  <c r="K1567" i="3"/>
  <c r="N1567" i="3" s="1"/>
  <c r="J1567" i="3"/>
  <c r="M1567" i="3" s="1"/>
  <c r="L1566" i="3"/>
  <c r="K1566" i="3"/>
  <c r="N1566" i="3" s="1"/>
  <c r="J1566" i="3"/>
  <c r="M1566" i="3" s="1"/>
  <c r="L1565" i="3"/>
  <c r="K1565" i="3"/>
  <c r="N1565" i="3" s="1"/>
  <c r="J1565" i="3"/>
  <c r="M1565" i="3" s="1"/>
  <c r="L1564" i="3"/>
  <c r="K1564" i="3"/>
  <c r="N1564" i="3" s="1"/>
  <c r="J1564" i="3"/>
  <c r="M1564" i="3" s="1"/>
  <c r="L1563" i="3"/>
  <c r="K1563" i="3"/>
  <c r="N1563" i="3" s="1"/>
  <c r="J1563" i="3"/>
  <c r="M1563" i="3" s="1"/>
  <c r="L1562" i="3"/>
  <c r="K1562" i="3"/>
  <c r="N1562" i="3" s="1"/>
  <c r="J1562" i="3"/>
  <c r="M1562" i="3" s="1"/>
  <c r="L1561" i="3"/>
  <c r="K1561" i="3"/>
  <c r="N1561" i="3" s="1"/>
  <c r="J1561" i="3"/>
  <c r="M1561" i="3" s="1"/>
  <c r="L1560" i="3"/>
  <c r="K1560" i="3"/>
  <c r="N1560" i="3" s="1"/>
  <c r="J1560" i="3"/>
  <c r="M1560" i="3" s="1"/>
  <c r="L1559" i="3"/>
  <c r="K1559" i="3"/>
  <c r="N1559" i="3" s="1"/>
  <c r="J1559" i="3"/>
  <c r="M1559" i="3" s="1"/>
  <c r="L1558" i="3"/>
  <c r="K1558" i="3"/>
  <c r="N1558" i="3" s="1"/>
  <c r="J1558" i="3"/>
  <c r="M1558" i="3" s="1"/>
  <c r="L1557" i="3"/>
  <c r="K1557" i="3"/>
  <c r="N1557" i="3" s="1"/>
  <c r="J1557" i="3"/>
  <c r="M1557" i="3" s="1"/>
  <c r="L1556" i="3"/>
  <c r="K1556" i="3"/>
  <c r="N1556" i="3" s="1"/>
  <c r="J1556" i="3"/>
  <c r="M1556" i="3" s="1"/>
  <c r="L1555" i="3"/>
  <c r="K1555" i="3"/>
  <c r="N1555" i="3" s="1"/>
  <c r="J1555" i="3"/>
  <c r="M1555" i="3" s="1"/>
  <c r="L1554" i="3"/>
  <c r="K1554" i="3"/>
  <c r="N1554" i="3" s="1"/>
  <c r="J1554" i="3"/>
  <c r="M1554" i="3" s="1"/>
  <c r="L1553" i="3"/>
  <c r="K1553" i="3"/>
  <c r="N1553" i="3" s="1"/>
  <c r="J1553" i="3"/>
  <c r="M1553" i="3" s="1"/>
  <c r="L1552" i="3"/>
  <c r="K1552" i="3"/>
  <c r="N1552" i="3" s="1"/>
  <c r="J1552" i="3"/>
  <c r="M1552" i="3" s="1"/>
  <c r="L1551" i="3"/>
  <c r="K1551" i="3"/>
  <c r="N1551" i="3" s="1"/>
  <c r="J1551" i="3"/>
  <c r="M1551" i="3" s="1"/>
  <c r="L1550" i="3"/>
  <c r="K1550" i="3"/>
  <c r="N1550" i="3" s="1"/>
  <c r="J1550" i="3"/>
  <c r="M1550" i="3" s="1"/>
  <c r="L1549" i="3"/>
  <c r="K1549" i="3"/>
  <c r="N1549" i="3" s="1"/>
  <c r="J1549" i="3"/>
  <c r="M1549" i="3" s="1"/>
  <c r="L1548" i="3"/>
  <c r="K1548" i="3"/>
  <c r="N1548" i="3" s="1"/>
  <c r="J1548" i="3"/>
  <c r="M1548" i="3" s="1"/>
  <c r="L1547" i="3"/>
  <c r="K1547" i="3"/>
  <c r="N1547" i="3" s="1"/>
  <c r="J1547" i="3"/>
  <c r="M1547" i="3" s="1"/>
  <c r="L1546" i="3"/>
  <c r="K1546" i="3"/>
  <c r="N1546" i="3" s="1"/>
  <c r="J1546" i="3"/>
  <c r="M1546" i="3" s="1"/>
  <c r="L1545" i="3"/>
  <c r="K1545" i="3"/>
  <c r="N1545" i="3" s="1"/>
  <c r="J1545" i="3"/>
  <c r="M1545" i="3" s="1"/>
  <c r="L1544" i="3"/>
  <c r="K1544" i="3"/>
  <c r="N1544" i="3" s="1"/>
  <c r="J1544" i="3"/>
  <c r="M1544" i="3" s="1"/>
  <c r="L1543" i="3"/>
  <c r="K1543" i="3"/>
  <c r="N1543" i="3" s="1"/>
  <c r="J1543" i="3"/>
  <c r="M1543" i="3" s="1"/>
  <c r="L1542" i="3"/>
  <c r="K1542" i="3"/>
  <c r="N1542" i="3" s="1"/>
  <c r="J1542" i="3"/>
  <c r="M1542" i="3" s="1"/>
  <c r="L1541" i="3"/>
  <c r="K1541" i="3"/>
  <c r="N1541" i="3" s="1"/>
  <c r="J1541" i="3"/>
  <c r="M1541" i="3" s="1"/>
  <c r="L1540" i="3"/>
  <c r="K1540" i="3"/>
  <c r="N1540" i="3" s="1"/>
  <c r="J1540" i="3"/>
  <c r="M1540" i="3" s="1"/>
  <c r="L1539" i="3"/>
  <c r="K1539" i="3"/>
  <c r="N1539" i="3" s="1"/>
  <c r="J1539" i="3"/>
  <c r="M1539" i="3" s="1"/>
  <c r="L1538" i="3"/>
  <c r="K1538" i="3"/>
  <c r="N1538" i="3" s="1"/>
  <c r="J1538" i="3"/>
  <c r="M1538" i="3" s="1"/>
  <c r="L1537" i="3"/>
  <c r="K1537" i="3"/>
  <c r="N1537" i="3" s="1"/>
  <c r="J1537" i="3"/>
  <c r="M1537" i="3" s="1"/>
  <c r="L1536" i="3"/>
  <c r="K1536" i="3"/>
  <c r="N1536" i="3" s="1"/>
  <c r="J1536" i="3"/>
  <c r="M1536" i="3" s="1"/>
  <c r="L1535" i="3"/>
  <c r="K1535" i="3"/>
  <c r="N1535" i="3" s="1"/>
  <c r="J1535" i="3"/>
  <c r="M1535" i="3" s="1"/>
  <c r="L1534" i="3"/>
  <c r="K1534" i="3"/>
  <c r="N1534" i="3" s="1"/>
  <c r="J1534" i="3"/>
  <c r="M1534" i="3" s="1"/>
  <c r="L1533" i="3"/>
  <c r="K1533" i="3"/>
  <c r="N1533" i="3" s="1"/>
  <c r="J1533" i="3"/>
  <c r="M1533" i="3" s="1"/>
  <c r="L1532" i="3"/>
  <c r="K1532" i="3"/>
  <c r="N1532" i="3" s="1"/>
  <c r="J1532" i="3"/>
  <c r="M1532" i="3" s="1"/>
  <c r="L1531" i="3"/>
  <c r="K1531" i="3"/>
  <c r="N1531" i="3" s="1"/>
  <c r="J1531" i="3"/>
  <c r="M1531" i="3" s="1"/>
  <c r="H1531" i="3"/>
  <c r="C1531" i="3"/>
  <c r="B1531" i="3"/>
  <c r="L1530" i="3"/>
  <c r="K1530" i="3"/>
  <c r="J1530" i="3"/>
  <c r="H1530" i="3"/>
  <c r="L1529" i="3"/>
  <c r="K1529" i="3"/>
  <c r="J1529" i="3"/>
  <c r="H1529" i="3"/>
  <c r="L1528" i="3"/>
  <c r="K1528" i="3"/>
  <c r="J1528" i="3"/>
  <c r="H1528" i="3"/>
  <c r="L1527" i="3"/>
  <c r="K1527" i="3"/>
  <c r="J1527" i="3"/>
  <c r="H1527" i="3"/>
  <c r="L1526" i="3"/>
  <c r="K1526" i="3"/>
  <c r="J1526" i="3"/>
  <c r="H1526" i="3"/>
  <c r="L1525" i="3"/>
  <c r="K1525" i="3"/>
  <c r="J1525" i="3"/>
  <c r="H1525" i="3"/>
  <c r="L1524" i="3"/>
  <c r="K1524" i="3"/>
  <c r="J1524" i="3"/>
  <c r="H1524" i="3"/>
  <c r="L1523" i="3"/>
  <c r="K1523" i="3"/>
  <c r="J1523" i="3"/>
  <c r="H1523" i="3"/>
  <c r="L1522" i="3"/>
  <c r="K1522" i="3"/>
  <c r="J1522" i="3"/>
  <c r="H1522" i="3"/>
  <c r="L1521" i="3"/>
  <c r="K1521" i="3"/>
  <c r="J1521" i="3"/>
  <c r="H1521" i="3"/>
  <c r="L1520" i="3"/>
  <c r="K1520" i="3"/>
  <c r="J1520" i="3"/>
  <c r="H1520" i="3"/>
  <c r="L1519" i="3"/>
  <c r="K1519" i="3"/>
  <c r="J1519" i="3"/>
  <c r="H1519" i="3"/>
  <c r="L1518" i="3"/>
  <c r="K1518" i="3"/>
  <c r="J1518" i="3"/>
  <c r="H1518" i="3"/>
  <c r="L1517" i="3"/>
  <c r="K1517" i="3"/>
  <c r="J1517" i="3"/>
  <c r="H1517" i="3"/>
  <c r="L1516" i="3"/>
  <c r="K1516" i="3"/>
  <c r="J1516" i="3"/>
  <c r="H1516" i="3"/>
  <c r="L1515" i="3"/>
  <c r="K1515" i="3"/>
  <c r="J1515" i="3"/>
  <c r="L1514" i="3"/>
  <c r="K1514" i="3"/>
  <c r="J1514" i="3"/>
  <c r="L1513" i="3"/>
  <c r="K1513" i="3"/>
  <c r="J1513" i="3"/>
  <c r="L1512" i="3"/>
  <c r="K1512" i="3"/>
  <c r="J1512" i="3"/>
  <c r="L1511" i="3"/>
  <c r="K1511" i="3"/>
  <c r="J1511" i="3"/>
  <c r="L1510" i="3"/>
  <c r="K1510" i="3"/>
  <c r="J1510" i="3"/>
  <c r="L1509" i="3"/>
  <c r="K1509" i="3"/>
  <c r="J1509" i="3"/>
  <c r="L1508" i="3"/>
  <c r="K1508" i="3"/>
  <c r="J1508" i="3"/>
  <c r="L1507" i="3"/>
  <c r="K1507" i="3"/>
  <c r="J1507" i="3"/>
  <c r="L1506" i="3"/>
  <c r="K1506" i="3"/>
  <c r="J1506" i="3"/>
  <c r="L1505" i="3"/>
  <c r="K1505" i="3"/>
  <c r="J1505" i="3"/>
  <c r="L1504" i="3"/>
  <c r="K1504" i="3"/>
  <c r="J1504" i="3"/>
  <c r="L1503" i="3"/>
  <c r="K1503" i="3"/>
  <c r="J1503" i="3"/>
  <c r="L1502" i="3"/>
  <c r="K1502" i="3"/>
  <c r="J1502" i="3"/>
  <c r="L1501" i="3"/>
  <c r="K1501" i="3"/>
  <c r="J1501" i="3"/>
  <c r="L1500" i="3"/>
  <c r="K1500" i="3"/>
  <c r="J1500" i="3"/>
  <c r="L1499" i="3"/>
  <c r="K1499" i="3"/>
  <c r="J1499" i="3"/>
  <c r="L1498" i="3"/>
  <c r="K1498" i="3"/>
  <c r="J1498" i="3"/>
  <c r="L1497" i="3"/>
  <c r="K1497" i="3"/>
  <c r="J1497" i="3"/>
  <c r="L1496" i="3"/>
  <c r="K1496" i="3"/>
  <c r="N1496" i="3" s="1"/>
  <c r="J1496" i="3"/>
  <c r="M1496" i="3" s="1"/>
  <c r="L1495" i="3"/>
  <c r="K1495" i="3"/>
  <c r="N1495" i="3" s="1"/>
  <c r="J1495" i="3"/>
  <c r="M1495" i="3" s="1"/>
  <c r="L1494" i="3"/>
  <c r="K1494" i="3"/>
  <c r="N1494" i="3" s="1"/>
  <c r="J1494" i="3"/>
  <c r="M1494" i="3" s="1"/>
  <c r="L1493" i="3"/>
  <c r="K1493" i="3"/>
  <c r="N1493" i="3" s="1"/>
  <c r="J1493" i="3"/>
  <c r="M1493" i="3" s="1"/>
  <c r="L1492" i="3"/>
  <c r="K1492" i="3"/>
  <c r="N1492" i="3" s="1"/>
  <c r="J1492" i="3"/>
  <c r="M1492" i="3" s="1"/>
  <c r="L1491" i="3"/>
  <c r="K1491" i="3"/>
  <c r="N1491" i="3" s="1"/>
  <c r="J1491" i="3"/>
  <c r="M1491" i="3" s="1"/>
  <c r="L1490" i="3"/>
  <c r="K1490" i="3"/>
  <c r="N1490" i="3" s="1"/>
  <c r="J1490" i="3"/>
  <c r="M1490" i="3" s="1"/>
  <c r="L1489" i="3"/>
  <c r="K1489" i="3"/>
  <c r="N1489" i="3" s="1"/>
  <c r="J1489" i="3"/>
  <c r="M1489" i="3" s="1"/>
  <c r="L1488" i="3"/>
  <c r="K1488" i="3"/>
  <c r="N1488" i="3" s="1"/>
  <c r="J1488" i="3"/>
  <c r="M1488" i="3" s="1"/>
  <c r="L1487" i="3"/>
  <c r="K1487" i="3"/>
  <c r="N1487" i="3" s="1"/>
  <c r="J1487" i="3"/>
  <c r="M1487" i="3" s="1"/>
  <c r="L1486" i="3"/>
  <c r="K1486" i="3"/>
  <c r="N1486" i="3" s="1"/>
  <c r="J1486" i="3"/>
  <c r="M1486" i="3" s="1"/>
  <c r="L1485" i="3"/>
  <c r="K1485" i="3"/>
  <c r="N1485" i="3" s="1"/>
  <c r="J1485" i="3"/>
  <c r="M1485" i="3" s="1"/>
  <c r="L1484" i="3"/>
  <c r="K1484" i="3"/>
  <c r="N1484" i="3" s="1"/>
  <c r="J1484" i="3"/>
  <c r="M1484" i="3" s="1"/>
  <c r="L1483" i="3"/>
  <c r="K1483" i="3"/>
  <c r="N1483" i="3" s="1"/>
  <c r="J1483" i="3"/>
  <c r="M1483" i="3" s="1"/>
  <c r="L1482" i="3"/>
  <c r="K1482" i="3"/>
  <c r="N1482" i="3" s="1"/>
  <c r="J1482" i="3"/>
  <c r="M1482" i="3" s="1"/>
  <c r="L1481" i="3"/>
  <c r="K1481" i="3"/>
  <c r="N1481" i="3" s="1"/>
  <c r="J1481" i="3"/>
  <c r="M1481" i="3" s="1"/>
  <c r="L1480" i="3"/>
  <c r="K1480" i="3"/>
  <c r="N1480" i="3" s="1"/>
  <c r="J1480" i="3"/>
  <c r="M1480" i="3" s="1"/>
  <c r="L1479" i="3"/>
  <c r="K1479" i="3"/>
  <c r="N1479" i="3" s="1"/>
  <c r="J1479" i="3"/>
  <c r="M1479" i="3" s="1"/>
  <c r="L1478" i="3"/>
  <c r="K1478" i="3"/>
  <c r="N1478" i="3" s="1"/>
  <c r="J1478" i="3"/>
  <c r="M1478" i="3" s="1"/>
  <c r="L1477" i="3"/>
  <c r="K1477" i="3"/>
  <c r="N1477" i="3" s="1"/>
  <c r="J1477" i="3"/>
  <c r="M1477" i="3" s="1"/>
  <c r="L1476" i="3"/>
  <c r="K1476" i="3"/>
  <c r="N1476" i="3" s="1"/>
  <c r="J1476" i="3"/>
  <c r="M1476" i="3" s="1"/>
  <c r="L1475" i="3"/>
  <c r="K1475" i="3"/>
  <c r="N1475" i="3" s="1"/>
  <c r="J1475" i="3"/>
  <c r="M1475" i="3" s="1"/>
  <c r="L1474" i="3"/>
  <c r="K1474" i="3"/>
  <c r="N1474" i="3" s="1"/>
  <c r="J1474" i="3"/>
  <c r="M1474" i="3" s="1"/>
  <c r="L1473" i="3"/>
  <c r="K1473" i="3"/>
  <c r="N1473" i="3" s="1"/>
  <c r="J1473" i="3"/>
  <c r="M1473" i="3" s="1"/>
  <c r="L1472" i="3"/>
  <c r="K1472" i="3"/>
  <c r="N1472" i="3" s="1"/>
  <c r="J1472" i="3"/>
  <c r="M1472" i="3" s="1"/>
  <c r="L1471" i="3"/>
  <c r="K1471" i="3"/>
  <c r="N1471" i="3" s="1"/>
  <c r="J1471" i="3"/>
  <c r="M1471" i="3" s="1"/>
  <c r="L1470" i="3"/>
  <c r="K1470" i="3"/>
  <c r="N1470" i="3" s="1"/>
  <c r="J1470" i="3"/>
  <c r="M1470" i="3" s="1"/>
  <c r="L1469" i="3"/>
  <c r="K1469" i="3"/>
  <c r="N1469" i="3" s="1"/>
  <c r="J1469" i="3"/>
  <c r="M1469" i="3" s="1"/>
  <c r="L1468" i="3"/>
  <c r="K1468" i="3"/>
  <c r="N1468" i="3" s="1"/>
  <c r="J1468" i="3"/>
  <c r="M1468" i="3" s="1"/>
  <c r="L1467" i="3"/>
  <c r="K1467" i="3"/>
  <c r="N1467" i="3" s="1"/>
  <c r="J1467" i="3"/>
  <c r="M1467" i="3" s="1"/>
  <c r="L1466" i="3"/>
  <c r="K1466" i="3"/>
  <c r="N1466" i="3" s="1"/>
  <c r="J1466" i="3"/>
  <c r="M1466" i="3" s="1"/>
  <c r="L1465" i="3"/>
  <c r="K1465" i="3"/>
  <c r="N1465" i="3" s="1"/>
  <c r="J1465" i="3"/>
  <c r="M1465" i="3" s="1"/>
  <c r="L1464" i="3"/>
  <c r="K1464" i="3"/>
  <c r="N1464" i="3" s="1"/>
  <c r="J1464" i="3"/>
  <c r="M1464" i="3" s="1"/>
  <c r="L1463" i="3"/>
  <c r="K1463" i="3"/>
  <c r="N1463" i="3" s="1"/>
  <c r="J1463" i="3"/>
  <c r="M1463" i="3" s="1"/>
  <c r="L1462" i="3"/>
  <c r="K1462" i="3"/>
  <c r="N1462" i="3" s="1"/>
  <c r="J1462" i="3"/>
  <c r="M1462" i="3" s="1"/>
  <c r="L1461" i="3"/>
  <c r="K1461" i="3"/>
  <c r="N1461" i="3" s="1"/>
  <c r="J1461" i="3"/>
  <c r="M1461" i="3" s="1"/>
  <c r="L1460" i="3"/>
  <c r="K1460" i="3"/>
  <c r="N1460" i="3" s="1"/>
  <c r="J1460" i="3"/>
  <c r="M1460" i="3" s="1"/>
  <c r="H1460" i="3"/>
  <c r="C1460" i="3"/>
  <c r="B1460" i="3"/>
  <c r="L1459" i="3"/>
  <c r="K1459" i="3"/>
  <c r="J1459" i="3"/>
  <c r="H1459" i="3"/>
  <c r="L1458" i="3"/>
  <c r="K1458" i="3"/>
  <c r="J1458" i="3"/>
  <c r="H1458" i="3"/>
  <c r="L1457" i="3"/>
  <c r="K1457" i="3"/>
  <c r="J1457" i="3"/>
  <c r="H1457" i="3"/>
  <c r="L1456" i="3"/>
  <c r="K1456" i="3"/>
  <c r="J1456" i="3"/>
  <c r="H1456" i="3"/>
  <c r="L1455" i="3"/>
  <c r="K1455" i="3"/>
  <c r="J1455" i="3"/>
  <c r="H1455" i="3"/>
  <c r="L1454" i="3"/>
  <c r="K1454" i="3"/>
  <c r="J1454" i="3"/>
  <c r="H1454" i="3"/>
  <c r="L1453" i="3"/>
  <c r="K1453" i="3"/>
  <c r="J1453" i="3"/>
  <c r="H1453" i="3"/>
  <c r="L1452" i="3"/>
  <c r="K1452" i="3"/>
  <c r="J1452" i="3"/>
  <c r="H1452" i="3"/>
  <c r="L1451" i="3"/>
  <c r="K1451" i="3"/>
  <c r="J1451" i="3"/>
  <c r="H1451" i="3"/>
  <c r="L1450" i="3"/>
  <c r="K1450" i="3"/>
  <c r="J1450" i="3"/>
  <c r="H1450" i="3"/>
  <c r="L1449" i="3"/>
  <c r="K1449" i="3"/>
  <c r="J1449" i="3"/>
  <c r="H1449" i="3"/>
  <c r="L1448" i="3"/>
  <c r="K1448" i="3"/>
  <c r="J1448" i="3"/>
  <c r="H1448" i="3"/>
  <c r="L1447" i="3"/>
  <c r="K1447" i="3"/>
  <c r="J1447" i="3"/>
  <c r="H1447" i="3"/>
  <c r="L1446" i="3"/>
  <c r="K1446" i="3"/>
  <c r="J1446" i="3"/>
  <c r="H1446" i="3"/>
  <c r="L1445" i="3"/>
  <c r="K1445" i="3"/>
  <c r="J1445" i="3"/>
  <c r="H1445" i="3"/>
  <c r="L1444" i="3"/>
  <c r="K1444" i="3"/>
  <c r="J1444" i="3"/>
  <c r="L1443" i="3"/>
  <c r="K1443" i="3"/>
  <c r="J1443" i="3"/>
  <c r="L1442" i="3"/>
  <c r="K1442" i="3"/>
  <c r="J1442" i="3"/>
  <c r="L1441" i="3"/>
  <c r="K1441" i="3"/>
  <c r="J1441" i="3"/>
  <c r="L1440" i="3"/>
  <c r="K1440" i="3"/>
  <c r="J1440" i="3"/>
  <c r="L1439" i="3"/>
  <c r="K1439" i="3"/>
  <c r="J1439" i="3"/>
  <c r="L1438" i="3"/>
  <c r="K1438" i="3"/>
  <c r="J1438" i="3"/>
  <c r="L1437" i="3"/>
  <c r="K1437" i="3"/>
  <c r="J1437" i="3"/>
  <c r="L1436" i="3"/>
  <c r="K1436" i="3"/>
  <c r="J1436" i="3"/>
  <c r="L1435" i="3"/>
  <c r="K1435" i="3"/>
  <c r="J1435" i="3"/>
  <c r="L1434" i="3"/>
  <c r="K1434" i="3"/>
  <c r="J1434" i="3"/>
  <c r="L1433" i="3"/>
  <c r="K1433" i="3"/>
  <c r="J1433" i="3"/>
  <c r="L1432" i="3"/>
  <c r="K1432" i="3"/>
  <c r="J1432" i="3"/>
  <c r="L1431" i="3"/>
  <c r="K1431" i="3"/>
  <c r="J1431" i="3"/>
  <c r="L1430" i="3"/>
  <c r="K1430" i="3"/>
  <c r="J1430" i="3"/>
  <c r="L1429" i="3"/>
  <c r="K1429" i="3"/>
  <c r="J1429" i="3"/>
  <c r="L1428" i="3"/>
  <c r="K1428" i="3"/>
  <c r="J1428" i="3"/>
  <c r="L1427" i="3"/>
  <c r="K1427" i="3"/>
  <c r="J1427" i="3"/>
  <c r="L1426" i="3"/>
  <c r="K1426" i="3"/>
  <c r="J1426" i="3"/>
  <c r="L1425" i="3"/>
  <c r="K1425" i="3"/>
  <c r="N1425" i="3" s="1"/>
  <c r="J1425" i="3"/>
  <c r="M1425" i="3" s="1"/>
  <c r="L1424" i="3"/>
  <c r="K1424" i="3"/>
  <c r="N1424" i="3" s="1"/>
  <c r="J1424" i="3"/>
  <c r="M1424" i="3" s="1"/>
  <c r="L1423" i="3"/>
  <c r="K1423" i="3"/>
  <c r="N1423" i="3" s="1"/>
  <c r="J1423" i="3"/>
  <c r="M1423" i="3" s="1"/>
  <c r="L1422" i="3"/>
  <c r="K1422" i="3"/>
  <c r="N1422" i="3" s="1"/>
  <c r="J1422" i="3"/>
  <c r="M1422" i="3" s="1"/>
  <c r="L1421" i="3"/>
  <c r="K1421" i="3"/>
  <c r="N1421" i="3" s="1"/>
  <c r="J1421" i="3"/>
  <c r="M1421" i="3" s="1"/>
  <c r="L1420" i="3"/>
  <c r="K1420" i="3"/>
  <c r="N1420" i="3" s="1"/>
  <c r="J1420" i="3"/>
  <c r="M1420" i="3" s="1"/>
  <c r="L1419" i="3"/>
  <c r="K1419" i="3"/>
  <c r="N1419" i="3" s="1"/>
  <c r="J1419" i="3"/>
  <c r="M1419" i="3" s="1"/>
  <c r="L1418" i="3"/>
  <c r="K1418" i="3"/>
  <c r="N1418" i="3" s="1"/>
  <c r="J1418" i="3"/>
  <c r="M1418" i="3" s="1"/>
  <c r="L1417" i="3"/>
  <c r="K1417" i="3"/>
  <c r="N1417" i="3" s="1"/>
  <c r="J1417" i="3"/>
  <c r="M1417" i="3" s="1"/>
  <c r="L1416" i="3"/>
  <c r="K1416" i="3"/>
  <c r="N1416" i="3" s="1"/>
  <c r="J1416" i="3"/>
  <c r="M1416" i="3" s="1"/>
  <c r="L1415" i="3"/>
  <c r="K1415" i="3"/>
  <c r="N1415" i="3" s="1"/>
  <c r="J1415" i="3"/>
  <c r="M1415" i="3" s="1"/>
  <c r="L1414" i="3"/>
  <c r="K1414" i="3"/>
  <c r="N1414" i="3" s="1"/>
  <c r="J1414" i="3"/>
  <c r="M1414" i="3" s="1"/>
  <c r="L1413" i="3"/>
  <c r="K1413" i="3"/>
  <c r="N1413" i="3" s="1"/>
  <c r="J1413" i="3"/>
  <c r="M1413" i="3" s="1"/>
  <c r="L1412" i="3"/>
  <c r="K1412" i="3"/>
  <c r="N1412" i="3" s="1"/>
  <c r="J1412" i="3"/>
  <c r="M1412" i="3" s="1"/>
  <c r="L1411" i="3"/>
  <c r="K1411" i="3"/>
  <c r="N1411" i="3" s="1"/>
  <c r="J1411" i="3"/>
  <c r="M1411" i="3" s="1"/>
  <c r="L1410" i="3"/>
  <c r="K1410" i="3"/>
  <c r="N1410" i="3" s="1"/>
  <c r="J1410" i="3"/>
  <c r="M1410" i="3" s="1"/>
  <c r="L1409" i="3"/>
  <c r="K1409" i="3"/>
  <c r="N1409" i="3" s="1"/>
  <c r="J1409" i="3"/>
  <c r="M1409" i="3" s="1"/>
  <c r="L1408" i="3"/>
  <c r="K1408" i="3"/>
  <c r="N1408" i="3" s="1"/>
  <c r="J1408" i="3"/>
  <c r="M1408" i="3" s="1"/>
  <c r="L1407" i="3"/>
  <c r="K1407" i="3"/>
  <c r="N1407" i="3" s="1"/>
  <c r="J1407" i="3"/>
  <c r="M1407" i="3" s="1"/>
  <c r="L1406" i="3"/>
  <c r="K1406" i="3"/>
  <c r="N1406" i="3" s="1"/>
  <c r="J1406" i="3"/>
  <c r="M1406" i="3" s="1"/>
  <c r="L1405" i="3"/>
  <c r="K1405" i="3"/>
  <c r="N1405" i="3" s="1"/>
  <c r="J1405" i="3"/>
  <c r="M1405" i="3" s="1"/>
  <c r="L1404" i="3"/>
  <c r="K1404" i="3"/>
  <c r="N1404" i="3" s="1"/>
  <c r="J1404" i="3"/>
  <c r="M1404" i="3" s="1"/>
  <c r="L1403" i="3"/>
  <c r="K1403" i="3"/>
  <c r="N1403" i="3" s="1"/>
  <c r="J1403" i="3"/>
  <c r="M1403" i="3" s="1"/>
  <c r="L1402" i="3"/>
  <c r="K1402" i="3"/>
  <c r="N1402" i="3" s="1"/>
  <c r="J1402" i="3"/>
  <c r="M1402" i="3" s="1"/>
  <c r="L1401" i="3"/>
  <c r="K1401" i="3"/>
  <c r="N1401" i="3" s="1"/>
  <c r="J1401" i="3"/>
  <c r="M1401" i="3" s="1"/>
  <c r="L1400" i="3"/>
  <c r="K1400" i="3"/>
  <c r="N1400" i="3" s="1"/>
  <c r="J1400" i="3"/>
  <c r="M1400" i="3" s="1"/>
  <c r="L1399" i="3"/>
  <c r="K1399" i="3"/>
  <c r="N1399" i="3" s="1"/>
  <c r="J1399" i="3"/>
  <c r="M1399" i="3" s="1"/>
  <c r="L1398" i="3"/>
  <c r="K1398" i="3"/>
  <c r="N1398" i="3" s="1"/>
  <c r="J1398" i="3"/>
  <c r="M1398" i="3" s="1"/>
  <c r="L1397" i="3"/>
  <c r="K1397" i="3"/>
  <c r="N1397" i="3" s="1"/>
  <c r="J1397" i="3"/>
  <c r="M1397" i="3" s="1"/>
  <c r="L1396" i="3"/>
  <c r="K1396" i="3"/>
  <c r="N1396" i="3" s="1"/>
  <c r="J1396" i="3"/>
  <c r="M1396" i="3" s="1"/>
  <c r="L1395" i="3"/>
  <c r="K1395" i="3"/>
  <c r="N1395" i="3" s="1"/>
  <c r="J1395" i="3"/>
  <c r="M1395" i="3" s="1"/>
  <c r="L1394" i="3"/>
  <c r="K1394" i="3"/>
  <c r="N1394" i="3" s="1"/>
  <c r="J1394" i="3"/>
  <c r="M1394" i="3" s="1"/>
  <c r="L1393" i="3"/>
  <c r="K1393" i="3"/>
  <c r="N1393" i="3" s="1"/>
  <c r="J1393" i="3"/>
  <c r="M1393" i="3" s="1"/>
  <c r="L1392" i="3"/>
  <c r="K1392" i="3"/>
  <c r="N1392" i="3" s="1"/>
  <c r="J1392" i="3"/>
  <c r="M1392" i="3" s="1"/>
  <c r="L1391" i="3"/>
  <c r="K1391" i="3"/>
  <c r="N1391" i="3" s="1"/>
  <c r="J1391" i="3"/>
  <c r="M1391" i="3" s="1"/>
  <c r="L1390" i="3"/>
  <c r="K1390" i="3"/>
  <c r="N1390" i="3" s="1"/>
  <c r="J1390" i="3"/>
  <c r="M1390" i="3" s="1"/>
  <c r="L1389" i="3"/>
  <c r="K1389" i="3"/>
  <c r="N1389" i="3" s="1"/>
  <c r="J1389" i="3"/>
  <c r="M1389" i="3" s="1"/>
  <c r="H1389" i="3"/>
  <c r="C1389" i="3"/>
  <c r="B1389" i="3"/>
  <c r="H1163" i="3"/>
  <c r="C1163" i="3"/>
  <c r="B1163" i="3"/>
  <c r="H1162" i="3"/>
  <c r="C1162" i="3"/>
  <c r="B1162" i="3"/>
  <c r="H1161" i="3"/>
  <c r="C1161" i="3"/>
  <c r="B1161" i="3"/>
  <c r="H1160" i="3"/>
  <c r="C1160" i="3"/>
  <c r="B1160" i="3"/>
  <c r="H1159" i="3"/>
  <c r="C1159" i="3"/>
  <c r="B1159" i="3"/>
  <c r="H1158" i="3"/>
  <c r="C1158" i="3"/>
  <c r="B1158" i="3"/>
  <c r="H1157" i="3"/>
  <c r="C1157" i="3"/>
  <c r="B1157" i="3"/>
  <c r="H1156" i="3"/>
  <c r="C1156" i="3"/>
  <c r="B1156" i="3"/>
  <c r="H1155" i="3"/>
  <c r="C1155" i="3"/>
  <c r="B1155" i="3"/>
  <c r="H1154" i="3"/>
  <c r="C1154" i="3"/>
  <c r="B1154" i="3"/>
  <c r="H1153" i="3"/>
  <c r="C1153" i="3"/>
  <c r="B1153" i="3"/>
  <c r="H1152" i="3"/>
  <c r="C1152" i="3"/>
  <c r="B1152" i="3"/>
  <c r="H1151" i="3"/>
  <c r="C1151" i="3"/>
  <c r="B1151" i="3"/>
  <c r="H1150" i="3"/>
  <c r="C1150" i="3"/>
  <c r="B1150" i="3"/>
  <c r="H1149" i="3"/>
  <c r="C1149" i="3"/>
  <c r="B1149" i="3"/>
  <c r="H1148" i="3"/>
  <c r="C1148" i="3"/>
  <c r="B1148" i="3"/>
  <c r="H1147" i="3"/>
  <c r="C1147" i="3"/>
  <c r="B1147" i="3"/>
  <c r="H1146" i="3"/>
  <c r="C1146" i="3"/>
  <c r="B1146" i="3"/>
  <c r="H1145" i="3"/>
  <c r="C1145" i="3"/>
  <c r="B1145" i="3"/>
  <c r="H1144" i="3"/>
  <c r="C1144" i="3"/>
  <c r="B1144" i="3"/>
  <c r="H1143" i="3"/>
  <c r="C1143" i="3"/>
  <c r="B1143" i="3"/>
  <c r="H1142" i="3"/>
  <c r="C1142" i="3"/>
  <c r="B1142" i="3"/>
  <c r="H1141" i="3"/>
  <c r="C1141" i="3"/>
  <c r="B1141" i="3"/>
  <c r="H1140" i="3"/>
  <c r="C1140" i="3"/>
  <c r="B1140" i="3"/>
  <c r="H1139" i="3"/>
  <c r="C1139" i="3"/>
  <c r="B1139" i="3"/>
  <c r="H1138" i="3"/>
  <c r="C1138" i="3"/>
  <c r="B1138" i="3"/>
  <c r="H1137" i="3"/>
  <c r="C1137" i="3"/>
  <c r="B1137" i="3"/>
  <c r="H1136" i="3"/>
  <c r="C1136" i="3"/>
  <c r="B1136" i="3"/>
  <c r="H1135" i="3"/>
  <c r="C1135" i="3"/>
  <c r="B1135" i="3"/>
  <c r="H1134" i="3"/>
  <c r="C1134" i="3"/>
  <c r="B1134" i="3"/>
  <c r="H1133" i="3"/>
  <c r="C1133" i="3"/>
  <c r="B1133" i="3"/>
  <c r="H1132" i="3"/>
  <c r="C1132" i="3"/>
  <c r="B1132" i="3"/>
  <c r="H1131" i="3"/>
  <c r="C1131" i="3"/>
  <c r="B1131" i="3"/>
  <c r="H1130" i="3"/>
  <c r="C1130" i="3"/>
  <c r="B1130" i="3"/>
  <c r="H1129" i="3"/>
  <c r="C1129" i="3"/>
  <c r="B1129" i="3"/>
  <c r="H1128" i="3"/>
  <c r="C1128" i="3"/>
  <c r="B1128" i="3"/>
  <c r="C22" i="7" s="1"/>
  <c r="H1127" i="3"/>
  <c r="H1126" i="3"/>
  <c r="H1125" i="3"/>
  <c r="H1124" i="3"/>
  <c r="H1123" i="3"/>
  <c r="H1122" i="3"/>
  <c r="H1121" i="3"/>
  <c r="H1120" i="3"/>
  <c r="H1119" i="3"/>
  <c r="H1118" i="3"/>
  <c r="H1117" i="3"/>
  <c r="H1116" i="3"/>
  <c r="H1115" i="3"/>
  <c r="H1114" i="3"/>
  <c r="H1113" i="3"/>
  <c r="H1112" i="3"/>
  <c r="H1111" i="3"/>
  <c r="H1110" i="3"/>
  <c r="H1109" i="3"/>
  <c r="H1108" i="3"/>
  <c r="H1107" i="3"/>
  <c r="H1106" i="3"/>
  <c r="H1105" i="3"/>
  <c r="H1104" i="3"/>
  <c r="H1103" i="3"/>
  <c r="H1102" i="3"/>
  <c r="H1101" i="3"/>
  <c r="H1100" i="3"/>
  <c r="H1099" i="3"/>
  <c r="H1098" i="3"/>
  <c r="H1097" i="3"/>
  <c r="H1096" i="3"/>
  <c r="H1095" i="3"/>
  <c r="H1094" i="3"/>
  <c r="H1093" i="3"/>
  <c r="H1092" i="3"/>
  <c r="H1091" i="3"/>
  <c r="H1090" i="3"/>
  <c r="H1089" i="3"/>
  <c r="H1088" i="3"/>
  <c r="H1087" i="3"/>
  <c r="H1086" i="3"/>
  <c r="H1085" i="3"/>
  <c r="H1084" i="3"/>
  <c r="H1083" i="3"/>
  <c r="H1082" i="3"/>
  <c r="H1081" i="3"/>
  <c r="H1080" i="3"/>
  <c r="H1079" i="3"/>
  <c r="H1078" i="3"/>
  <c r="H1077" i="3"/>
  <c r="H1076" i="3"/>
  <c r="H1075" i="3"/>
  <c r="H1074" i="3"/>
  <c r="H1073" i="3"/>
  <c r="H1072" i="3"/>
  <c r="H1071" i="3"/>
  <c r="H1070" i="3"/>
  <c r="H1069" i="3"/>
  <c r="H1068" i="3"/>
  <c r="H1067" i="3"/>
  <c r="H1066" i="3"/>
  <c r="H1065" i="3"/>
  <c r="H1064" i="3"/>
  <c r="H1063" i="3"/>
  <c r="H1062" i="3"/>
  <c r="C1062" i="3"/>
  <c r="B1062" i="3"/>
  <c r="H1061" i="3"/>
  <c r="C1061" i="3"/>
  <c r="B1061" i="3"/>
  <c r="H1060" i="3"/>
  <c r="C1060" i="3"/>
  <c r="B1060" i="3"/>
  <c r="H1059" i="3"/>
  <c r="C1059" i="3"/>
  <c r="B1059" i="3"/>
  <c r="H1058" i="3"/>
  <c r="C1058" i="3"/>
  <c r="B1058" i="3"/>
  <c r="H1057" i="3"/>
  <c r="C1057" i="3"/>
  <c r="B1057" i="3"/>
  <c r="H1056" i="3"/>
  <c r="C1056" i="3"/>
  <c r="B1056" i="3"/>
  <c r="H1055" i="3"/>
  <c r="C1055" i="3"/>
  <c r="B1055" i="3"/>
  <c r="H1054" i="3"/>
  <c r="C1054" i="3"/>
  <c r="B1054" i="3"/>
  <c r="H1053" i="3"/>
  <c r="C1053" i="3"/>
  <c r="B1053" i="3"/>
  <c r="H1052" i="3"/>
  <c r="C1052" i="3"/>
  <c r="B1052" i="3"/>
  <c r="H1051" i="3"/>
  <c r="C1051" i="3"/>
  <c r="B1051" i="3"/>
  <c r="H1050" i="3"/>
  <c r="C1050" i="3"/>
  <c r="B1050" i="3"/>
  <c r="H1049" i="3"/>
  <c r="C1049" i="3"/>
  <c r="B1049" i="3"/>
  <c r="H1048" i="3"/>
  <c r="C1048" i="3"/>
  <c r="B1048" i="3"/>
  <c r="H1047" i="3"/>
  <c r="C1047" i="3"/>
  <c r="B1047" i="3"/>
  <c r="H1046" i="3"/>
  <c r="C1046" i="3"/>
  <c r="B1046" i="3"/>
  <c r="H1045" i="3"/>
  <c r="C1045" i="3"/>
  <c r="B1045" i="3"/>
  <c r="H1044" i="3"/>
  <c r="C1044" i="3"/>
  <c r="B1044" i="3"/>
  <c r="H1043" i="3"/>
  <c r="C1043" i="3"/>
  <c r="B1043" i="3"/>
  <c r="H1042" i="3"/>
  <c r="C1042" i="3"/>
  <c r="B1042" i="3"/>
  <c r="H1041" i="3"/>
  <c r="C1041" i="3"/>
  <c r="B1041" i="3"/>
  <c r="H1040" i="3"/>
  <c r="C1040" i="3"/>
  <c r="B1040" i="3"/>
  <c r="H1039" i="3"/>
  <c r="C1039" i="3"/>
  <c r="B1039" i="3"/>
  <c r="H1038" i="3"/>
  <c r="C1038" i="3"/>
  <c r="B1038" i="3"/>
  <c r="H1037" i="3"/>
  <c r="C1037" i="3"/>
  <c r="B1037" i="3"/>
  <c r="H1036" i="3"/>
  <c r="C1036" i="3"/>
  <c r="B1036" i="3"/>
  <c r="H1035" i="3"/>
  <c r="C1035" i="3"/>
  <c r="B1035" i="3"/>
  <c r="H1034" i="3"/>
  <c r="C1034" i="3"/>
  <c r="B1034" i="3"/>
  <c r="H1033" i="3"/>
  <c r="C1033" i="3"/>
  <c r="B1033" i="3"/>
  <c r="H1032" i="3"/>
  <c r="C1032" i="3"/>
  <c r="B1032" i="3"/>
  <c r="H1031" i="3"/>
  <c r="C1031" i="3"/>
  <c r="B1031" i="3"/>
  <c r="H1030" i="3"/>
  <c r="C1030" i="3"/>
  <c r="B1030" i="3"/>
  <c r="H1029" i="3"/>
  <c r="C1029" i="3"/>
  <c r="B1029" i="3"/>
  <c r="H1028" i="3"/>
  <c r="C1028" i="3"/>
  <c r="B1028" i="3"/>
  <c r="H1027" i="3"/>
  <c r="C1027" i="3"/>
  <c r="B1027" i="3"/>
  <c r="C20" i="7" s="1"/>
  <c r="H1026" i="3"/>
  <c r="H1025" i="3"/>
  <c r="H1024" i="3"/>
  <c r="H1023" i="3"/>
  <c r="H1022" i="3"/>
  <c r="H1021" i="3"/>
  <c r="H1020" i="3"/>
  <c r="H1019" i="3"/>
  <c r="H1018" i="3"/>
  <c r="H1017" i="3"/>
  <c r="H1016" i="3"/>
  <c r="H1015" i="3"/>
  <c r="H1014" i="3"/>
  <c r="H1013" i="3"/>
  <c r="H1012" i="3"/>
  <c r="H1011" i="3"/>
  <c r="C1011" i="3"/>
  <c r="B1011" i="3"/>
  <c r="H1010" i="3"/>
  <c r="C1010" i="3"/>
  <c r="B1010" i="3"/>
  <c r="H1009" i="3"/>
  <c r="C1009" i="3"/>
  <c r="B1009" i="3"/>
  <c r="H1008" i="3"/>
  <c r="C1008" i="3"/>
  <c r="B1008" i="3"/>
  <c r="H1007" i="3"/>
  <c r="C1007" i="3"/>
  <c r="B1007" i="3"/>
  <c r="H1006" i="3"/>
  <c r="C1006" i="3"/>
  <c r="B1006" i="3"/>
  <c r="H1005" i="3"/>
  <c r="C1005" i="3"/>
  <c r="B1005" i="3"/>
  <c r="H1004" i="3"/>
  <c r="C1004" i="3"/>
  <c r="B1004" i="3"/>
  <c r="H1003" i="3"/>
  <c r="C1003" i="3"/>
  <c r="B1003" i="3"/>
  <c r="H1002" i="3"/>
  <c r="C1002" i="3"/>
  <c r="B1002" i="3"/>
  <c r="H1001" i="3"/>
  <c r="C1001" i="3"/>
  <c r="B1001" i="3"/>
  <c r="H1000" i="3"/>
  <c r="C1000" i="3"/>
  <c r="B1000" i="3"/>
  <c r="H999" i="3"/>
  <c r="C999" i="3"/>
  <c r="B999" i="3"/>
  <c r="H998" i="3"/>
  <c r="C998" i="3"/>
  <c r="B998" i="3"/>
  <c r="H997" i="3"/>
  <c r="C997" i="3"/>
  <c r="B997" i="3"/>
  <c r="H996" i="3"/>
  <c r="C996" i="3"/>
  <c r="B996" i="3"/>
  <c r="H995" i="3"/>
  <c r="C995" i="3"/>
  <c r="B995" i="3"/>
  <c r="H994" i="3"/>
  <c r="C994" i="3"/>
  <c r="B994" i="3"/>
  <c r="H993" i="3"/>
  <c r="C993" i="3"/>
  <c r="B993" i="3"/>
  <c r="H992" i="3"/>
  <c r="C992" i="3"/>
  <c r="B992" i="3"/>
  <c r="H991" i="3"/>
  <c r="C991" i="3"/>
  <c r="B991" i="3"/>
  <c r="H990" i="3"/>
  <c r="C990" i="3"/>
  <c r="B990" i="3"/>
  <c r="H989" i="3"/>
  <c r="C989" i="3"/>
  <c r="B989" i="3"/>
  <c r="H988" i="3"/>
  <c r="C988" i="3"/>
  <c r="B988" i="3"/>
  <c r="H987" i="3"/>
  <c r="C987" i="3"/>
  <c r="B987" i="3"/>
  <c r="H986" i="3"/>
  <c r="C986" i="3"/>
  <c r="B986" i="3"/>
  <c r="H985" i="3"/>
  <c r="C985" i="3"/>
  <c r="B985" i="3"/>
  <c r="H984" i="3"/>
  <c r="C984" i="3"/>
  <c r="B984" i="3"/>
  <c r="H983" i="3"/>
  <c r="C983" i="3"/>
  <c r="B983" i="3"/>
  <c r="H982" i="3"/>
  <c r="C982" i="3"/>
  <c r="B982" i="3"/>
  <c r="H981" i="3"/>
  <c r="C981" i="3"/>
  <c r="B981" i="3"/>
  <c r="H980" i="3"/>
  <c r="C980" i="3"/>
  <c r="B980" i="3"/>
  <c r="H979" i="3"/>
  <c r="C979" i="3"/>
  <c r="B979" i="3"/>
  <c r="H978" i="3"/>
  <c r="C978" i="3"/>
  <c r="B978" i="3"/>
  <c r="H977" i="3"/>
  <c r="C977" i="3"/>
  <c r="B977" i="3"/>
  <c r="H976" i="3"/>
  <c r="C976" i="3"/>
  <c r="B976" i="3"/>
  <c r="C19" i="7" s="1"/>
  <c r="L924" i="3"/>
  <c r="K924" i="3"/>
  <c r="J924" i="3"/>
  <c r="H924" i="3"/>
  <c r="L923" i="3"/>
  <c r="K923" i="3"/>
  <c r="J923" i="3"/>
  <c r="H923" i="3"/>
  <c r="L922" i="3"/>
  <c r="K922" i="3"/>
  <c r="J922" i="3"/>
  <c r="H922" i="3"/>
  <c r="L921" i="3"/>
  <c r="K921" i="3"/>
  <c r="J921" i="3"/>
  <c r="H921" i="3"/>
  <c r="L920" i="3"/>
  <c r="K920" i="3"/>
  <c r="J920" i="3"/>
  <c r="H920" i="3"/>
  <c r="L919" i="3"/>
  <c r="K919" i="3"/>
  <c r="J919" i="3"/>
  <c r="H919" i="3"/>
  <c r="L918" i="3"/>
  <c r="K918" i="3"/>
  <c r="J918" i="3"/>
  <c r="H918" i="3"/>
  <c r="L917" i="3"/>
  <c r="K917" i="3"/>
  <c r="J917" i="3"/>
  <c r="H917" i="3"/>
  <c r="L916" i="3"/>
  <c r="K916" i="3"/>
  <c r="J916" i="3"/>
  <c r="H916" i="3"/>
  <c r="L915" i="3"/>
  <c r="K915" i="3"/>
  <c r="J915" i="3"/>
  <c r="H915" i="3"/>
  <c r="L914" i="3"/>
  <c r="K914" i="3"/>
  <c r="J914" i="3"/>
  <c r="H914" i="3"/>
  <c r="L913" i="3"/>
  <c r="K913" i="3"/>
  <c r="J913" i="3"/>
  <c r="H913" i="3"/>
  <c r="L912" i="3"/>
  <c r="K912" i="3"/>
  <c r="J912" i="3"/>
  <c r="H912" i="3"/>
  <c r="L911" i="3"/>
  <c r="K911" i="3"/>
  <c r="J911" i="3"/>
  <c r="H911" i="3"/>
  <c r="L910" i="3"/>
  <c r="K910" i="3"/>
  <c r="J910" i="3"/>
  <c r="H910" i="3"/>
  <c r="L909" i="3"/>
  <c r="K909" i="3"/>
  <c r="J909" i="3"/>
  <c r="L908" i="3"/>
  <c r="K908" i="3"/>
  <c r="J908" i="3"/>
  <c r="L907" i="3"/>
  <c r="K907" i="3"/>
  <c r="J907" i="3"/>
  <c r="L906" i="3"/>
  <c r="K906" i="3"/>
  <c r="J906" i="3"/>
  <c r="L905" i="3"/>
  <c r="K905" i="3"/>
  <c r="J905" i="3"/>
  <c r="L904" i="3"/>
  <c r="K904" i="3"/>
  <c r="J904" i="3"/>
  <c r="L903" i="3"/>
  <c r="K903" i="3"/>
  <c r="J903" i="3"/>
  <c r="L902" i="3"/>
  <c r="K902" i="3"/>
  <c r="J902" i="3"/>
  <c r="L901" i="3"/>
  <c r="K901" i="3"/>
  <c r="J901" i="3"/>
  <c r="L900" i="3"/>
  <c r="K900" i="3"/>
  <c r="J900" i="3"/>
  <c r="L899" i="3"/>
  <c r="K899" i="3"/>
  <c r="J899" i="3"/>
  <c r="L898" i="3"/>
  <c r="K898" i="3"/>
  <c r="J898" i="3"/>
  <c r="L897" i="3"/>
  <c r="K897" i="3"/>
  <c r="J897" i="3"/>
  <c r="L896" i="3"/>
  <c r="K896" i="3"/>
  <c r="J896" i="3"/>
  <c r="L895" i="3"/>
  <c r="K895" i="3"/>
  <c r="J895" i="3"/>
  <c r="L894" i="3"/>
  <c r="K894" i="3"/>
  <c r="J894" i="3"/>
  <c r="L893" i="3"/>
  <c r="K893" i="3"/>
  <c r="J893" i="3"/>
  <c r="L892" i="3"/>
  <c r="K892" i="3"/>
  <c r="J892" i="3"/>
  <c r="L891" i="3"/>
  <c r="K891" i="3"/>
  <c r="J891" i="3"/>
  <c r="L890" i="3"/>
  <c r="K890" i="3"/>
  <c r="N890" i="3" s="1"/>
  <c r="J890" i="3"/>
  <c r="M890" i="3" s="1"/>
  <c r="H890" i="3"/>
  <c r="C890" i="3"/>
  <c r="B890" i="3"/>
  <c r="L889" i="3"/>
  <c r="K889" i="3"/>
  <c r="N889" i="3" s="1"/>
  <c r="J889" i="3"/>
  <c r="M889" i="3" s="1"/>
  <c r="H889" i="3"/>
  <c r="C889" i="3"/>
  <c r="B889" i="3"/>
  <c r="L888" i="3"/>
  <c r="K888" i="3"/>
  <c r="N888" i="3" s="1"/>
  <c r="J888" i="3"/>
  <c r="M888" i="3" s="1"/>
  <c r="L887" i="3"/>
  <c r="K887" i="3"/>
  <c r="N887" i="3" s="1"/>
  <c r="J887" i="3"/>
  <c r="M887" i="3" s="1"/>
  <c r="L886" i="3"/>
  <c r="K886" i="3"/>
  <c r="N886" i="3" s="1"/>
  <c r="J886" i="3"/>
  <c r="M886" i="3" s="1"/>
  <c r="L885" i="3"/>
  <c r="K885" i="3"/>
  <c r="N885" i="3" s="1"/>
  <c r="J885" i="3"/>
  <c r="M885" i="3" s="1"/>
  <c r="L884" i="3"/>
  <c r="K884" i="3"/>
  <c r="N884" i="3" s="1"/>
  <c r="J884" i="3"/>
  <c r="M884" i="3" s="1"/>
  <c r="L883" i="3"/>
  <c r="K883" i="3"/>
  <c r="N883" i="3" s="1"/>
  <c r="J883" i="3"/>
  <c r="M883" i="3" s="1"/>
  <c r="L882" i="3"/>
  <c r="K882" i="3"/>
  <c r="N882" i="3" s="1"/>
  <c r="J882" i="3"/>
  <c r="M882" i="3" s="1"/>
  <c r="L881" i="3"/>
  <c r="K881" i="3"/>
  <c r="N881" i="3" s="1"/>
  <c r="J881" i="3"/>
  <c r="M881" i="3" s="1"/>
  <c r="L880" i="3"/>
  <c r="K880" i="3"/>
  <c r="N880" i="3" s="1"/>
  <c r="J880" i="3"/>
  <c r="M880" i="3" s="1"/>
  <c r="L879" i="3"/>
  <c r="K879" i="3"/>
  <c r="N879" i="3" s="1"/>
  <c r="J879" i="3"/>
  <c r="M879" i="3" s="1"/>
  <c r="L878" i="3"/>
  <c r="K878" i="3"/>
  <c r="N878" i="3" s="1"/>
  <c r="J878" i="3"/>
  <c r="M878" i="3" s="1"/>
  <c r="L877" i="3"/>
  <c r="K877" i="3"/>
  <c r="N877" i="3" s="1"/>
  <c r="J877" i="3"/>
  <c r="M877" i="3" s="1"/>
  <c r="L876" i="3"/>
  <c r="K876" i="3"/>
  <c r="N876" i="3" s="1"/>
  <c r="J876" i="3"/>
  <c r="M876" i="3" s="1"/>
  <c r="L875" i="3"/>
  <c r="K875" i="3"/>
  <c r="N875" i="3" s="1"/>
  <c r="J875" i="3"/>
  <c r="M875" i="3" s="1"/>
  <c r="L874" i="3"/>
  <c r="K874" i="3"/>
  <c r="N874" i="3" s="1"/>
  <c r="J874" i="3"/>
  <c r="M874" i="3" s="1"/>
  <c r="L873" i="3"/>
  <c r="K873" i="3"/>
  <c r="N873" i="3" s="1"/>
  <c r="J873" i="3"/>
  <c r="M873" i="3" s="1"/>
  <c r="L872" i="3"/>
  <c r="K872" i="3"/>
  <c r="N872" i="3" s="1"/>
  <c r="J872" i="3"/>
  <c r="M872" i="3" s="1"/>
  <c r="L871" i="3"/>
  <c r="K871" i="3"/>
  <c r="N871" i="3" s="1"/>
  <c r="J871" i="3"/>
  <c r="M871" i="3" s="1"/>
  <c r="L870" i="3"/>
  <c r="K870" i="3"/>
  <c r="N870" i="3" s="1"/>
  <c r="J870" i="3"/>
  <c r="M870" i="3" s="1"/>
  <c r="L869" i="3"/>
  <c r="K869" i="3"/>
  <c r="N869" i="3" s="1"/>
  <c r="J869" i="3"/>
  <c r="M869" i="3" s="1"/>
  <c r="L868" i="3"/>
  <c r="K868" i="3"/>
  <c r="N868" i="3" s="1"/>
  <c r="J868" i="3"/>
  <c r="M868" i="3" s="1"/>
  <c r="L867" i="3"/>
  <c r="K867" i="3"/>
  <c r="N867" i="3" s="1"/>
  <c r="J867" i="3"/>
  <c r="M867" i="3" s="1"/>
  <c r="L866" i="3"/>
  <c r="K866" i="3"/>
  <c r="N866" i="3" s="1"/>
  <c r="J866" i="3"/>
  <c r="M866" i="3" s="1"/>
  <c r="L865" i="3"/>
  <c r="K865" i="3"/>
  <c r="N865" i="3" s="1"/>
  <c r="J865" i="3"/>
  <c r="M865" i="3" s="1"/>
  <c r="L864" i="3"/>
  <c r="K864" i="3"/>
  <c r="N864" i="3" s="1"/>
  <c r="J864" i="3"/>
  <c r="M864" i="3" s="1"/>
  <c r="L863" i="3"/>
  <c r="K863" i="3"/>
  <c r="N863" i="3" s="1"/>
  <c r="J863" i="3"/>
  <c r="M863" i="3" s="1"/>
  <c r="L862" i="3"/>
  <c r="K862" i="3"/>
  <c r="N862" i="3" s="1"/>
  <c r="J862" i="3"/>
  <c r="M862" i="3" s="1"/>
  <c r="L861" i="3"/>
  <c r="K861" i="3"/>
  <c r="N861" i="3" s="1"/>
  <c r="J861" i="3"/>
  <c r="M861" i="3" s="1"/>
  <c r="L860" i="3"/>
  <c r="K860" i="3"/>
  <c r="N860" i="3" s="1"/>
  <c r="J860" i="3"/>
  <c r="M860" i="3" s="1"/>
  <c r="L859" i="3"/>
  <c r="K859" i="3"/>
  <c r="N859" i="3" s="1"/>
  <c r="J859" i="3"/>
  <c r="M859" i="3" s="1"/>
  <c r="L858" i="3"/>
  <c r="K858" i="3"/>
  <c r="N858" i="3" s="1"/>
  <c r="J858" i="3"/>
  <c r="M858" i="3" s="1"/>
  <c r="L857" i="3"/>
  <c r="K857" i="3"/>
  <c r="N857" i="3" s="1"/>
  <c r="J857" i="3"/>
  <c r="M857" i="3" s="1"/>
  <c r="L856" i="3"/>
  <c r="K856" i="3"/>
  <c r="N856" i="3" s="1"/>
  <c r="J856" i="3"/>
  <c r="M856" i="3" s="1"/>
  <c r="L855" i="3"/>
  <c r="K855" i="3"/>
  <c r="N855" i="3" s="1"/>
  <c r="J855" i="3"/>
  <c r="M855" i="3" s="1"/>
  <c r="L854" i="3"/>
  <c r="K854" i="3"/>
  <c r="N854" i="3" s="1"/>
  <c r="J854" i="3"/>
  <c r="M854" i="3" s="1"/>
  <c r="H854" i="3"/>
  <c r="C854" i="3"/>
  <c r="B854" i="3"/>
  <c r="L853" i="3"/>
  <c r="K853" i="3"/>
  <c r="J853" i="3"/>
  <c r="H853" i="3"/>
  <c r="L852" i="3"/>
  <c r="K852" i="3"/>
  <c r="J852" i="3"/>
  <c r="H852" i="3"/>
  <c r="L851" i="3"/>
  <c r="K851" i="3"/>
  <c r="J851" i="3"/>
  <c r="H851" i="3"/>
  <c r="L850" i="3"/>
  <c r="K850" i="3"/>
  <c r="J850" i="3"/>
  <c r="H850" i="3"/>
  <c r="L849" i="3"/>
  <c r="K849" i="3"/>
  <c r="J849" i="3"/>
  <c r="H849" i="3"/>
  <c r="L848" i="3"/>
  <c r="K848" i="3"/>
  <c r="J848" i="3"/>
  <c r="H848" i="3"/>
  <c r="L847" i="3"/>
  <c r="K847" i="3"/>
  <c r="J847" i="3"/>
  <c r="H847" i="3"/>
  <c r="L846" i="3"/>
  <c r="K846" i="3"/>
  <c r="J846" i="3"/>
  <c r="H846" i="3"/>
  <c r="L845" i="3"/>
  <c r="K845" i="3"/>
  <c r="J845" i="3"/>
  <c r="H845" i="3"/>
  <c r="L844" i="3"/>
  <c r="K844" i="3"/>
  <c r="J844" i="3"/>
  <c r="H844" i="3"/>
  <c r="L843" i="3"/>
  <c r="K843" i="3"/>
  <c r="J843" i="3"/>
  <c r="H843" i="3"/>
  <c r="L842" i="3"/>
  <c r="K842" i="3"/>
  <c r="J842" i="3"/>
  <c r="H842" i="3"/>
  <c r="L841" i="3"/>
  <c r="K841" i="3"/>
  <c r="J841" i="3"/>
  <c r="H841" i="3"/>
  <c r="L840" i="3"/>
  <c r="K840" i="3"/>
  <c r="J840" i="3"/>
  <c r="H840" i="3"/>
  <c r="L839" i="3"/>
  <c r="K839" i="3"/>
  <c r="J839" i="3"/>
  <c r="H839" i="3"/>
  <c r="L838" i="3"/>
  <c r="K838" i="3"/>
  <c r="J838" i="3"/>
  <c r="L837" i="3"/>
  <c r="K837" i="3"/>
  <c r="J837" i="3"/>
  <c r="L836" i="3"/>
  <c r="K836" i="3"/>
  <c r="J836" i="3"/>
  <c r="L835" i="3"/>
  <c r="K835" i="3"/>
  <c r="J835" i="3"/>
  <c r="L834" i="3"/>
  <c r="K834" i="3"/>
  <c r="J834" i="3"/>
  <c r="L833" i="3"/>
  <c r="K833" i="3"/>
  <c r="J833" i="3"/>
  <c r="L832" i="3"/>
  <c r="K832" i="3"/>
  <c r="J832" i="3"/>
  <c r="L831" i="3"/>
  <c r="K831" i="3"/>
  <c r="J831" i="3"/>
  <c r="L830" i="3"/>
  <c r="K830" i="3"/>
  <c r="J830" i="3"/>
  <c r="L829" i="3"/>
  <c r="K829" i="3"/>
  <c r="J829" i="3"/>
  <c r="L828" i="3"/>
  <c r="K828" i="3"/>
  <c r="J828" i="3"/>
  <c r="L827" i="3"/>
  <c r="K827" i="3"/>
  <c r="J827" i="3"/>
  <c r="L826" i="3"/>
  <c r="K826" i="3"/>
  <c r="J826" i="3"/>
  <c r="L825" i="3"/>
  <c r="K825" i="3"/>
  <c r="J825" i="3"/>
  <c r="L824" i="3"/>
  <c r="K824" i="3"/>
  <c r="J824" i="3"/>
  <c r="L823" i="3"/>
  <c r="K823" i="3"/>
  <c r="J823" i="3"/>
  <c r="L822" i="3"/>
  <c r="K822" i="3"/>
  <c r="J822" i="3"/>
  <c r="L821" i="3"/>
  <c r="K821" i="3"/>
  <c r="J821" i="3"/>
  <c r="L820" i="3"/>
  <c r="K820" i="3"/>
  <c r="J820" i="3"/>
  <c r="L819" i="3"/>
  <c r="K819" i="3"/>
  <c r="N819" i="3" s="1"/>
  <c r="J819" i="3"/>
  <c r="M819" i="3" s="1"/>
  <c r="H819" i="3"/>
  <c r="C819" i="3"/>
  <c r="B819" i="3"/>
  <c r="L818" i="3"/>
  <c r="K818" i="3"/>
  <c r="N818" i="3" s="1"/>
  <c r="J818" i="3"/>
  <c r="M818" i="3" s="1"/>
  <c r="L817" i="3"/>
  <c r="K817" i="3"/>
  <c r="N817" i="3" s="1"/>
  <c r="J817" i="3"/>
  <c r="M817" i="3" s="1"/>
  <c r="L816" i="3"/>
  <c r="K816" i="3"/>
  <c r="N816" i="3" s="1"/>
  <c r="J816" i="3"/>
  <c r="M816" i="3" s="1"/>
  <c r="L815" i="3"/>
  <c r="K815" i="3"/>
  <c r="N815" i="3" s="1"/>
  <c r="J815" i="3"/>
  <c r="M815" i="3" s="1"/>
  <c r="L814" i="3"/>
  <c r="K814" i="3"/>
  <c r="N814" i="3" s="1"/>
  <c r="J814" i="3"/>
  <c r="M814" i="3" s="1"/>
  <c r="L813" i="3"/>
  <c r="K813" i="3"/>
  <c r="N813" i="3" s="1"/>
  <c r="J813" i="3"/>
  <c r="M813" i="3" s="1"/>
  <c r="L812" i="3"/>
  <c r="K812" i="3"/>
  <c r="N812" i="3" s="1"/>
  <c r="J812" i="3"/>
  <c r="M812" i="3" s="1"/>
  <c r="L811" i="3"/>
  <c r="K811" i="3"/>
  <c r="N811" i="3" s="1"/>
  <c r="J811" i="3"/>
  <c r="M811" i="3" s="1"/>
  <c r="L810" i="3"/>
  <c r="K810" i="3"/>
  <c r="N810" i="3" s="1"/>
  <c r="J810" i="3"/>
  <c r="M810" i="3" s="1"/>
  <c r="L809" i="3"/>
  <c r="K809" i="3"/>
  <c r="N809" i="3" s="1"/>
  <c r="J809" i="3"/>
  <c r="M809" i="3" s="1"/>
  <c r="L808" i="3"/>
  <c r="K808" i="3"/>
  <c r="N808" i="3" s="1"/>
  <c r="J808" i="3"/>
  <c r="M808" i="3" s="1"/>
  <c r="L807" i="3"/>
  <c r="K807" i="3"/>
  <c r="N807" i="3" s="1"/>
  <c r="J807" i="3"/>
  <c r="M807" i="3" s="1"/>
  <c r="L806" i="3"/>
  <c r="K806" i="3"/>
  <c r="N806" i="3" s="1"/>
  <c r="J806" i="3"/>
  <c r="M806" i="3" s="1"/>
  <c r="L805" i="3"/>
  <c r="K805" i="3"/>
  <c r="N805" i="3" s="1"/>
  <c r="J805" i="3"/>
  <c r="M805" i="3" s="1"/>
  <c r="L804" i="3"/>
  <c r="K804" i="3"/>
  <c r="N804" i="3" s="1"/>
  <c r="J804" i="3"/>
  <c r="M804" i="3" s="1"/>
  <c r="L803" i="3"/>
  <c r="K803" i="3"/>
  <c r="N803" i="3" s="1"/>
  <c r="J803" i="3"/>
  <c r="M803" i="3" s="1"/>
  <c r="L802" i="3"/>
  <c r="K802" i="3"/>
  <c r="N802" i="3" s="1"/>
  <c r="J802" i="3"/>
  <c r="M802" i="3" s="1"/>
  <c r="L801" i="3"/>
  <c r="K801" i="3"/>
  <c r="N801" i="3" s="1"/>
  <c r="J801" i="3"/>
  <c r="M801" i="3" s="1"/>
  <c r="L800" i="3"/>
  <c r="K800" i="3"/>
  <c r="N800" i="3" s="1"/>
  <c r="J800" i="3"/>
  <c r="M800" i="3" s="1"/>
  <c r="L799" i="3"/>
  <c r="K799" i="3"/>
  <c r="N799" i="3" s="1"/>
  <c r="J799" i="3"/>
  <c r="M799" i="3" s="1"/>
  <c r="L798" i="3"/>
  <c r="K798" i="3"/>
  <c r="N798" i="3" s="1"/>
  <c r="J798" i="3"/>
  <c r="M798" i="3" s="1"/>
  <c r="L797" i="3"/>
  <c r="K797" i="3"/>
  <c r="N797" i="3" s="1"/>
  <c r="J797" i="3"/>
  <c r="M797" i="3" s="1"/>
  <c r="L796" i="3"/>
  <c r="K796" i="3"/>
  <c r="N796" i="3" s="1"/>
  <c r="J796" i="3"/>
  <c r="M796" i="3" s="1"/>
  <c r="L795" i="3"/>
  <c r="K795" i="3"/>
  <c r="N795" i="3" s="1"/>
  <c r="J795" i="3"/>
  <c r="M795" i="3" s="1"/>
  <c r="L794" i="3"/>
  <c r="K794" i="3"/>
  <c r="N794" i="3" s="1"/>
  <c r="J794" i="3"/>
  <c r="M794" i="3" s="1"/>
  <c r="L793" i="3"/>
  <c r="K793" i="3"/>
  <c r="N793" i="3" s="1"/>
  <c r="J793" i="3"/>
  <c r="M793" i="3" s="1"/>
  <c r="L792" i="3"/>
  <c r="K792" i="3"/>
  <c r="N792" i="3" s="1"/>
  <c r="J792" i="3"/>
  <c r="M792" i="3" s="1"/>
  <c r="L791" i="3"/>
  <c r="K791" i="3"/>
  <c r="N791" i="3" s="1"/>
  <c r="J791" i="3"/>
  <c r="M791" i="3" s="1"/>
  <c r="L790" i="3"/>
  <c r="K790" i="3"/>
  <c r="N790" i="3" s="1"/>
  <c r="J790" i="3"/>
  <c r="M790" i="3" s="1"/>
  <c r="L789" i="3"/>
  <c r="K789" i="3"/>
  <c r="N789" i="3" s="1"/>
  <c r="J789" i="3"/>
  <c r="M789" i="3" s="1"/>
  <c r="L788" i="3"/>
  <c r="K788" i="3"/>
  <c r="N788" i="3" s="1"/>
  <c r="J788" i="3"/>
  <c r="M788" i="3" s="1"/>
  <c r="L787" i="3"/>
  <c r="K787" i="3"/>
  <c r="N787" i="3" s="1"/>
  <c r="J787" i="3"/>
  <c r="M787" i="3" s="1"/>
  <c r="L786" i="3"/>
  <c r="K786" i="3"/>
  <c r="N786" i="3" s="1"/>
  <c r="J786" i="3"/>
  <c r="M786" i="3" s="1"/>
  <c r="L785" i="3"/>
  <c r="K785" i="3"/>
  <c r="N785" i="3" s="1"/>
  <c r="J785" i="3"/>
  <c r="M785" i="3" s="1"/>
  <c r="L784" i="3"/>
  <c r="K784" i="3"/>
  <c r="N784" i="3" s="1"/>
  <c r="J784" i="3"/>
  <c r="M784" i="3" s="1"/>
  <c r="L783" i="3"/>
  <c r="K783" i="3"/>
  <c r="N783" i="3" s="1"/>
  <c r="J783" i="3"/>
  <c r="M783" i="3" s="1"/>
  <c r="H783" i="3"/>
  <c r="C783" i="3"/>
  <c r="B783" i="3"/>
  <c r="L782" i="3"/>
  <c r="K782" i="3"/>
  <c r="J782" i="3"/>
  <c r="H782" i="3"/>
  <c r="L781" i="3"/>
  <c r="K781" i="3"/>
  <c r="J781" i="3"/>
  <c r="H781" i="3"/>
  <c r="L780" i="3"/>
  <c r="K780" i="3"/>
  <c r="J780" i="3"/>
  <c r="H780" i="3"/>
  <c r="L779" i="3"/>
  <c r="K779" i="3"/>
  <c r="J779" i="3"/>
  <c r="H779" i="3"/>
  <c r="L778" i="3"/>
  <c r="K778" i="3"/>
  <c r="J778" i="3"/>
  <c r="H778" i="3"/>
  <c r="L777" i="3"/>
  <c r="K777" i="3"/>
  <c r="J777" i="3"/>
  <c r="H777" i="3"/>
  <c r="L776" i="3"/>
  <c r="K776" i="3"/>
  <c r="J776" i="3"/>
  <c r="H776" i="3"/>
  <c r="L775" i="3"/>
  <c r="K775" i="3"/>
  <c r="J775" i="3"/>
  <c r="H775" i="3"/>
  <c r="L774" i="3"/>
  <c r="K774" i="3"/>
  <c r="J774" i="3"/>
  <c r="H774" i="3"/>
  <c r="L773" i="3"/>
  <c r="K773" i="3"/>
  <c r="J773" i="3"/>
  <c r="H773" i="3"/>
  <c r="L772" i="3"/>
  <c r="K772" i="3"/>
  <c r="J772" i="3"/>
  <c r="H772" i="3"/>
  <c r="L771" i="3"/>
  <c r="K771" i="3"/>
  <c r="J771" i="3"/>
  <c r="H771" i="3"/>
  <c r="L770" i="3"/>
  <c r="K770" i="3"/>
  <c r="J770" i="3"/>
  <c r="H770" i="3"/>
  <c r="L769" i="3"/>
  <c r="K769" i="3"/>
  <c r="J769" i="3"/>
  <c r="H769" i="3"/>
  <c r="L768" i="3"/>
  <c r="K768" i="3"/>
  <c r="J768" i="3"/>
  <c r="H768" i="3"/>
  <c r="L767" i="3"/>
  <c r="K767" i="3"/>
  <c r="J767" i="3"/>
  <c r="L766" i="3"/>
  <c r="K766" i="3"/>
  <c r="J766" i="3"/>
  <c r="L765" i="3"/>
  <c r="K765" i="3"/>
  <c r="J765" i="3"/>
  <c r="L764" i="3"/>
  <c r="K764" i="3"/>
  <c r="J764" i="3"/>
  <c r="L763" i="3"/>
  <c r="K763" i="3"/>
  <c r="J763" i="3"/>
  <c r="L762" i="3"/>
  <c r="K762" i="3"/>
  <c r="J762" i="3"/>
  <c r="L761" i="3"/>
  <c r="K761" i="3"/>
  <c r="J761" i="3"/>
  <c r="L760" i="3"/>
  <c r="K760" i="3"/>
  <c r="J760" i="3"/>
  <c r="L759" i="3"/>
  <c r="K759" i="3"/>
  <c r="J759" i="3"/>
  <c r="L758" i="3"/>
  <c r="K758" i="3"/>
  <c r="J758" i="3"/>
  <c r="L757" i="3"/>
  <c r="K757" i="3"/>
  <c r="J757" i="3"/>
  <c r="L756" i="3"/>
  <c r="K756" i="3"/>
  <c r="J756" i="3"/>
  <c r="L755" i="3"/>
  <c r="K755" i="3"/>
  <c r="J755" i="3"/>
  <c r="L754" i="3"/>
  <c r="K754" i="3"/>
  <c r="J754" i="3"/>
  <c r="L753" i="3"/>
  <c r="K753" i="3"/>
  <c r="J753" i="3"/>
  <c r="L752" i="3"/>
  <c r="K752" i="3"/>
  <c r="J752" i="3"/>
  <c r="L751" i="3"/>
  <c r="K751" i="3"/>
  <c r="J751" i="3"/>
  <c r="L750" i="3"/>
  <c r="K750" i="3"/>
  <c r="J750" i="3"/>
  <c r="L749" i="3"/>
  <c r="K749" i="3"/>
  <c r="J749" i="3"/>
  <c r="L748" i="3"/>
  <c r="K748" i="3"/>
  <c r="N748" i="3" s="1"/>
  <c r="J748" i="3"/>
  <c r="M748" i="3" s="1"/>
  <c r="L747" i="3"/>
  <c r="K747" i="3"/>
  <c r="N747" i="3" s="1"/>
  <c r="J747" i="3"/>
  <c r="M747" i="3" s="1"/>
  <c r="L746" i="3"/>
  <c r="K746" i="3"/>
  <c r="N746" i="3" s="1"/>
  <c r="J746" i="3"/>
  <c r="M746" i="3" s="1"/>
  <c r="L745" i="3"/>
  <c r="K745" i="3"/>
  <c r="N745" i="3" s="1"/>
  <c r="J745" i="3"/>
  <c r="M745" i="3" s="1"/>
  <c r="L744" i="3"/>
  <c r="K744" i="3"/>
  <c r="N744" i="3" s="1"/>
  <c r="J744" i="3"/>
  <c r="M744" i="3" s="1"/>
  <c r="L743" i="3"/>
  <c r="K743" i="3"/>
  <c r="N743" i="3" s="1"/>
  <c r="J743" i="3"/>
  <c r="M743" i="3" s="1"/>
  <c r="L742" i="3"/>
  <c r="K742" i="3"/>
  <c r="N742" i="3" s="1"/>
  <c r="J742" i="3"/>
  <c r="M742" i="3" s="1"/>
  <c r="L741" i="3"/>
  <c r="K741" i="3"/>
  <c r="N741" i="3" s="1"/>
  <c r="J741" i="3"/>
  <c r="M741" i="3" s="1"/>
  <c r="L740" i="3"/>
  <c r="K740" i="3"/>
  <c r="N740" i="3" s="1"/>
  <c r="J740" i="3"/>
  <c r="M740" i="3" s="1"/>
  <c r="L739" i="3"/>
  <c r="K739" i="3"/>
  <c r="N739" i="3" s="1"/>
  <c r="J739" i="3"/>
  <c r="M739" i="3" s="1"/>
  <c r="L738" i="3"/>
  <c r="K738" i="3"/>
  <c r="N738" i="3" s="1"/>
  <c r="J738" i="3"/>
  <c r="M738" i="3" s="1"/>
  <c r="L737" i="3"/>
  <c r="K737" i="3"/>
  <c r="N737" i="3" s="1"/>
  <c r="J737" i="3"/>
  <c r="M737" i="3" s="1"/>
  <c r="L736" i="3"/>
  <c r="K736" i="3"/>
  <c r="N736" i="3" s="1"/>
  <c r="J736" i="3"/>
  <c r="M736" i="3" s="1"/>
  <c r="L735" i="3"/>
  <c r="K735" i="3"/>
  <c r="N735" i="3" s="1"/>
  <c r="J735" i="3"/>
  <c r="M735" i="3" s="1"/>
  <c r="L734" i="3"/>
  <c r="K734" i="3"/>
  <c r="N734" i="3" s="1"/>
  <c r="J734" i="3"/>
  <c r="M734" i="3" s="1"/>
  <c r="L733" i="3"/>
  <c r="K733" i="3"/>
  <c r="N733" i="3" s="1"/>
  <c r="J733" i="3"/>
  <c r="M733" i="3" s="1"/>
  <c r="L732" i="3"/>
  <c r="K732" i="3"/>
  <c r="N732" i="3" s="1"/>
  <c r="J732" i="3"/>
  <c r="M732" i="3" s="1"/>
  <c r="L731" i="3"/>
  <c r="K731" i="3"/>
  <c r="N731" i="3" s="1"/>
  <c r="J731" i="3"/>
  <c r="M731" i="3" s="1"/>
  <c r="L730" i="3"/>
  <c r="K730" i="3"/>
  <c r="N730" i="3" s="1"/>
  <c r="J730" i="3"/>
  <c r="M730" i="3" s="1"/>
  <c r="L729" i="3"/>
  <c r="K729" i="3"/>
  <c r="N729" i="3" s="1"/>
  <c r="J729" i="3"/>
  <c r="M729" i="3" s="1"/>
  <c r="L728" i="3"/>
  <c r="K728" i="3"/>
  <c r="N728" i="3" s="1"/>
  <c r="J728" i="3"/>
  <c r="M728" i="3" s="1"/>
  <c r="L727" i="3"/>
  <c r="K727" i="3"/>
  <c r="N727" i="3" s="1"/>
  <c r="J727" i="3"/>
  <c r="M727" i="3" s="1"/>
  <c r="L726" i="3"/>
  <c r="K726" i="3"/>
  <c r="N726" i="3" s="1"/>
  <c r="J726" i="3"/>
  <c r="M726" i="3" s="1"/>
  <c r="L725" i="3"/>
  <c r="K725" i="3"/>
  <c r="N725" i="3" s="1"/>
  <c r="J725" i="3"/>
  <c r="M725" i="3" s="1"/>
  <c r="L724" i="3"/>
  <c r="K724" i="3"/>
  <c r="N724" i="3" s="1"/>
  <c r="J724" i="3"/>
  <c r="M724" i="3" s="1"/>
  <c r="L723" i="3"/>
  <c r="K723" i="3"/>
  <c r="N723" i="3" s="1"/>
  <c r="J723" i="3"/>
  <c r="M723" i="3" s="1"/>
  <c r="L722" i="3"/>
  <c r="K722" i="3"/>
  <c r="N722" i="3" s="1"/>
  <c r="J722" i="3"/>
  <c r="M722" i="3" s="1"/>
  <c r="L721" i="3"/>
  <c r="K721" i="3"/>
  <c r="N721" i="3" s="1"/>
  <c r="J721" i="3"/>
  <c r="M721" i="3" s="1"/>
  <c r="L720" i="3"/>
  <c r="K720" i="3"/>
  <c r="N720" i="3" s="1"/>
  <c r="J720" i="3"/>
  <c r="M720" i="3" s="1"/>
  <c r="L719" i="3"/>
  <c r="K719" i="3"/>
  <c r="N719" i="3" s="1"/>
  <c r="J719" i="3"/>
  <c r="M719" i="3" s="1"/>
  <c r="L718" i="3"/>
  <c r="K718" i="3"/>
  <c r="N718" i="3" s="1"/>
  <c r="J718" i="3"/>
  <c r="M718" i="3" s="1"/>
  <c r="L717" i="3"/>
  <c r="K717" i="3"/>
  <c r="N717" i="3" s="1"/>
  <c r="J717" i="3"/>
  <c r="M717" i="3" s="1"/>
  <c r="L716" i="3"/>
  <c r="K716" i="3"/>
  <c r="N716" i="3" s="1"/>
  <c r="J716" i="3"/>
  <c r="M716" i="3" s="1"/>
  <c r="L715" i="3"/>
  <c r="K715" i="3"/>
  <c r="N715" i="3" s="1"/>
  <c r="J715" i="3"/>
  <c r="M715" i="3" s="1"/>
  <c r="L714" i="3"/>
  <c r="K714" i="3"/>
  <c r="N714" i="3" s="1"/>
  <c r="J714" i="3"/>
  <c r="M714" i="3" s="1"/>
  <c r="L713" i="3"/>
  <c r="K713" i="3"/>
  <c r="N713" i="3" s="1"/>
  <c r="J713" i="3"/>
  <c r="M713" i="3" s="1"/>
  <c r="L712" i="3"/>
  <c r="K712" i="3"/>
  <c r="N712" i="3" s="1"/>
  <c r="J712" i="3"/>
  <c r="M712" i="3" s="1"/>
  <c r="H712" i="3"/>
  <c r="C712" i="3"/>
  <c r="B712" i="3"/>
  <c r="L711" i="3"/>
  <c r="K711" i="3"/>
  <c r="J711" i="3"/>
  <c r="H711" i="3"/>
  <c r="L710" i="3"/>
  <c r="K710" i="3"/>
  <c r="J710" i="3"/>
  <c r="H710" i="3"/>
  <c r="L709" i="3"/>
  <c r="K709" i="3"/>
  <c r="J709" i="3"/>
  <c r="H709" i="3"/>
  <c r="L708" i="3"/>
  <c r="K708" i="3"/>
  <c r="J708" i="3"/>
  <c r="H708" i="3"/>
  <c r="L707" i="3"/>
  <c r="K707" i="3"/>
  <c r="J707" i="3"/>
  <c r="H707" i="3"/>
  <c r="L706" i="3"/>
  <c r="K706" i="3"/>
  <c r="J706" i="3"/>
  <c r="H706" i="3"/>
  <c r="L705" i="3"/>
  <c r="K705" i="3"/>
  <c r="J705" i="3"/>
  <c r="H705" i="3"/>
  <c r="L704" i="3"/>
  <c r="K704" i="3"/>
  <c r="J704" i="3"/>
  <c r="H704" i="3"/>
  <c r="L703" i="3"/>
  <c r="K703" i="3"/>
  <c r="J703" i="3"/>
  <c r="H703" i="3"/>
  <c r="L702" i="3"/>
  <c r="K702" i="3"/>
  <c r="J702" i="3"/>
  <c r="H702" i="3"/>
  <c r="L701" i="3"/>
  <c r="K701" i="3"/>
  <c r="J701" i="3"/>
  <c r="H701" i="3"/>
  <c r="L700" i="3"/>
  <c r="K700" i="3"/>
  <c r="J700" i="3"/>
  <c r="H700" i="3"/>
  <c r="L699" i="3"/>
  <c r="K699" i="3"/>
  <c r="J699" i="3"/>
  <c r="H699" i="3"/>
  <c r="L698" i="3"/>
  <c r="K698" i="3"/>
  <c r="J698" i="3"/>
  <c r="H698" i="3"/>
  <c r="L697" i="3"/>
  <c r="K697" i="3"/>
  <c r="J697" i="3"/>
  <c r="H697" i="3"/>
  <c r="L696" i="3"/>
  <c r="K696" i="3"/>
  <c r="J696" i="3"/>
  <c r="L695" i="3"/>
  <c r="K695" i="3"/>
  <c r="J695" i="3"/>
  <c r="L694" i="3"/>
  <c r="K694" i="3"/>
  <c r="J694" i="3"/>
  <c r="L693" i="3"/>
  <c r="K693" i="3"/>
  <c r="J693" i="3"/>
  <c r="L692" i="3"/>
  <c r="K692" i="3"/>
  <c r="J692" i="3"/>
  <c r="L691" i="3"/>
  <c r="K691" i="3"/>
  <c r="J691" i="3"/>
  <c r="L690" i="3"/>
  <c r="K690" i="3"/>
  <c r="J690" i="3"/>
  <c r="L689" i="3"/>
  <c r="K689" i="3"/>
  <c r="J689" i="3"/>
  <c r="L688" i="3"/>
  <c r="K688" i="3"/>
  <c r="J688" i="3"/>
  <c r="L687" i="3"/>
  <c r="K687" i="3"/>
  <c r="J687" i="3"/>
  <c r="L686" i="3"/>
  <c r="K686" i="3"/>
  <c r="J686" i="3"/>
  <c r="L685" i="3"/>
  <c r="K685" i="3"/>
  <c r="J685" i="3"/>
  <c r="L684" i="3"/>
  <c r="K684" i="3"/>
  <c r="J684" i="3"/>
  <c r="L683" i="3"/>
  <c r="K683" i="3"/>
  <c r="J683" i="3"/>
  <c r="L682" i="3"/>
  <c r="K682" i="3"/>
  <c r="J682" i="3"/>
  <c r="L681" i="3"/>
  <c r="K681" i="3"/>
  <c r="J681" i="3"/>
  <c r="L680" i="3"/>
  <c r="K680" i="3"/>
  <c r="J680" i="3"/>
  <c r="L679" i="3"/>
  <c r="K679" i="3"/>
  <c r="J679" i="3"/>
  <c r="L678" i="3"/>
  <c r="K678" i="3"/>
  <c r="J678" i="3"/>
  <c r="L677" i="3"/>
  <c r="K677" i="3"/>
  <c r="N677" i="3" s="1"/>
  <c r="J677" i="3"/>
  <c r="M677" i="3" s="1"/>
  <c r="L676" i="3"/>
  <c r="K676" i="3"/>
  <c r="N676" i="3" s="1"/>
  <c r="J676" i="3"/>
  <c r="M676" i="3" s="1"/>
  <c r="L675" i="3"/>
  <c r="K675" i="3"/>
  <c r="N675" i="3" s="1"/>
  <c r="J675" i="3"/>
  <c r="M675" i="3" s="1"/>
  <c r="L674" i="3"/>
  <c r="K674" i="3"/>
  <c r="N674" i="3" s="1"/>
  <c r="J674" i="3"/>
  <c r="M674" i="3" s="1"/>
  <c r="L673" i="3"/>
  <c r="K673" i="3"/>
  <c r="N673" i="3" s="1"/>
  <c r="J673" i="3"/>
  <c r="M673" i="3" s="1"/>
  <c r="L672" i="3"/>
  <c r="K672" i="3"/>
  <c r="N672" i="3" s="1"/>
  <c r="J672" i="3"/>
  <c r="M672" i="3" s="1"/>
  <c r="L671" i="3"/>
  <c r="K671" i="3"/>
  <c r="N671" i="3" s="1"/>
  <c r="J671" i="3"/>
  <c r="M671" i="3" s="1"/>
  <c r="L670" i="3"/>
  <c r="K670" i="3"/>
  <c r="N670" i="3" s="1"/>
  <c r="J670" i="3"/>
  <c r="M670" i="3" s="1"/>
  <c r="L669" i="3"/>
  <c r="K669" i="3"/>
  <c r="N669" i="3" s="1"/>
  <c r="J669" i="3"/>
  <c r="M669" i="3" s="1"/>
  <c r="L668" i="3"/>
  <c r="K668" i="3"/>
  <c r="N668" i="3" s="1"/>
  <c r="J668" i="3"/>
  <c r="M668" i="3" s="1"/>
  <c r="L667" i="3"/>
  <c r="K667" i="3"/>
  <c r="N667" i="3" s="1"/>
  <c r="J667" i="3"/>
  <c r="M667" i="3" s="1"/>
  <c r="L666" i="3"/>
  <c r="K666" i="3"/>
  <c r="N666" i="3" s="1"/>
  <c r="J666" i="3"/>
  <c r="M666" i="3" s="1"/>
  <c r="L665" i="3"/>
  <c r="K665" i="3"/>
  <c r="N665" i="3" s="1"/>
  <c r="J665" i="3"/>
  <c r="M665" i="3" s="1"/>
  <c r="L664" i="3"/>
  <c r="K664" i="3"/>
  <c r="N664" i="3" s="1"/>
  <c r="J664" i="3"/>
  <c r="M664" i="3" s="1"/>
  <c r="L663" i="3"/>
  <c r="K663" i="3"/>
  <c r="N663" i="3" s="1"/>
  <c r="J663" i="3"/>
  <c r="M663" i="3" s="1"/>
  <c r="L662" i="3"/>
  <c r="K662" i="3"/>
  <c r="N662" i="3" s="1"/>
  <c r="J662" i="3"/>
  <c r="M662" i="3" s="1"/>
  <c r="L661" i="3"/>
  <c r="K661" i="3"/>
  <c r="N661" i="3" s="1"/>
  <c r="J661" i="3"/>
  <c r="M661" i="3" s="1"/>
  <c r="L660" i="3"/>
  <c r="K660" i="3"/>
  <c r="N660" i="3" s="1"/>
  <c r="J660" i="3"/>
  <c r="M660" i="3" s="1"/>
  <c r="L659" i="3"/>
  <c r="K659" i="3"/>
  <c r="N659" i="3" s="1"/>
  <c r="J659" i="3"/>
  <c r="M659" i="3" s="1"/>
  <c r="L658" i="3"/>
  <c r="K658" i="3"/>
  <c r="N658" i="3" s="1"/>
  <c r="J658" i="3"/>
  <c r="M658" i="3" s="1"/>
  <c r="L657" i="3"/>
  <c r="K657" i="3"/>
  <c r="N657" i="3" s="1"/>
  <c r="J657" i="3"/>
  <c r="M657" i="3" s="1"/>
  <c r="L656" i="3"/>
  <c r="K656" i="3"/>
  <c r="N656" i="3" s="1"/>
  <c r="J656" i="3"/>
  <c r="M656" i="3" s="1"/>
  <c r="L655" i="3"/>
  <c r="K655" i="3"/>
  <c r="N655" i="3" s="1"/>
  <c r="J655" i="3"/>
  <c r="M655" i="3" s="1"/>
  <c r="L654" i="3"/>
  <c r="K654" i="3"/>
  <c r="N654" i="3" s="1"/>
  <c r="J654" i="3"/>
  <c r="M654" i="3" s="1"/>
  <c r="L653" i="3"/>
  <c r="K653" i="3"/>
  <c r="N653" i="3" s="1"/>
  <c r="J653" i="3"/>
  <c r="M653" i="3" s="1"/>
  <c r="L652" i="3"/>
  <c r="K652" i="3"/>
  <c r="N652" i="3" s="1"/>
  <c r="J652" i="3"/>
  <c r="M652" i="3" s="1"/>
  <c r="L651" i="3"/>
  <c r="K651" i="3"/>
  <c r="N651" i="3" s="1"/>
  <c r="J651" i="3"/>
  <c r="M651" i="3" s="1"/>
  <c r="L650" i="3"/>
  <c r="K650" i="3"/>
  <c r="N650" i="3" s="1"/>
  <c r="J650" i="3"/>
  <c r="M650" i="3" s="1"/>
  <c r="L649" i="3"/>
  <c r="K649" i="3"/>
  <c r="N649" i="3" s="1"/>
  <c r="J649" i="3"/>
  <c r="M649" i="3" s="1"/>
  <c r="L648" i="3"/>
  <c r="K648" i="3"/>
  <c r="N648" i="3" s="1"/>
  <c r="J648" i="3"/>
  <c r="M648" i="3" s="1"/>
  <c r="L647" i="3"/>
  <c r="K647" i="3"/>
  <c r="N647" i="3" s="1"/>
  <c r="J647" i="3"/>
  <c r="M647" i="3" s="1"/>
  <c r="L646" i="3"/>
  <c r="K646" i="3"/>
  <c r="N646" i="3" s="1"/>
  <c r="J646" i="3"/>
  <c r="M646" i="3" s="1"/>
  <c r="L645" i="3"/>
  <c r="K645" i="3"/>
  <c r="N645" i="3" s="1"/>
  <c r="J645" i="3"/>
  <c r="M645" i="3" s="1"/>
  <c r="L644" i="3"/>
  <c r="K644" i="3"/>
  <c r="N644" i="3" s="1"/>
  <c r="J644" i="3"/>
  <c r="M644" i="3" s="1"/>
  <c r="L643" i="3"/>
  <c r="K643" i="3"/>
  <c r="N643" i="3" s="1"/>
  <c r="J643" i="3"/>
  <c r="M643" i="3" s="1"/>
  <c r="L642" i="3"/>
  <c r="K642" i="3"/>
  <c r="N642" i="3" s="1"/>
  <c r="J642" i="3"/>
  <c r="M642" i="3" s="1"/>
  <c r="L641" i="3"/>
  <c r="K641" i="3"/>
  <c r="N641" i="3" s="1"/>
  <c r="J641" i="3"/>
  <c r="M641" i="3" s="1"/>
  <c r="H641" i="3"/>
  <c r="C641" i="3"/>
  <c r="B641" i="3"/>
  <c r="L640" i="3"/>
  <c r="K640" i="3"/>
  <c r="J640" i="3"/>
  <c r="H640" i="3"/>
  <c r="L639" i="3"/>
  <c r="K639" i="3"/>
  <c r="J639" i="3"/>
  <c r="H639" i="3"/>
  <c r="L638" i="3"/>
  <c r="K638" i="3"/>
  <c r="J638" i="3"/>
  <c r="H638" i="3"/>
  <c r="L637" i="3"/>
  <c r="K637" i="3"/>
  <c r="J637" i="3"/>
  <c r="H637" i="3"/>
  <c r="L636" i="3"/>
  <c r="K636" i="3"/>
  <c r="J636" i="3"/>
  <c r="H636" i="3"/>
  <c r="L635" i="3"/>
  <c r="K635" i="3"/>
  <c r="J635" i="3"/>
  <c r="H635" i="3"/>
  <c r="L634" i="3"/>
  <c r="K634" i="3"/>
  <c r="J634" i="3"/>
  <c r="H634" i="3"/>
  <c r="L633" i="3"/>
  <c r="K633" i="3"/>
  <c r="J633" i="3"/>
  <c r="H633" i="3"/>
  <c r="L632" i="3"/>
  <c r="K632" i="3"/>
  <c r="J632" i="3"/>
  <c r="H632" i="3"/>
  <c r="L631" i="3"/>
  <c r="K631" i="3"/>
  <c r="J631" i="3"/>
  <c r="H631" i="3"/>
  <c r="L630" i="3"/>
  <c r="K630" i="3"/>
  <c r="J630" i="3"/>
  <c r="H630" i="3"/>
  <c r="L629" i="3"/>
  <c r="K629" i="3"/>
  <c r="J629" i="3"/>
  <c r="H629" i="3"/>
  <c r="L628" i="3"/>
  <c r="K628" i="3"/>
  <c r="J628" i="3"/>
  <c r="H628" i="3"/>
  <c r="L627" i="3"/>
  <c r="K627" i="3"/>
  <c r="J627" i="3"/>
  <c r="H627" i="3"/>
  <c r="L626" i="3"/>
  <c r="K626" i="3"/>
  <c r="J626" i="3"/>
  <c r="H626" i="3"/>
  <c r="L625" i="3"/>
  <c r="K625" i="3"/>
  <c r="J625" i="3"/>
  <c r="L624" i="3"/>
  <c r="K624" i="3"/>
  <c r="J624" i="3"/>
  <c r="L623" i="3"/>
  <c r="K623" i="3"/>
  <c r="J623" i="3"/>
  <c r="L622" i="3"/>
  <c r="K622" i="3"/>
  <c r="J622" i="3"/>
  <c r="L621" i="3"/>
  <c r="K621" i="3"/>
  <c r="J621" i="3"/>
  <c r="L620" i="3"/>
  <c r="K620" i="3"/>
  <c r="J620" i="3"/>
  <c r="L619" i="3"/>
  <c r="K619" i="3"/>
  <c r="J619" i="3"/>
  <c r="L618" i="3"/>
  <c r="K618" i="3"/>
  <c r="J618" i="3"/>
  <c r="L617" i="3"/>
  <c r="K617" i="3"/>
  <c r="J617" i="3"/>
  <c r="L616" i="3"/>
  <c r="K616" i="3"/>
  <c r="J616" i="3"/>
  <c r="L615" i="3"/>
  <c r="K615" i="3"/>
  <c r="J615" i="3"/>
  <c r="L614" i="3"/>
  <c r="K614" i="3"/>
  <c r="J614" i="3"/>
  <c r="L613" i="3"/>
  <c r="K613" i="3"/>
  <c r="J613" i="3"/>
  <c r="L612" i="3"/>
  <c r="K612" i="3"/>
  <c r="J612" i="3"/>
  <c r="L611" i="3"/>
  <c r="K611" i="3"/>
  <c r="J611" i="3"/>
  <c r="L610" i="3"/>
  <c r="K610" i="3"/>
  <c r="J610" i="3"/>
  <c r="L609" i="3"/>
  <c r="K609" i="3"/>
  <c r="J609" i="3"/>
  <c r="L608" i="3"/>
  <c r="K608" i="3"/>
  <c r="J608" i="3"/>
  <c r="L607" i="3"/>
  <c r="K607" i="3"/>
  <c r="J607" i="3"/>
  <c r="L606" i="3"/>
  <c r="K606" i="3"/>
  <c r="N606" i="3" s="1"/>
  <c r="J606" i="3"/>
  <c r="M606" i="3" s="1"/>
  <c r="L605" i="3"/>
  <c r="K605" i="3"/>
  <c r="N605" i="3" s="1"/>
  <c r="J605" i="3"/>
  <c r="M605" i="3" s="1"/>
  <c r="L604" i="3"/>
  <c r="K604" i="3"/>
  <c r="N604" i="3" s="1"/>
  <c r="J604" i="3"/>
  <c r="M604" i="3" s="1"/>
  <c r="L603" i="3"/>
  <c r="K603" i="3"/>
  <c r="N603" i="3" s="1"/>
  <c r="J603" i="3"/>
  <c r="M603" i="3" s="1"/>
  <c r="L602" i="3"/>
  <c r="K602" i="3"/>
  <c r="N602" i="3" s="1"/>
  <c r="J602" i="3"/>
  <c r="M602" i="3" s="1"/>
  <c r="L601" i="3"/>
  <c r="K601" i="3"/>
  <c r="N601" i="3" s="1"/>
  <c r="J601" i="3"/>
  <c r="M601" i="3" s="1"/>
  <c r="L600" i="3"/>
  <c r="K600" i="3"/>
  <c r="N600" i="3" s="1"/>
  <c r="J600" i="3"/>
  <c r="M600" i="3" s="1"/>
  <c r="L599" i="3"/>
  <c r="K599" i="3"/>
  <c r="N599" i="3" s="1"/>
  <c r="J599" i="3"/>
  <c r="M599" i="3" s="1"/>
  <c r="L598" i="3"/>
  <c r="K598" i="3"/>
  <c r="N598" i="3" s="1"/>
  <c r="J598" i="3"/>
  <c r="M598" i="3" s="1"/>
  <c r="L597" i="3"/>
  <c r="K597" i="3"/>
  <c r="N597" i="3" s="1"/>
  <c r="J597" i="3"/>
  <c r="M597" i="3" s="1"/>
  <c r="L596" i="3"/>
  <c r="K596" i="3"/>
  <c r="N596" i="3" s="1"/>
  <c r="J596" i="3"/>
  <c r="M596" i="3" s="1"/>
  <c r="L595" i="3"/>
  <c r="K595" i="3"/>
  <c r="N595" i="3" s="1"/>
  <c r="J595" i="3"/>
  <c r="M595" i="3" s="1"/>
  <c r="L594" i="3"/>
  <c r="K594" i="3"/>
  <c r="N594" i="3" s="1"/>
  <c r="J594" i="3"/>
  <c r="M594" i="3" s="1"/>
  <c r="L593" i="3"/>
  <c r="K593" i="3"/>
  <c r="N593" i="3" s="1"/>
  <c r="J593" i="3"/>
  <c r="M593" i="3" s="1"/>
  <c r="L592" i="3"/>
  <c r="K592" i="3"/>
  <c r="N592" i="3" s="1"/>
  <c r="J592" i="3"/>
  <c r="M592" i="3" s="1"/>
  <c r="L591" i="3"/>
  <c r="K591" i="3"/>
  <c r="N591" i="3" s="1"/>
  <c r="J591" i="3"/>
  <c r="M591" i="3" s="1"/>
  <c r="L590" i="3"/>
  <c r="K590" i="3"/>
  <c r="N590" i="3" s="1"/>
  <c r="J590" i="3"/>
  <c r="M590" i="3" s="1"/>
  <c r="L589" i="3"/>
  <c r="K589" i="3"/>
  <c r="N589" i="3" s="1"/>
  <c r="J589" i="3"/>
  <c r="M589" i="3" s="1"/>
  <c r="L588" i="3"/>
  <c r="K588" i="3"/>
  <c r="N588" i="3" s="1"/>
  <c r="J588" i="3"/>
  <c r="M588" i="3" s="1"/>
  <c r="L587" i="3"/>
  <c r="K587" i="3"/>
  <c r="N587" i="3" s="1"/>
  <c r="J587" i="3"/>
  <c r="M587" i="3" s="1"/>
  <c r="L586" i="3"/>
  <c r="K586" i="3"/>
  <c r="N586" i="3" s="1"/>
  <c r="J586" i="3"/>
  <c r="M586" i="3" s="1"/>
  <c r="L585" i="3"/>
  <c r="K585" i="3"/>
  <c r="N585" i="3" s="1"/>
  <c r="J585" i="3"/>
  <c r="M585" i="3" s="1"/>
  <c r="L584" i="3"/>
  <c r="K584" i="3"/>
  <c r="N584" i="3" s="1"/>
  <c r="J584" i="3"/>
  <c r="M584" i="3" s="1"/>
  <c r="L583" i="3"/>
  <c r="K583" i="3"/>
  <c r="N583" i="3" s="1"/>
  <c r="J583" i="3"/>
  <c r="M583" i="3" s="1"/>
  <c r="L582" i="3"/>
  <c r="K582" i="3"/>
  <c r="N582" i="3" s="1"/>
  <c r="J582" i="3"/>
  <c r="M582" i="3" s="1"/>
  <c r="L581" i="3"/>
  <c r="K581" i="3"/>
  <c r="N581" i="3" s="1"/>
  <c r="J581" i="3"/>
  <c r="M581" i="3" s="1"/>
  <c r="L580" i="3"/>
  <c r="K580" i="3"/>
  <c r="N580" i="3" s="1"/>
  <c r="J580" i="3"/>
  <c r="M580" i="3" s="1"/>
  <c r="L579" i="3"/>
  <c r="K579" i="3"/>
  <c r="N579" i="3" s="1"/>
  <c r="J579" i="3"/>
  <c r="M579" i="3" s="1"/>
  <c r="L578" i="3"/>
  <c r="K578" i="3"/>
  <c r="N578" i="3" s="1"/>
  <c r="J578" i="3"/>
  <c r="M578" i="3" s="1"/>
  <c r="L577" i="3"/>
  <c r="K577" i="3"/>
  <c r="N577" i="3" s="1"/>
  <c r="J577" i="3"/>
  <c r="M577" i="3" s="1"/>
  <c r="L576" i="3"/>
  <c r="K576" i="3"/>
  <c r="N576" i="3" s="1"/>
  <c r="J576" i="3"/>
  <c r="M576" i="3" s="1"/>
  <c r="L575" i="3"/>
  <c r="K575" i="3"/>
  <c r="N575" i="3" s="1"/>
  <c r="J575" i="3"/>
  <c r="M575" i="3" s="1"/>
  <c r="L574" i="3"/>
  <c r="K574" i="3"/>
  <c r="N574" i="3" s="1"/>
  <c r="J574" i="3"/>
  <c r="M574" i="3" s="1"/>
  <c r="L573" i="3"/>
  <c r="K573" i="3"/>
  <c r="N573" i="3" s="1"/>
  <c r="J573" i="3"/>
  <c r="M573" i="3" s="1"/>
  <c r="L572" i="3"/>
  <c r="K572" i="3"/>
  <c r="N572" i="3" s="1"/>
  <c r="J572" i="3"/>
  <c r="M572" i="3" s="1"/>
  <c r="L571" i="3"/>
  <c r="K571" i="3"/>
  <c r="N571" i="3" s="1"/>
  <c r="J571" i="3"/>
  <c r="M571" i="3" s="1"/>
  <c r="L570" i="3"/>
  <c r="K570" i="3"/>
  <c r="N570" i="3" s="1"/>
  <c r="J570" i="3"/>
  <c r="M570" i="3" s="1"/>
  <c r="H570" i="3"/>
  <c r="C570" i="3"/>
  <c r="B570" i="3"/>
  <c r="L569" i="3"/>
  <c r="K569" i="3"/>
  <c r="J569" i="3"/>
  <c r="H569" i="3"/>
  <c r="L568" i="3"/>
  <c r="K568" i="3"/>
  <c r="J568" i="3"/>
  <c r="H568" i="3"/>
  <c r="L567" i="3"/>
  <c r="K567" i="3"/>
  <c r="J567" i="3"/>
  <c r="H567" i="3"/>
  <c r="L566" i="3"/>
  <c r="K566" i="3"/>
  <c r="J566" i="3"/>
  <c r="H566" i="3"/>
  <c r="L565" i="3"/>
  <c r="K565" i="3"/>
  <c r="J565" i="3"/>
  <c r="H565" i="3"/>
  <c r="L564" i="3"/>
  <c r="K564" i="3"/>
  <c r="J564" i="3"/>
  <c r="H564" i="3"/>
  <c r="L563" i="3"/>
  <c r="K563" i="3"/>
  <c r="J563" i="3"/>
  <c r="H563" i="3"/>
  <c r="L562" i="3"/>
  <c r="K562" i="3"/>
  <c r="J562" i="3"/>
  <c r="H562" i="3"/>
  <c r="L561" i="3"/>
  <c r="K561" i="3"/>
  <c r="J561" i="3"/>
  <c r="H561" i="3"/>
  <c r="L560" i="3"/>
  <c r="K560" i="3"/>
  <c r="J560" i="3"/>
  <c r="H560" i="3"/>
  <c r="L559" i="3"/>
  <c r="K559" i="3"/>
  <c r="J559" i="3"/>
  <c r="H559" i="3"/>
  <c r="L558" i="3"/>
  <c r="K558" i="3"/>
  <c r="J558" i="3"/>
  <c r="H558" i="3"/>
  <c r="L557" i="3"/>
  <c r="K557" i="3"/>
  <c r="J557" i="3"/>
  <c r="H557" i="3"/>
  <c r="L556" i="3"/>
  <c r="K556" i="3"/>
  <c r="J556" i="3"/>
  <c r="H556" i="3"/>
  <c r="L555" i="3"/>
  <c r="K555" i="3"/>
  <c r="J555" i="3"/>
  <c r="H555" i="3"/>
  <c r="L554" i="3"/>
  <c r="K554" i="3"/>
  <c r="J554" i="3"/>
  <c r="L553" i="3"/>
  <c r="K553" i="3"/>
  <c r="J553" i="3"/>
  <c r="L552" i="3"/>
  <c r="K552" i="3"/>
  <c r="J552" i="3"/>
  <c r="L551" i="3"/>
  <c r="K551" i="3"/>
  <c r="J551" i="3"/>
  <c r="L550" i="3"/>
  <c r="K550" i="3"/>
  <c r="J550" i="3"/>
  <c r="L549" i="3"/>
  <c r="K549" i="3"/>
  <c r="J549" i="3"/>
  <c r="L548" i="3"/>
  <c r="K548" i="3"/>
  <c r="J548" i="3"/>
  <c r="L547" i="3"/>
  <c r="K547" i="3"/>
  <c r="J547" i="3"/>
  <c r="L546" i="3"/>
  <c r="K546" i="3"/>
  <c r="J546" i="3"/>
  <c r="L545" i="3"/>
  <c r="K545" i="3"/>
  <c r="J545" i="3"/>
  <c r="L544" i="3"/>
  <c r="K544" i="3"/>
  <c r="J544" i="3"/>
  <c r="L543" i="3"/>
  <c r="K543" i="3"/>
  <c r="J543" i="3"/>
  <c r="L542" i="3"/>
  <c r="K542" i="3"/>
  <c r="J542" i="3"/>
  <c r="L541" i="3"/>
  <c r="K541" i="3"/>
  <c r="J541" i="3"/>
  <c r="L540" i="3"/>
  <c r="K540" i="3"/>
  <c r="J540" i="3"/>
  <c r="L539" i="3"/>
  <c r="K539" i="3"/>
  <c r="J539" i="3"/>
  <c r="L538" i="3"/>
  <c r="K538" i="3"/>
  <c r="J538" i="3"/>
  <c r="L537" i="3"/>
  <c r="K537" i="3"/>
  <c r="J537" i="3"/>
  <c r="L536" i="3"/>
  <c r="K536" i="3"/>
  <c r="J536" i="3"/>
  <c r="L535" i="3"/>
  <c r="K535" i="3"/>
  <c r="N535" i="3" s="1"/>
  <c r="J535" i="3"/>
  <c r="M535" i="3" s="1"/>
  <c r="L534" i="3"/>
  <c r="K534" i="3"/>
  <c r="N534" i="3" s="1"/>
  <c r="J534" i="3"/>
  <c r="M534" i="3" s="1"/>
  <c r="L533" i="3"/>
  <c r="K533" i="3"/>
  <c r="N533" i="3" s="1"/>
  <c r="J533" i="3"/>
  <c r="M533" i="3" s="1"/>
  <c r="L532" i="3"/>
  <c r="K532" i="3"/>
  <c r="N532" i="3" s="1"/>
  <c r="J532" i="3"/>
  <c r="M532" i="3" s="1"/>
  <c r="L531" i="3"/>
  <c r="K531" i="3"/>
  <c r="N531" i="3" s="1"/>
  <c r="J531" i="3"/>
  <c r="M531" i="3" s="1"/>
  <c r="L530" i="3"/>
  <c r="K530" i="3"/>
  <c r="N530" i="3" s="1"/>
  <c r="J530" i="3"/>
  <c r="M530" i="3" s="1"/>
  <c r="L529" i="3"/>
  <c r="K529" i="3"/>
  <c r="N529" i="3" s="1"/>
  <c r="J529" i="3"/>
  <c r="M529" i="3" s="1"/>
  <c r="L528" i="3"/>
  <c r="K528" i="3"/>
  <c r="N528" i="3" s="1"/>
  <c r="J528" i="3"/>
  <c r="M528" i="3" s="1"/>
  <c r="L527" i="3"/>
  <c r="K527" i="3"/>
  <c r="N527" i="3" s="1"/>
  <c r="J527" i="3"/>
  <c r="M527" i="3" s="1"/>
  <c r="L526" i="3"/>
  <c r="K526" i="3"/>
  <c r="N526" i="3" s="1"/>
  <c r="J526" i="3"/>
  <c r="M526" i="3" s="1"/>
  <c r="L525" i="3"/>
  <c r="K525" i="3"/>
  <c r="N525" i="3" s="1"/>
  <c r="J525" i="3"/>
  <c r="M525" i="3" s="1"/>
  <c r="L524" i="3"/>
  <c r="K524" i="3"/>
  <c r="N524" i="3" s="1"/>
  <c r="J524" i="3"/>
  <c r="M524" i="3" s="1"/>
  <c r="L523" i="3"/>
  <c r="K523" i="3"/>
  <c r="N523" i="3" s="1"/>
  <c r="J523" i="3"/>
  <c r="M523" i="3" s="1"/>
  <c r="L522" i="3"/>
  <c r="K522" i="3"/>
  <c r="N522" i="3" s="1"/>
  <c r="J522" i="3"/>
  <c r="M522" i="3" s="1"/>
  <c r="L521" i="3"/>
  <c r="K521" i="3"/>
  <c r="N521" i="3" s="1"/>
  <c r="J521" i="3"/>
  <c r="M521" i="3" s="1"/>
  <c r="L520" i="3"/>
  <c r="K520" i="3"/>
  <c r="N520" i="3" s="1"/>
  <c r="J520" i="3"/>
  <c r="M520" i="3" s="1"/>
  <c r="L519" i="3"/>
  <c r="K519" i="3"/>
  <c r="N519" i="3" s="1"/>
  <c r="J519" i="3"/>
  <c r="M519" i="3" s="1"/>
  <c r="L518" i="3"/>
  <c r="K518" i="3"/>
  <c r="N518" i="3" s="1"/>
  <c r="J518" i="3"/>
  <c r="M518" i="3" s="1"/>
  <c r="L517" i="3"/>
  <c r="K517" i="3"/>
  <c r="N517" i="3" s="1"/>
  <c r="J517" i="3"/>
  <c r="M517" i="3" s="1"/>
  <c r="L516" i="3"/>
  <c r="K516" i="3"/>
  <c r="N516" i="3" s="1"/>
  <c r="J516" i="3"/>
  <c r="M516" i="3" s="1"/>
  <c r="L515" i="3"/>
  <c r="K515" i="3"/>
  <c r="N515" i="3" s="1"/>
  <c r="J515" i="3"/>
  <c r="M515" i="3" s="1"/>
  <c r="L514" i="3"/>
  <c r="K514" i="3"/>
  <c r="N514" i="3" s="1"/>
  <c r="J514" i="3"/>
  <c r="M514" i="3" s="1"/>
  <c r="L513" i="3"/>
  <c r="K513" i="3"/>
  <c r="N513" i="3" s="1"/>
  <c r="J513" i="3"/>
  <c r="M513" i="3" s="1"/>
  <c r="L512" i="3"/>
  <c r="K512" i="3"/>
  <c r="N512" i="3" s="1"/>
  <c r="J512" i="3"/>
  <c r="M512" i="3" s="1"/>
  <c r="L511" i="3"/>
  <c r="K511" i="3"/>
  <c r="N511" i="3" s="1"/>
  <c r="J511" i="3"/>
  <c r="M511" i="3" s="1"/>
  <c r="L510" i="3"/>
  <c r="K510" i="3"/>
  <c r="N510" i="3" s="1"/>
  <c r="J510" i="3"/>
  <c r="M510" i="3" s="1"/>
  <c r="L509" i="3"/>
  <c r="K509" i="3"/>
  <c r="N509" i="3" s="1"/>
  <c r="J509" i="3"/>
  <c r="M509" i="3" s="1"/>
  <c r="L508" i="3"/>
  <c r="K508" i="3"/>
  <c r="N508" i="3" s="1"/>
  <c r="J508" i="3"/>
  <c r="M508" i="3" s="1"/>
  <c r="L507" i="3"/>
  <c r="K507" i="3"/>
  <c r="N507" i="3" s="1"/>
  <c r="J507" i="3"/>
  <c r="M507" i="3" s="1"/>
  <c r="L506" i="3"/>
  <c r="K506" i="3"/>
  <c r="N506" i="3" s="1"/>
  <c r="J506" i="3"/>
  <c r="M506" i="3" s="1"/>
  <c r="L505" i="3"/>
  <c r="K505" i="3"/>
  <c r="N505" i="3" s="1"/>
  <c r="J505" i="3"/>
  <c r="M505" i="3" s="1"/>
  <c r="L504" i="3"/>
  <c r="K504" i="3"/>
  <c r="N504" i="3" s="1"/>
  <c r="J504" i="3"/>
  <c r="M504" i="3" s="1"/>
  <c r="L503" i="3"/>
  <c r="K503" i="3"/>
  <c r="N503" i="3" s="1"/>
  <c r="J503" i="3"/>
  <c r="M503" i="3" s="1"/>
  <c r="L502" i="3"/>
  <c r="K502" i="3"/>
  <c r="N502" i="3" s="1"/>
  <c r="J502" i="3"/>
  <c r="M502" i="3" s="1"/>
  <c r="L501" i="3"/>
  <c r="K501" i="3"/>
  <c r="N501" i="3" s="1"/>
  <c r="J501" i="3"/>
  <c r="M501" i="3" s="1"/>
  <c r="L500" i="3"/>
  <c r="K500" i="3"/>
  <c r="N500" i="3" s="1"/>
  <c r="J500" i="3"/>
  <c r="M500" i="3" s="1"/>
  <c r="L499" i="3"/>
  <c r="K499" i="3"/>
  <c r="N499" i="3" s="1"/>
  <c r="J499" i="3"/>
  <c r="M499" i="3" s="1"/>
  <c r="H499" i="3"/>
  <c r="C499" i="3"/>
  <c r="B499" i="3"/>
  <c r="L498" i="3"/>
  <c r="K498" i="3"/>
  <c r="J498" i="3"/>
  <c r="H498" i="3"/>
  <c r="L497" i="3"/>
  <c r="K497" i="3"/>
  <c r="J497" i="3"/>
  <c r="H497" i="3"/>
  <c r="L496" i="3"/>
  <c r="K496" i="3"/>
  <c r="J496" i="3"/>
  <c r="H496" i="3"/>
  <c r="L495" i="3"/>
  <c r="K495" i="3"/>
  <c r="J495" i="3"/>
  <c r="H495" i="3"/>
  <c r="L494" i="3"/>
  <c r="K494" i="3"/>
  <c r="J494" i="3"/>
  <c r="H494" i="3"/>
  <c r="L493" i="3"/>
  <c r="K493" i="3"/>
  <c r="J493" i="3"/>
  <c r="H493" i="3"/>
  <c r="L492" i="3"/>
  <c r="K492" i="3"/>
  <c r="J492" i="3"/>
  <c r="H492" i="3"/>
  <c r="L491" i="3"/>
  <c r="K491" i="3"/>
  <c r="J491" i="3"/>
  <c r="H491" i="3"/>
  <c r="L490" i="3"/>
  <c r="K490" i="3"/>
  <c r="J490" i="3"/>
  <c r="H490" i="3"/>
  <c r="L489" i="3"/>
  <c r="K489" i="3"/>
  <c r="J489" i="3"/>
  <c r="H489" i="3"/>
  <c r="L488" i="3"/>
  <c r="K488" i="3"/>
  <c r="J488" i="3"/>
  <c r="H488" i="3"/>
  <c r="L487" i="3"/>
  <c r="K487" i="3"/>
  <c r="J487" i="3"/>
  <c r="H487" i="3"/>
  <c r="L486" i="3"/>
  <c r="K486" i="3"/>
  <c r="J486" i="3"/>
  <c r="H486" i="3"/>
  <c r="L485" i="3"/>
  <c r="K485" i="3"/>
  <c r="J485" i="3"/>
  <c r="H485" i="3"/>
  <c r="L484" i="3"/>
  <c r="K484" i="3"/>
  <c r="J484" i="3"/>
  <c r="H484" i="3"/>
  <c r="L483" i="3"/>
  <c r="K483" i="3"/>
  <c r="J483" i="3"/>
  <c r="L482" i="3"/>
  <c r="K482" i="3"/>
  <c r="J482" i="3"/>
  <c r="L481" i="3"/>
  <c r="K481" i="3"/>
  <c r="J481" i="3"/>
  <c r="L480" i="3"/>
  <c r="K480" i="3"/>
  <c r="J480" i="3"/>
  <c r="L479" i="3"/>
  <c r="K479" i="3"/>
  <c r="J479" i="3"/>
  <c r="L478" i="3"/>
  <c r="K478" i="3"/>
  <c r="J478" i="3"/>
  <c r="L477" i="3"/>
  <c r="K477" i="3"/>
  <c r="J477" i="3"/>
  <c r="L476" i="3"/>
  <c r="K476" i="3"/>
  <c r="J476" i="3"/>
  <c r="L475" i="3"/>
  <c r="K475" i="3"/>
  <c r="J475" i="3"/>
  <c r="L474" i="3"/>
  <c r="K474" i="3"/>
  <c r="J474" i="3"/>
  <c r="L473" i="3"/>
  <c r="K473" i="3"/>
  <c r="J473" i="3"/>
  <c r="L472" i="3"/>
  <c r="K472" i="3"/>
  <c r="J472" i="3"/>
  <c r="L471" i="3"/>
  <c r="K471" i="3"/>
  <c r="J471" i="3"/>
  <c r="L470" i="3"/>
  <c r="K470" i="3"/>
  <c r="J470" i="3"/>
  <c r="L469" i="3"/>
  <c r="K469" i="3"/>
  <c r="J469" i="3"/>
  <c r="L468" i="3"/>
  <c r="K468" i="3"/>
  <c r="J468" i="3"/>
  <c r="L467" i="3"/>
  <c r="K467" i="3"/>
  <c r="J467" i="3"/>
  <c r="L466" i="3"/>
  <c r="K466" i="3"/>
  <c r="J466" i="3"/>
  <c r="L465" i="3"/>
  <c r="K465" i="3"/>
  <c r="J465" i="3"/>
  <c r="L464" i="3"/>
  <c r="K464" i="3"/>
  <c r="N464" i="3" s="1"/>
  <c r="J464" i="3"/>
  <c r="M464" i="3" s="1"/>
  <c r="L463" i="3"/>
  <c r="K463" i="3"/>
  <c r="N463" i="3" s="1"/>
  <c r="J463" i="3"/>
  <c r="M463" i="3" s="1"/>
  <c r="L462" i="3"/>
  <c r="K462" i="3"/>
  <c r="N462" i="3" s="1"/>
  <c r="J462" i="3"/>
  <c r="M462" i="3" s="1"/>
  <c r="L461" i="3"/>
  <c r="K461" i="3"/>
  <c r="N461" i="3" s="1"/>
  <c r="J461" i="3"/>
  <c r="M461" i="3" s="1"/>
  <c r="L460" i="3"/>
  <c r="K460" i="3"/>
  <c r="N460" i="3" s="1"/>
  <c r="J460" i="3"/>
  <c r="M460" i="3" s="1"/>
  <c r="L459" i="3"/>
  <c r="K459" i="3"/>
  <c r="N459" i="3" s="1"/>
  <c r="J459" i="3"/>
  <c r="M459" i="3" s="1"/>
  <c r="L458" i="3"/>
  <c r="K458" i="3"/>
  <c r="N458" i="3" s="1"/>
  <c r="J458" i="3"/>
  <c r="M458" i="3" s="1"/>
  <c r="L457" i="3"/>
  <c r="K457" i="3"/>
  <c r="N457" i="3" s="1"/>
  <c r="J457" i="3"/>
  <c r="M457" i="3" s="1"/>
  <c r="L456" i="3"/>
  <c r="K456" i="3"/>
  <c r="N456" i="3" s="1"/>
  <c r="J456" i="3"/>
  <c r="M456" i="3" s="1"/>
  <c r="L455" i="3"/>
  <c r="K455" i="3"/>
  <c r="N455" i="3" s="1"/>
  <c r="J455" i="3"/>
  <c r="M455" i="3" s="1"/>
  <c r="L454" i="3"/>
  <c r="K454" i="3"/>
  <c r="N454" i="3" s="1"/>
  <c r="J454" i="3"/>
  <c r="M454" i="3" s="1"/>
  <c r="L453" i="3"/>
  <c r="K453" i="3"/>
  <c r="N453" i="3" s="1"/>
  <c r="J453" i="3"/>
  <c r="M453" i="3" s="1"/>
  <c r="L452" i="3"/>
  <c r="K452" i="3"/>
  <c r="N452" i="3" s="1"/>
  <c r="J452" i="3"/>
  <c r="M452" i="3" s="1"/>
  <c r="L451" i="3"/>
  <c r="K451" i="3"/>
  <c r="N451" i="3" s="1"/>
  <c r="J451" i="3"/>
  <c r="M451" i="3" s="1"/>
  <c r="L450" i="3"/>
  <c r="K450" i="3"/>
  <c r="N450" i="3" s="1"/>
  <c r="J450" i="3"/>
  <c r="M450" i="3" s="1"/>
  <c r="L449" i="3"/>
  <c r="K449" i="3"/>
  <c r="N449" i="3" s="1"/>
  <c r="J449" i="3"/>
  <c r="M449" i="3" s="1"/>
  <c r="L448" i="3"/>
  <c r="K448" i="3"/>
  <c r="N448" i="3" s="1"/>
  <c r="J448" i="3"/>
  <c r="M448" i="3" s="1"/>
  <c r="L447" i="3"/>
  <c r="K447" i="3"/>
  <c r="N447" i="3" s="1"/>
  <c r="J447" i="3"/>
  <c r="M447" i="3" s="1"/>
  <c r="L446" i="3"/>
  <c r="K446" i="3"/>
  <c r="N446" i="3" s="1"/>
  <c r="J446" i="3"/>
  <c r="M446" i="3" s="1"/>
  <c r="L445" i="3"/>
  <c r="K445" i="3"/>
  <c r="N445" i="3" s="1"/>
  <c r="J445" i="3"/>
  <c r="M445" i="3" s="1"/>
  <c r="L444" i="3"/>
  <c r="K444" i="3"/>
  <c r="N444" i="3" s="1"/>
  <c r="J444" i="3"/>
  <c r="M444" i="3" s="1"/>
  <c r="L443" i="3"/>
  <c r="K443" i="3"/>
  <c r="N443" i="3" s="1"/>
  <c r="J443" i="3"/>
  <c r="M443" i="3" s="1"/>
  <c r="L442" i="3"/>
  <c r="K442" i="3"/>
  <c r="N442" i="3" s="1"/>
  <c r="J442" i="3"/>
  <c r="M442" i="3" s="1"/>
  <c r="L441" i="3"/>
  <c r="K441" i="3"/>
  <c r="N441" i="3" s="1"/>
  <c r="J441" i="3"/>
  <c r="M441" i="3" s="1"/>
  <c r="L440" i="3"/>
  <c r="K440" i="3"/>
  <c r="N440" i="3" s="1"/>
  <c r="J440" i="3"/>
  <c r="M440" i="3" s="1"/>
  <c r="L439" i="3"/>
  <c r="K439" i="3"/>
  <c r="N439" i="3" s="1"/>
  <c r="J439" i="3"/>
  <c r="M439" i="3" s="1"/>
  <c r="L438" i="3"/>
  <c r="K438" i="3"/>
  <c r="N438" i="3" s="1"/>
  <c r="J438" i="3"/>
  <c r="M438" i="3" s="1"/>
  <c r="L437" i="3"/>
  <c r="K437" i="3"/>
  <c r="N437" i="3" s="1"/>
  <c r="J437" i="3"/>
  <c r="M437" i="3" s="1"/>
  <c r="L436" i="3"/>
  <c r="K436" i="3"/>
  <c r="N436" i="3" s="1"/>
  <c r="J436" i="3"/>
  <c r="M436" i="3" s="1"/>
  <c r="L435" i="3"/>
  <c r="K435" i="3"/>
  <c r="N435" i="3" s="1"/>
  <c r="J435" i="3"/>
  <c r="M435" i="3" s="1"/>
  <c r="L434" i="3"/>
  <c r="K434" i="3"/>
  <c r="N434" i="3" s="1"/>
  <c r="J434" i="3"/>
  <c r="M434" i="3" s="1"/>
  <c r="L433" i="3"/>
  <c r="K433" i="3"/>
  <c r="N433" i="3" s="1"/>
  <c r="J433" i="3"/>
  <c r="M433" i="3" s="1"/>
  <c r="L432" i="3"/>
  <c r="K432" i="3"/>
  <c r="N432" i="3" s="1"/>
  <c r="J432" i="3"/>
  <c r="M432" i="3" s="1"/>
  <c r="L431" i="3"/>
  <c r="K431" i="3"/>
  <c r="N431" i="3" s="1"/>
  <c r="J431" i="3"/>
  <c r="M431" i="3" s="1"/>
  <c r="L430" i="3"/>
  <c r="K430" i="3"/>
  <c r="N430" i="3" s="1"/>
  <c r="J430" i="3"/>
  <c r="M430" i="3" s="1"/>
  <c r="L429" i="3"/>
  <c r="K429" i="3"/>
  <c r="N429" i="3" s="1"/>
  <c r="J429" i="3"/>
  <c r="M429" i="3" s="1"/>
  <c r="L428" i="3"/>
  <c r="K428" i="3"/>
  <c r="N428" i="3" s="1"/>
  <c r="J428" i="3"/>
  <c r="M428" i="3" s="1"/>
  <c r="H428" i="3"/>
  <c r="C428" i="3"/>
  <c r="B428" i="3"/>
  <c r="L427" i="3"/>
  <c r="K427" i="3"/>
  <c r="J427" i="3"/>
  <c r="H427" i="3"/>
  <c r="L426" i="3"/>
  <c r="K426" i="3"/>
  <c r="J426" i="3"/>
  <c r="H426" i="3"/>
  <c r="L425" i="3"/>
  <c r="K425" i="3"/>
  <c r="J425" i="3"/>
  <c r="H425" i="3"/>
  <c r="L424" i="3"/>
  <c r="K424" i="3"/>
  <c r="J424" i="3"/>
  <c r="H424" i="3"/>
  <c r="L423" i="3"/>
  <c r="K423" i="3"/>
  <c r="J423" i="3"/>
  <c r="H423" i="3"/>
  <c r="L422" i="3"/>
  <c r="K422" i="3"/>
  <c r="J422" i="3"/>
  <c r="H422" i="3"/>
  <c r="L421" i="3"/>
  <c r="K421" i="3"/>
  <c r="J421" i="3"/>
  <c r="H421" i="3"/>
  <c r="L420" i="3"/>
  <c r="K420" i="3"/>
  <c r="J420" i="3"/>
  <c r="H420" i="3"/>
  <c r="L419" i="3"/>
  <c r="K419" i="3"/>
  <c r="J419" i="3"/>
  <c r="H419" i="3"/>
  <c r="L418" i="3"/>
  <c r="K418" i="3"/>
  <c r="J418" i="3"/>
  <c r="H418" i="3"/>
  <c r="L417" i="3"/>
  <c r="K417" i="3"/>
  <c r="J417" i="3"/>
  <c r="H417" i="3"/>
  <c r="L416" i="3"/>
  <c r="K416" i="3"/>
  <c r="J416" i="3"/>
  <c r="H416" i="3"/>
  <c r="L415" i="3"/>
  <c r="K415" i="3"/>
  <c r="J415" i="3"/>
  <c r="H415" i="3"/>
  <c r="L414" i="3"/>
  <c r="K414" i="3"/>
  <c r="J414" i="3"/>
  <c r="H414" i="3"/>
  <c r="L413" i="3"/>
  <c r="K413" i="3"/>
  <c r="J413" i="3"/>
  <c r="H413" i="3"/>
  <c r="L412" i="3"/>
  <c r="K412" i="3"/>
  <c r="J412" i="3"/>
  <c r="L411" i="3"/>
  <c r="K411" i="3"/>
  <c r="J411" i="3"/>
  <c r="L410" i="3"/>
  <c r="K410" i="3"/>
  <c r="J410" i="3"/>
  <c r="L409" i="3"/>
  <c r="K409" i="3"/>
  <c r="J409" i="3"/>
  <c r="L408" i="3"/>
  <c r="K408" i="3"/>
  <c r="J408" i="3"/>
  <c r="L407" i="3"/>
  <c r="K407" i="3"/>
  <c r="J407" i="3"/>
  <c r="L406" i="3"/>
  <c r="K406" i="3"/>
  <c r="J406" i="3"/>
  <c r="L405" i="3"/>
  <c r="K405" i="3"/>
  <c r="J405" i="3"/>
  <c r="L404" i="3"/>
  <c r="K404" i="3"/>
  <c r="J404" i="3"/>
  <c r="L403" i="3"/>
  <c r="K403" i="3"/>
  <c r="J403" i="3"/>
  <c r="L402" i="3"/>
  <c r="K402" i="3"/>
  <c r="J402" i="3"/>
  <c r="L401" i="3"/>
  <c r="K401" i="3"/>
  <c r="J401" i="3"/>
  <c r="L400" i="3"/>
  <c r="K400" i="3"/>
  <c r="J400" i="3"/>
  <c r="L399" i="3"/>
  <c r="K399" i="3"/>
  <c r="J399" i="3"/>
  <c r="L398" i="3"/>
  <c r="K398" i="3"/>
  <c r="J398" i="3"/>
  <c r="L397" i="3"/>
  <c r="K397" i="3"/>
  <c r="J397" i="3"/>
  <c r="L396" i="3"/>
  <c r="K396" i="3"/>
  <c r="J396" i="3"/>
  <c r="L395" i="3"/>
  <c r="K395" i="3"/>
  <c r="J395" i="3"/>
  <c r="L394" i="3"/>
  <c r="K394" i="3"/>
  <c r="J394" i="3"/>
  <c r="L393" i="3"/>
  <c r="K393" i="3"/>
  <c r="N393" i="3" s="1"/>
  <c r="J393" i="3"/>
  <c r="M393" i="3" s="1"/>
  <c r="L392" i="3"/>
  <c r="K392" i="3"/>
  <c r="N392" i="3" s="1"/>
  <c r="J392" i="3"/>
  <c r="M392" i="3" s="1"/>
  <c r="L391" i="3"/>
  <c r="K391" i="3"/>
  <c r="N391" i="3" s="1"/>
  <c r="J391" i="3"/>
  <c r="M391" i="3" s="1"/>
  <c r="L390" i="3"/>
  <c r="K390" i="3"/>
  <c r="N390" i="3" s="1"/>
  <c r="J390" i="3"/>
  <c r="M390" i="3" s="1"/>
  <c r="L389" i="3"/>
  <c r="K389" i="3"/>
  <c r="N389" i="3" s="1"/>
  <c r="J389" i="3"/>
  <c r="M389" i="3" s="1"/>
  <c r="L388" i="3"/>
  <c r="K388" i="3"/>
  <c r="N388" i="3" s="1"/>
  <c r="J388" i="3"/>
  <c r="M388" i="3" s="1"/>
  <c r="L387" i="3"/>
  <c r="K387" i="3"/>
  <c r="N387" i="3" s="1"/>
  <c r="J387" i="3"/>
  <c r="M387" i="3" s="1"/>
  <c r="L386" i="3"/>
  <c r="K386" i="3"/>
  <c r="N386" i="3" s="1"/>
  <c r="J386" i="3"/>
  <c r="M386" i="3" s="1"/>
  <c r="L385" i="3"/>
  <c r="K385" i="3"/>
  <c r="N385" i="3" s="1"/>
  <c r="J385" i="3"/>
  <c r="M385" i="3" s="1"/>
  <c r="L384" i="3"/>
  <c r="K384" i="3"/>
  <c r="N384" i="3" s="1"/>
  <c r="J384" i="3"/>
  <c r="M384" i="3" s="1"/>
  <c r="L383" i="3"/>
  <c r="K383" i="3"/>
  <c r="N383" i="3" s="1"/>
  <c r="J383" i="3"/>
  <c r="M383" i="3" s="1"/>
  <c r="L382" i="3"/>
  <c r="K382" i="3"/>
  <c r="N382" i="3" s="1"/>
  <c r="J382" i="3"/>
  <c r="M382" i="3" s="1"/>
  <c r="L381" i="3"/>
  <c r="K381" i="3"/>
  <c r="N381" i="3" s="1"/>
  <c r="J381" i="3"/>
  <c r="M381" i="3" s="1"/>
  <c r="L380" i="3"/>
  <c r="K380" i="3"/>
  <c r="N380" i="3" s="1"/>
  <c r="J380" i="3"/>
  <c r="M380" i="3" s="1"/>
  <c r="L379" i="3"/>
  <c r="K379" i="3"/>
  <c r="N379" i="3" s="1"/>
  <c r="J379" i="3"/>
  <c r="M379" i="3" s="1"/>
  <c r="L378" i="3"/>
  <c r="K378" i="3"/>
  <c r="N378" i="3" s="1"/>
  <c r="J378" i="3"/>
  <c r="M378" i="3" s="1"/>
  <c r="L377" i="3"/>
  <c r="K377" i="3"/>
  <c r="N377" i="3" s="1"/>
  <c r="J377" i="3"/>
  <c r="M377" i="3" s="1"/>
  <c r="L376" i="3"/>
  <c r="K376" i="3"/>
  <c r="N376" i="3" s="1"/>
  <c r="J376" i="3"/>
  <c r="M376" i="3" s="1"/>
  <c r="L375" i="3"/>
  <c r="K375" i="3"/>
  <c r="N375" i="3" s="1"/>
  <c r="J375" i="3"/>
  <c r="M375" i="3" s="1"/>
  <c r="L374" i="3"/>
  <c r="K374" i="3"/>
  <c r="N374" i="3" s="1"/>
  <c r="J374" i="3"/>
  <c r="M374" i="3" s="1"/>
  <c r="L373" i="3"/>
  <c r="K373" i="3"/>
  <c r="N373" i="3" s="1"/>
  <c r="J373" i="3"/>
  <c r="M373" i="3" s="1"/>
  <c r="L372" i="3"/>
  <c r="K372" i="3"/>
  <c r="N372" i="3" s="1"/>
  <c r="J372" i="3"/>
  <c r="M372" i="3" s="1"/>
  <c r="L371" i="3"/>
  <c r="K371" i="3"/>
  <c r="N371" i="3" s="1"/>
  <c r="J371" i="3"/>
  <c r="M371" i="3" s="1"/>
  <c r="L370" i="3"/>
  <c r="K370" i="3"/>
  <c r="N370" i="3" s="1"/>
  <c r="J370" i="3"/>
  <c r="M370" i="3" s="1"/>
  <c r="L369" i="3"/>
  <c r="K369" i="3"/>
  <c r="N369" i="3" s="1"/>
  <c r="J369" i="3"/>
  <c r="M369" i="3" s="1"/>
  <c r="L368" i="3"/>
  <c r="K368" i="3"/>
  <c r="N368" i="3" s="1"/>
  <c r="J368" i="3"/>
  <c r="M368" i="3" s="1"/>
  <c r="L367" i="3"/>
  <c r="K367" i="3"/>
  <c r="N367" i="3" s="1"/>
  <c r="J367" i="3"/>
  <c r="M367" i="3" s="1"/>
  <c r="L366" i="3"/>
  <c r="K366" i="3"/>
  <c r="N366" i="3" s="1"/>
  <c r="J366" i="3"/>
  <c r="M366" i="3" s="1"/>
  <c r="L365" i="3"/>
  <c r="K365" i="3"/>
  <c r="N365" i="3" s="1"/>
  <c r="J365" i="3"/>
  <c r="M365" i="3" s="1"/>
  <c r="L364" i="3"/>
  <c r="K364" i="3"/>
  <c r="N364" i="3" s="1"/>
  <c r="J364" i="3"/>
  <c r="M364" i="3" s="1"/>
  <c r="L363" i="3"/>
  <c r="K363" i="3"/>
  <c r="N363" i="3" s="1"/>
  <c r="J363" i="3"/>
  <c r="M363" i="3" s="1"/>
  <c r="L362" i="3"/>
  <c r="K362" i="3"/>
  <c r="N362" i="3" s="1"/>
  <c r="J362" i="3"/>
  <c r="M362" i="3" s="1"/>
  <c r="L361" i="3"/>
  <c r="K361" i="3"/>
  <c r="N361" i="3" s="1"/>
  <c r="J361" i="3"/>
  <c r="M361" i="3" s="1"/>
  <c r="L360" i="3"/>
  <c r="K360" i="3"/>
  <c r="N360" i="3" s="1"/>
  <c r="J360" i="3"/>
  <c r="M360" i="3" s="1"/>
  <c r="L359" i="3"/>
  <c r="K359" i="3"/>
  <c r="N359" i="3" s="1"/>
  <c r="J359" i="3"/>
  <c r="M359" i="3" s="1"/>
  <c r="L358" i="3"/>
  <c r="K358" i="3"/>
  <c r="N358" i="3" s="1"/>
  <c r="J358" i="3"/>
  <c r="M358" i="3" s="1"/>
  <c r="L357" i="3"/>
  <c r="K357" i="3"/>
  <c r="N357" i="3" s="1"/>
  <c r="J357" i="3"/>
  <c r="M357" i="3" s="1"/>
  <c r="H357" i="3"/>
  <c r="C357" i="3"/>
  <c r="B357" i="3"/>
  <c r="L356" i="3"/>
  <c r="K356" i="3"/>
  <c r="J356" i="3"/>
  <c r="H356" i="3"/>
  <c r="L355" i="3"/>
  <c r="K355" i="3"/>
  <c r="J355" i="3"/>
  <c r="H355" i="3"/>
  <c r="L354" i="3"/>
  <c r="K354" i="3"/>
  <c r="J354" i="3"/>
  <c r="H354" i="3"/>
  <c r="L353" i="3"/>
  <c r="K353" i="3"/>
  <c r="J353" i="3"/>
  <c r="H353" i="3"/>
  <c r="L352" i="3"/>
  <c r="K352" i="3"/>
  <c r="J352" i="3"/>
  <c r="H352" i="3"/>
  <c r="L351" i="3"/>
  <c r="K351" i="3"/>
  <c r="J351" i="3"/>
  <c r="H351" i="3"/>
  <c r="L350" i="3"/>
  <c r="K350" i="3"/>
  <c r="J350" i="3"/>
  <c r="H350" i="3"/>
  <c r="L349" i="3"/>
  <c r="K349" i="3"/>
  <c r="J349" i="3"/>
  <c r="H349" i="3"/>
  <c r="L348" i="3"/>
  <c r="K348" i="3"/>
  <c r="J348" i="3"/>
  <c r="H348" i="3"/>
  <c r="L347" i="3"/>
  <c r="K347" i="3"/>
  <c r="J347" i="3"/>
  <c r="H347" i="3"/>
  <c r="L346" i="3"/>
  <c r="K346" i="3"/>
  <c r="J346" i="3"/>
  <c r="H346" i="3"/>
  <c r="L345" i="3"/>
  <c r="K345" i="3"/>
  <c r="J345" i="3"/>
  <c r="H345" i="3"/>
  <c r="L344" i="3"/>
  <c r="K344" i="3"/>
  <c r="J344" i="3"/>
  <c r="H344" i="3"/>
  <c r="L343" i="3"/>
  <c r="K343" i="3"/>
  <c r="J343" i="3"/>
  <c r="H343" i="3"/>
  <c r="L342" i="3"/>
  <c r="K342" i="3"/>
  <c r="J342" i="3"/>
  <c r="H342" i="3"/>
  <c r="L341" i="3"/>
  <c r="K341" i="3"/>
  <c r="J341" i="3"/>
  <c r="L340" i="3"/>
  <c r="K340" i="3"/>
  <c r="J340" i="3"/>
  <c r="L339" i="3"/>
  <c r="K339" i="3"/>
  <c r="J339" i="3"/>
  <c r="L338" i="3"/>
  <c r="K338" i="3"/>
  <c r="J338" i="3"/>
  <c r="L337" i="3"/>
  <c r="K337" i="3"/>
  <c r="J337" i="3"/>
  <c r="L336" i="3"/>
  <c r="K336" i="3"/>
  <c r="J336" i="3"/>
  <c r="L335" i="3"/>
  <c r="K335" i="3"/>
  <c r="J335" i="3"/>
  <c r="L334" i="3"/>
  <c r="K334" i="3"/>
  <c r="J334" i="3"/>
  <c r="L333" i="3"/>
  <c r="K333" i="3"/>
  <c r="J333" i="3"/>
  <c r="L332" i="3"/>
  <c r="K332" i="3"/>
  <c r="J332" i="3"/>
  <c r="L331" i="3"/>
  <c r="K331" i="3"/>
  <c r="J331" i="3"/>
  <c r="L330" i="3"/>
  <c r="K330" i="3"/>
  <c r="J330" i="3"/>
  <c r="L329" i="3"/>
  <c r="K329" i="3"/>
  <c r="J329" i="3"/>
  <c r="L328" i="3"/>
  <c r="K328" i="3"/>
  <c r="J328" i="3"/>
  <c r="L327" i="3"/>
  <c r="K327" i="3"/>
  <c r="J327" i="3"/>
  <c r="L326" i="3"/>
  <c r="K326" i="3"/>
  <c r="J326" i="3"/>
  <c r="L325" i="3"/>
  <c r="K325" i="3"/>
  <c r="J325" i="3"/>
  <c r="L324" i="3"/>
  <c r="K324" i="3"/>
  <c r="J324" i="3"/>
  <c r="L323" i="3"/>
  <c r="K323" i="3"/>
  <c r="J323" i="3"/>
  <c r="L322" i="3"/>
  <c r="K322" i="3"/>
  <c r="N322" i="3" s="1"/>
  <c r="J322" i="3"/>
  <c r="M322" i="3" s="1"/>
  <c r="L321" i="3"/>
  <c r="K321" i="3"/>
  <c r="N321" i="3" s="1"/>
  <c r="J321" i="3"/>
  <c r="M321" i="3" s="1"/>
  <c r="L320" i="3"/>
  <c r="K320" i="3"/>
  <c r="N320" i="3" s="1"/>
  <c r="J320" i="3"/>
  <c r="M320" i="3" s="1"/>
  <c r="L319" i="3"/>
  <c r="K319" i="3"/>
  <c r="N319" i="3" s="1"/>
  <c r="J319" i="3"/>
  <c r="M319" i="3" s="1"/>
  <c r="L318" i="3"/>
  <c r="K318" i="3"/>
  <c r="N318" i="3" s="1"/>
  <c r="J318" i="3"/>
  <c r="M318" i="3" s="1"/>
  <c r="L317" i="3"/>
  <c r="K317" i="3"/>
  <c r="N317" i="3" s="1"/>
  <c r="J317" i="3"/>
  <c r="M317" i="3" s="1"/>
  <c r="L316" i="3"/>
  <c r="K316" i="3"/>
  <c r="N316" i="3" s="1"/>
  <c r="J316" i="3"/>
  <c r="M316" i="3" s="1"/>
  <c r="L315" i="3"/>
  <c r="K315" i="3"/>
  <c r="N315" i="3" s="1"/>
  <c r="J315" i="3"/>
  <c r="M315" i="3" s="1"/>
  <c r="L314" i="3"/>
  <c r="K314" i="3"/>
  <c r="N314" i="3" s="1"/>
  <c r="J314" i="3"/>
  <c r="M314" i="3" s="1"/>
  <c r="L313" i="3"/>
  <c r="K313" i="3"/>
  <c r="N313" i="3" s="1"/>
  <c r="J313" i="3"/>
  <c r="M313" i="3" s="1"/>
  <c r="L312" i="3"/>
  <c r="K312" i="3"/>
  <c r="N312" i="3" s="1"/>
  <c r="J312" i="3"/>
  <c r="M312" i="3" s="1"/>
  <c r="L311" i="3"/>
  <c r="K311" i="3"/>
  <c r="N311" i="3" s="1"/>
  <c r="J311" i="3"/>
  <c r="M311" i="3" s="1"/>
  <c r="L310" i="3"/>
  <c r="K310" i="3"/>
  <c r="N310" i="3" s="1"/>
  <c r="J310" i="3"/>
  <c r="M310" i="3" s="1"/>
  <c r="L309" i="3"/>
  <c r="K309" i="3"/>
  <c r="N309" i="3" s="1"/>
  <c r="J309" i="3"/>
  <c r="M309" i="3" s="1"/>
  <c r="L308" i="3"/>
  <c r="K308" i="3"/>
  <c r="N308" i="3" s="1"/>
  <c r="J308" i="3"/>
  <c r="M308" i="3" s="1"/>
  <c r="L307" i="3"/>
  <c r="K307" i="3"/>
  <c r="N307" i="3" s="1"/>
  <c r="J307" i="3"/>
  <c r="M307" i="3" s="1"/>
  <c r="L306" i="3"/>
  <c r="K306" i="3"/>
  <c r="N306" i="3" s="1"/>
  <c r="J306" i="3"/>
  <c r="M306" i="3" s="1"/>
  <c r="L305" i="3"/>
  <c r="K305" i="3"/>
  <c r="N305" i="3" s="1"/>
  <c r="J305" i="3"/>
  <c r="M305" i="3" s="1"/>
  <c r="L304" i="3"/>
  <c r="K304" i="3"/>
  <c r="N304" i="3" s="1"/>
  <c r="J304" i="3"/>
  <c r="M304" i="3" s="1"/>
  <c r="L303" i="3"/>
  <c r="K303" i="3"/>
  <c r="N303" i="3" s="1"/>
  <c r="J303" i="3"/>
  <c r="M303" i="3" s="1"/>
  <c r="L302" i="3"/>
  <c r="K302" i="3"/>
  <c r="N302" i="3" s="1"/>
  <c r="J302" i="3"/>
  <c r="M302" i="3" s="1"/>
  <c r="L301" i="3"/>
  <c r="K301" i="3"/>
  <c r="N301" i="3" s="1"/>
  <c r="J301" i="3"/>
  <c r="M301" i="3" s="1"/>
  <c r="L300" i="3"/>
  <c r="K300" i="3"/>
  <c r="N300" i="3" s="1"/>
  <c r="J300" i="3"/>
  <c r="M300" i="3" s="1"/>
  <c r="L299" i="3"/>
  <c r="K299" i="3"/>
  <c r="N299" i="3" s="1"/>
  <c r="J299" i="3"/>
  <c r="M299" i="3" s="1"/>
  <c r="L298" i="3"/>
  <c r="K298" i="3"/>
  <c r="N298" i="3" s="1"/>
  <c r="J298" i="3"/>
  <c r="M298" i="3" s="1"/>
  <c r="L297" i="3"/>
  <c r="K297" i="3"/>
  <c r="N297" i="3" s="1"/>
  <c r="J297" i="3"/>
  <c r="M297" i="3" s="1"/>
  <c r="L296" i="3"/>
  <c r="K296" i="3"/>
  <c r="N296" i="3" s="1"/>
  <c r="J296" i="3"/>
  <c r="M296" i="3" s="1"/>
  <c r="L295" i="3"/>
  <c r="K295" i="3"/>
  <c r="N295" i="3" s="1"/>
  <c r="J295" i="3"/>
  <c r="M295" i="3" s="1"/>
  <c r="L294" i="3"/>
  <c r="K294" i="3"/>
  <c r="N294" i="3" s="1"/>
  <c r="J294" i="3"/>
  <c r="M294" i="3" s="1"/>
  <c r="L293" i="3"/>
  <c r="K293" i="3"/>
  <c r="N293" i="3" s="1"/>
  <c r="J293" i="3"/>
  <c r="M293" i="3" s="1"/>
  <c r="L292" i="3"/>
  <c r="K292" i="3"/>
  <c r="N292" i="3" s="1"/>
  <c r="J292" i="3"/>
  <c r="M292" i="3" s="1"/>
  <c r="L291" i="3"/>
  <c r="K291" i="3"/>
  <c r="N291" i="3" s="1"/>
  <c r="J291" i="3"/>
  <c r="M291" i="3" s="1"/>
  <c r="L290" i="3"/>
  <c r="K290" i="3"/>
  <c r="N290" i="3" s="1"/>
  <c r="J290" i="3"/>
  <c r="M290" i="3" s="1"/>
  <c r="L289" i="3"/>
  <c r="K289" i="3"/>
  <c r="N289" i="3" s="1"/>
  <c r="J289" i="3"/>
  <c r="M289" i="3" s="1"/>
  <c r="L288" i="3"/>
  <c r="K288" i="3"/>
  <c r="N288" i="3" s="1"/>
  <c r="J288" i="3"/>
  <c r="M288" i="3" s="1"/>
  <c r="L287" i="3"/>
  <c r="K287" i="3"/>
  <c r="N287" i="3" s="1"/>
  <c r="J287" i="3"/>
  <c r="M287" i="3" s="1"/>
  <c r="L286" i="3"/>
  <c r="K286" i="3"/>
  <c r="N286" i="3" s="1"/>
  <c r="J286" i="3"/>
  <c r="M286" i="3" s="1"/>
  <c r="H286" i="3"/>
  <c r="C286" i="3"/>
  <c r="B286" i="3"/>
  <c r="L285" i="3"/>
  <c r="K285" i="3"/>
  <c r="J285" i="3"/>
  <c r="H285" i="3"/>
  <c r="L284" i="3"/>
  <c r="K284" i="3"/>
  <c r="J284" i="3"/>
  <c r="H284" i="3"/>
  <c r="L283" i="3"/>
  <c r="K283" i="3"/>
  <c r="J283" i="3"/>
  <c r="H283" i="3"/>
  <c r="L282" i="3"/>
  <c r="K282" i="3"/>
  <c r="J282" i="3"/>
  <c r="H282" i="3"/>
  <c r="L281" i="3"/>
  <c r="K281" i="3"/>
  <c r="J281" i="3"/>
  <c r="H281" i="3"/>
  <c r="L280" i="3"/>
  <c r="K280" i="3"/>
  <c r="J280" i="3"/>
  <c r="H280" i="3"/>
  <c r="L279" i="3"/>
  <c r="K279" i="3"/>
  <c r="J279" i="3"/>
  <c r="H279" i="3"/>
  <c r="L278" i="3"/>
  <c r="K278" i="3"/>
  <c r="J278" i="3"/>
  <c r="H278" i="3"/>
  <c r="L277" i="3"/>
  <c r="K277" i="3"/>
  <c r="J277" i="3"/>
  <c r="H277" i="3"/>
  <c r="L276" i="3"/>
  <c r="K276" i="3"/>
  <c r="J276" i="3"/>
  <c r="H276" i="3"/>
  <c r="L275" i="3"/>
  <c r="K275" i="3"/>
  <c r="J275" i="3"/>
  <c r="H275" i="3"/>
  <c r="L274" i="3"/>
  <c r="K274" i="3"/>
  <c r="J274" i="3"/>
  <c r="H274" i="3"/>
  <c r="L273" i="3"/>
  <c r="K273" i="3"/>
  <c r="J273" i="3"/>
  <c r="H273" i="3"/>
  <c r="L272" i="3"/>
  <c r="K272" i="3"/>
  <c r="J272" i="3"/>
  <c r="H272" i="3"/>
  <c r="L271" i="3"/>
  <c r="K271" i="3"/>
  <c r="J271" i="3"/>
  <c r="H271" i="3"/>
  <c r="L270" i="3"/>
  <c r="K270" i="3"/>
  <c r="J270" i="3"/>
  <c r="L269" i="3"/>
  <c r="K269" i="3"/>
  <c r="J269" i="3"/>
  <c r="L268" i="3"/>
  <c r="K268" i="3"/>
  <c r="J268" i="3"/>
  <c r="L267" i="3"/>
  <c r="K267" i="3"/>
  <c r="J267" i="3"/>
  <c r="L266" i="3"/>
  <c r="K266" i="3"/>
  <c r="J266" i="3"/>
  <c r="L265" i="3"/>
  <c r="K265" i="3"/>
  <c r="J265" i="3"/>
  <c r="L264" i="3"/>
  <c r="K264" i="3"/>
  <c r="J264" i="3"/>
  <c r="L263" i="3"/>
  <c r="K263" i="3"/>
  <c r="J263" i="3"/>
  <c r="L262" i="3"/>
  <c r="K262" i="3"/>
  <c r="J262" i="3"/>
  <c r="L261" i="3"/>
  <c r="K261" i="3"/>
  <c r="J261" i="3"/>
  <c r="L260" i="3"/>
  <c r="K260" i="3"/>
  <c r="J260" i="3"/>
  <c r="L259" i="3"/>
  <c r="K259" i="3"/>
  <c r="J259" i="3"/>
  <c r="L258" i="3"/>
  <c r="K258" i="3"/>
  <c r="J258" i="3"/>
  <c r="L257" i="3"/>
  <c r="K257" i="3"/>
  <c r="J257" i="3"/>
  <c r="L256" i="3"/>
  <c r="K256" i="3"/>
  <c r="J256" i="3"/>
  <c r="L255" i="3"/>
  <c r="K255" i="3"/>
  <c r="J255" i="3"/>
  <c r="L254" i="3"/>
  <c r="K254" i="3"/>
  <c r="J254" i="3"/>
  <c r="L253" i="3"/>
  <c r="K253" i="3"/>
  <c r="J253" i="3"/>
  <c r="L252" i="3"/>
  <c r="K252" i="3"/>
  <c r="J252" i="3"/>
  <c r="L251" i="3"/>
  <c r="K251" i="3"/>
  <c r="N251" i="3" s="1"/>
  <c r="J251" i="3"/>
  <c r="M251" i="3" s="1"/>
  <c r="L250" i="3"/>
  <c r="K250" i="3"/>
  <c r="N250" i="3" s="1"/>
  <c r="J250" i="3"/>
  <c r="M250" i="3" s="1"/>
  <c r="L249" i="3"/>
  <c r="K249" i="3"/>
  <c r="N249" i="3" s="1"/>
  <c r="J249" i="3"/>
  <c r="M249" i="3" s="1"/>
  <c r="L248" i="3"/>
  <c r="K248" i="3"/>
  <c r="N248" i="3" s="1"/>
  <c r="J248" i="3"/>
  <c r="M248" i="3" s="1"/>
  <c r="L247" i="3"/>
  <c r="K247" i="3"/>
  <c r="N247" i="3" s="1"/>
  <c r="J247" i="3"/>
  <c r="M247" i="3" s="1"/>
  <c r="L246" i="3"/>
  <c r="K246" i="3"/>
  <c r="N246" i="3" s="1"/>
  <c r="J246" i="3"/>
  <c r="M246" i="3" s="1"/>
  <c r="L245" i="3"/>
  <c r="K245" i="3"/>
  <c r="N245" i="3" s="1"/>
  <c r="J245" i="3"/>
  <c r="M245" i="3" s="1"/>
  <c r="L244" i="3"/>
  <c r="K244" i="3"/>
  <c r="N244" i="3" s="1"/>
  <c r="J244" i="3"/>
  <c r="M244" i="3" s="1"/>
  <c r="L243" i="3"/>
  <c r="K243" i="3"/>
  <c r="N243" i="3" s="1"/>
  <c r="J243" i="3"/>
  <c r="M243" i="3" s="1"/>
  <c r="L242" i="3"/>
  <c r="K242" i="3"/>
  <c r="N242" i="3" s="1"/>
  <c r="J242" i="3"/>
  <c r="M242" i="3" s="1"/>
  <c r="L241" i="3"/>
  <c r="K241" i="3"/>
  <c r="N241" i="3" s="1"/>
  <c r="J241" i="3"/>
  <c r="M241" i="3" s="1"/>
  <c r="L240" i="3"/>
  <c r="K240" i="3"/>
  <c r="N240" i="3" s="1"/>
  <c r="J240" i="3"/>
  <c r="M240" i="3" s="1"/>
  <c r="L239" i="3"/>
  <c r="K239" i="3"/>
  <c r="N239" i="3" s="1"/>
  <c r="J239" i="3"/>
  <c r="M239" i="3" s="1"/>
  <c r="L238" i="3"/>
  <c r="K238" i="3"/>
  <c r="N238" i="3" s="1"/>
  <c r="J238" i="3"/>
  <c r="M238" i="3" s="1"/>
  <c r="L237" i="3"/>
  <c r="K237" i="3"/>
  <c r="N237" i="3" s="1"/>
  <c r="J237" i="3"/>
  <c r="M237" i="3" s="1"/>
  <c r="L236" i="3"/>
  <c r="K236" i="3"/>
  <c r="N236" i="3" s="1"/>
  <c r="J236" i="3"/>
  <c r="M236" i="3" s="1"/>
  <c r="L235" i="3"/>
  <c r="K235" i="3"/>
  <c r="N235" i="3" s="1"/>
  <c r="J235" i="3"/>
  <c r="M235" i="3" s="1"/>
  <c r="L234" i="3"/>
  <c r="K234" i="3"/>
  <c r="N234" i="3" s="1"/>
  <c r="J234" i="3"/>
  <c r="M234" i="3" s="1"/>
  <c r="L233" i="3"/>
  <c r="K233" i="3"/>
  <c r="N233" i="3" s="1"/>
  <c r="J233" i="3"/>
  <c r="M233" i="3" s="1"/>
  <c r="L232" i="3"/>
  <c r="K232" i="3"/>
  <c r="N232" i="3" s="1"/>
  <c r="J232" i="3"/>
  <c r="M232" i="3" s="1"/>
  <c r="L231" i="3"/>
  <c r="K231" i="3"/>
  <c r="N231" i="3" s="1"/>
  <c r="J231" i="3"/>
  <c r="M231" i="3" s="1"/>
  <c r="L230" i="3"/>
  <c r="K230" i="3"/>
  <c r="N230" i="3" s="1"/>
  <c r="J230" i="3"/>
  <c r="M230" i="3" s="1"/>
  <c r="L229" i="3"/>
  <c r="K229" i="3"/>
  <c r="N229" i="3" s="1"/>
  <c r="J229" i="3"/>
  <c r="M229" i="3" s="1"/>
  <c r="L228" i="3"/>
  <c r="K228" i="3"/>
  <c r="N228" i="3" s="1"/>
  <c r="J228" i="3"/>
  <c r="M228" i="3" s="1"/>
  <c r="L227" i="3"/>
  <c r="K227" i="3"/>
  <c r="N227" i="3" s="1"/>
  <c r="J227" i="3"/>
  <c r="M227" i="3" s="1"/>
  <c r="L226" i="3"/>
  <c r="K226" i="3"/>
  <c r="N226" i="3" s="1"/>
  <c r="J226" i="3"/>
  <c r="M226" i="3" s="1"/>
  <c r="L225" i="3"/>
  <c r="K225" i="3"/>
  <c r="N225" i="3" s="1"/>
  <c r="J225" i="3"/>
  <c r="M225" i="3" s="1"/>
  <c r="L224" i="3"/>
  <c r="K224" i="3"/>
  <c r="N224" i="3" s="1"/>
  <c r="J224" i="3"/>
  <c r="M224" i="3" s="1"/>
  <c r="L223" i="3"/>
  <c r="K223" i="3"/>
  <c r="N223" i="3" s="1"/>
  <c r="J223" i="3"/>
  <c r="M223" i="3" s="1"/>
  <c r="L222" i="3"/>
  <c r="K222" i="3"/>
  <c r="N222" i="3" s="1"/>
  <c r="J222" i="3"/>
  <c r="M222" i="3" s="1"/>
  <c r="L221" i="3"/>
  <c r="K221" i="3"/>
  <c r="N221" i="3" s="1"/>
  <c r="J221" i="3"/>
  <c r="M221" i="3" s="1"/>
  <c r="L220" i="3"/>
  <c r="K220" i="3"/>
  <c r="N220" i="3" s="1"/>
  <c r="J220" i="3"/>
  <c r="M220" i="3" s="1"/>
  <c r="L219" i="3"/>
  <c r="K219" i="3"/>
  <c r="N219" i="3" s="1"/>
  <c r="J219" i="3"/>
  <c r="M219" i="3" s="1"/>
  <c r="L218" i="3"/>
  <c r="K218" i="3"/>
  <c r="N218" i="3" s="1"/>
  <c r="J218" i="3"/>
  <c r="M218" i="3" s="1"/>
  <c r="L217" i="3"/>
  <c r="K217" i="3"/>
  <c r="N217" i="3" s="1"/>
  <c r="J217" i="3"/>
  <c r="M217" i="3" s="1"/>
  <c r="L216" i="3"/>
  <c r="K216" i="3"/>
  <c r="N216" i="3" s="1"/>
  <c r="J216" i="3"/>
  <c r="M216" i="3" s="1"/>
  <c r="L215" i="3"/>
  <c r="K215" i="3"/>
  <c r="N215" i="3" s="1"/>
  <c r="J215" i="3"/>
  <c r="M215" i="3" s="1"/>
  <c r="H215" i="3"/>
  <c r="C215" i="3"/>
  <c r="B215" i="3"/>
  <c r="L214" i="3"/>
  <c r="K214" i="3"/>
  <c r="J214" i="3"/>
  <c r="H214" i="3"/>
  <c r="L213" i="3"/>
  <c r="K213" i="3"/>
  <c r="J213" i="3"/>
  <c r="H213" i="3"/>
  <c r="L212" i="3"/>
  <c r="K212" i="3"/>
  <c r="J212" i="3"/>
  <c r="H212" i="3"/>
  <c r="L211" i="3"/>
  <c r="K211" i="3"/>
  <c r="J211" i="3"/>
  <c r="H211" i="3"/>
  <c r="L210" i="3"/>
  <c r="K210" i="3"/>
  <c r="J210" i="3"/>
  <c r="H210" i="3"/>
  <c r="L209" i="3"/>
  <c r="K209" i="3"/>
  <c r="J209" i="3"/>
  <c r="H209" i="3"/>
  <c r="L208" i="3"/>
  <c r="K208" i="3"/>
  <c r="J208" i="3"/>
  <c r="H208" i="3"/>
  <c r="L207" i="3"/>
  <c r="K207" i="3"/>
  <c r="J207" i="3"/>
  <c r="H207" i="3"/>
  <c r="L206" i="3"/>
  <c r="K206" i="3"/>
  <c r="J206" i="3"/>
  <c r="H206" i="3"/>
  <c r="L205" i="3"/>
  <c r="K205" i="3"/>
  <c r="J205" i="3"/>
  <c r="H205" i="3"/>
  <c r="L204" i="3"/>
  <c r="K204" i="3"/>
  <c r="J204" i="3"/>
  <c r="H204" i="3"/>
  <c r="L203" i="3"/>
  <c r="K203" i="3"/>
  <c r="J203" i="3"/>
  <c r="H203" i="3"/>
  <c r="L202" i="3"/>
  <c r="K202" i="3"/>
  <c r="J202" i="3"/>
  <c r="H202" i="3"/>
  <c r="L201" i="3"/>
  <c r="K201" i="3"/>
  <c r="J201" i="3"/>
  <c r="H201" i="3"/>
  <c r="L200" i="3"/>
  <c r="K200" i="3"/>
  <c r="J200" i="3"/>
  <c r="H200" i="3"/>
  <c r="L199" i="3"/>
  <c r="K199" i="3"/>
  <c r="J199" i="3"/>
  <c r="L198" i="3"/>
  <c r="K198" i="3"/>
  <c r="J198" i="3"/>
  <c r="L197" i="3"/>
  <c r="K197" i="3"/>
  <c r="J197" i="3"/>
  <c r="L196" i="3"/>
  <c r="K196" i="3"/>
  <c r="J196" i="3"/>
  <c r="L195" i="3"/>
  <c r="K195" i="3"/>
  <c r="J195" i="3"/>
  <c r="L194" i="3"/>
  <c r="K194" i="3"/>
  <c r="J194" i="3"/>
  <c r="L193" i="3"/>
  <c r="K193" i="3"/>
  <c r="J193" i="3"/>
  <c r="L192" i="3"/>
  <c r="K192" i="3"/>
  <c r="J192" i="3"/>
  <c r="L191" i="3"/>
  <c r="K191" i="3"/>
  <c r="J191" i="3"/>
  <c r="L190" i="3"/>
  <c r="K190" i="3"/>
  <c r="J190" i="3"/>
  <c r="L189" i="3"/>
  <c r="K189" i="3"/>
  <c r="J189" i="3"/>
  <c r="L188" i="3"/>
  <c r="K188" i="3"/>
  <c r="J188" i="3"/>
  <c r="L187" i="3"/>
  <c r="K187" i="3"/>
  <c r="J187" i="3"/>
  <c r="L186" i="3"/>
  <c r="K186" i="3"/>
  <c r="J186" i="3"/>
  <c r="L185" i="3"/>
  <c r="K185" i="3"/>
  <c r="J185" i="3"/>
  <c r="L184" i="3"/>
  <c r="K184" i="3"/>
  <c r="J184" i="3"/>
  <c r="L183" i="3"/>
  <c r="K183" i="3"/>
  <c r="J183" i="3"/>
  <c r="L182" i="3"/>
  <c r="K182" i="3"/>
  <c r="J182" i="3"/>
  <c r="L181" i="3"/>
  <c r="K181" i="3"/>
  <c r="J181" i="3"/>
  <c r="L180" i="3"/>
  <c r="K180" i="3"/>
  <c r="N180" i="3" s="1"/>
  <c r="J180" i="3"/>
  <c r="M180" i="3" s="1"/>
  <c r="L179" i="3"/>
  <c r="K179" i="3"/>
  <c r="N179" i="3" s="1"/>
  <c r="J179" i="3"/>
  <c r="M179" i="3" s="1"/>
  <c r="L178" i="3"/>
  <c r="K178" i="3"/>
  <c r="N178" i="3" s="1"/>
  <c r="J178" i="3"/>
  <c r="M178" i="3" s="1"/>
  <c r="L177" i="3"/>
  <c r="K177" i="3"/>
  <c r="N177" i="3" s="1"/>
  <c r="J177" i="3"/>
  <c r="M177" i="3" s="1"/>
  <c r="L176" i="3"/>
  <c r="K176" i="3"/>
  <c r="N176" i="3" s="1"/>
  <c r="J176" i="3"/>
  <c r="M176" i="3" s="1"/>
  <c r="L175" i="3"/>
  <c r="K175" i="3"/>
  <c r="N175" i="3" s="1"/>
  <c r="J175" i="3"/>
  <c r="M175" i="3" s="1"/>
  <c r="L174" i="3"/>
  <c r="K174" i="3"/>
  <c r="N174" i="3" s="1"/>
  <c r="J174" i="3"/>
  <c r="M174" i="3" s="1"/>
  <c r="L173" i="3"/>
  <c r="K173" i="3"/>
  <c r="N173" i="3" s="1"/>
  <c r="J173" i="3"/>
  <c r="M173" i="3" s="1"/>
  <c r="L172" i="3"/>
  <c r="K172" i="3"/>
  <c r="N172" i="3" s="1"/>
  <c r="J172" i="3"/>
  <c r="M172" i="3" s="1"/>
  <c r="L171" i="3"/>
  <c r="K171" i="3"/>
  <c r="N171" i="3" s="1"/>
  <c r="J171" i="3"/>
  <c r="M171" i="3" s="1"/>
  <c r="L170" i="3"/>
  <c r="K170" i="3"/>
  <c r="N170" i="3" s="1"/>
  <c r="J170" i="3"/>
  <c r="M170" i="3" s="1"/>
  <c r="L169" i="3"/>
  <c r="K169" i="3"/>
  <c r="N169" i="3" s="1"/>
  <c r="J169" i="3"/>
  <c r="M169" i="3" s="1"/>
  <c r="L168" i="3"/>
  <c r="K168" i="3"/>
  <c r="N168" i="3" s="1"/>
  <c r="J168" i="3"/>
  <c r="M168" i="3" s="1"/>
  <c r="L167" i="3"/>
  <c r="K167" i="3"/>
  <c r="N167" i="3" s="1"/>
  <c r="J167" i="3"/>
  <c r="M167" i="3" s="1"/>
  <c r="L166" i="3"/>
  <c r="K166" i="3"/>
  <c r="N166" i="3" s="1"/>
  <c r="J166" i="3"/>
  <c r="M166" i="3" s="1"/>
  <c r="L165" i="3"/>
  <c r="K165" i="3"/>
  <c r="N165" i="3" s="1"/>
  <c r="J165" i="3"/>
  <c r="M165" i="3" s="1"/>
  <c r="L164" i="3"/>
  <c r="K164" i="3"/>
  <c r="N164" i="3" s="1"/>
  <c r="J164" i="3"/>
  <c r="M164" i="3" s="1"/>
  <c r="L163" i="3"/>
  <c r="K163" i="3"/>
  <c r="N163" i="3" s="1"/>
  <c r="J163" i="3"/>
  <c r="M163" i="3" s="1"/>
  <c r="L162" i="3"/>
  <c r="K162" i="3"/>
  <c r="N162" i="3" s="1"/>
  <c r="J162" i="3"/>
  <c r="M162" i="3" s="1"/>
  <c r="L161" i="3"/>
  <c r="K161" i="3"/>
  <c r="N161" i="3" s="1"/>
  <c r="J161" i="3"/>
  <c r="M161" i="3" s="1"/>
  <c r="L160" i="3"/>
  <c r="K160" i="3"/>
  <c r="N160" i="3" s="1"/>
  <c r="J160" i="3"/>
  <c r="M160" i="3" s="1"/>
  <c r="L159" i="3"/>
  <c r="K159" i="3"/>
  <c r="N159" i="3" s="1"/>
  <c r="J159" i="3"/>
  <c r="M159" i="3" s="1"/>
  <c r="L158" i="3"/>
  <c r="K158" i="3"/>
  <c r="N158" i="3" s="1"/>
  <c r="J158" i="3"/>
  <c r="M158" i="3" s="1"/>
  <c r="L157" i="3"/>
  <c r="K157" i="3"/>
  <c r="N157" i="3" s="1"/>
  <c r="J157" i="3"/>
  <c r="M157" i="3" s="1"/>
  <c r="L156" i="3"/>
  <c r="K156" i="3"/>
  <c r="N156" i="3" s="1"/>
  <c r="J156" i="3"/>
  <c r="M156" i="3" s="1"/>
  <c r="L155" i="3"/>
  <c r="K155" i="3"/>
  <c r="N155" i="3" s="1"/>
  <c r="J155" i="3"/>
  <c r="M155" i="3" s="1"/>
  <c r="L154" i="3"/>
  <c r="K154" i="3"/>
  <c r="N154" i="3" s="1"/>
  <c r="J154" i="3"/>
  <c r="M154" i="3" s="1"/>
  <c r="L153" i="3"/>
  <c r="K153" i="3"/>
  <c r="N153" i="3" s="1"/>
  <c r="J153" i="3"/>
  <c r="M153" i="3" s="1"/>
  <c r="L152" i="3"/>
  <c r="K152" i="3"/>
  <c r="N152" i="3" s="1"/>
  <c r="J152" i="3"/>
  <c r="M152" i="3" s="1"/>
  <c r="L151" i="3"/>
  <c r="K151" i="3"/>
  <c r="N151" i="3" s="1"/>
  <c r="J151" i="3"/>
  <c r="M151" i="3" s="1"/>
  <c r="L150" i="3"/>
  <c r="K150" i="3"/>
  <c r="N150" i="3" s="1"/>
  <c r="J150" i="3"/>
  <c r="M150" i="3" s="1"/>
  <c r="L149" i="3"/>
  <c r="K149" i="3"/>
  <c r="N149" i="3" s="1"/>
  <c r="J149" i="3"/>
  <c r="M149" i="3" s="1"/>
  <c r="L148" i="3"/>
  <c r="K148" i="3"/>
  <c r="N148" i="3" s="1"/>
  <c r="J148" i="3"/>
  <c r="M148" i="3" s="1"/>
  <c r="L147" i="3"/>
  <c r="K147" i="3"/>
  <c r="N147" i="3" s="1"/>
  <c r="J147" i="3"/>
  <c r="M147" i="3" s="1"/>
  <c r="L146" i="3"/>
  <c r="K146" i="3"/>
  <c r="N146" i="3" s="1"/>
  <c r="J146" i="3"/>
  <c r="M146" i="3" s="1"/>
  <c r="L145" i="3"/>
  <c r="K145" i="3"/>
  <c r="N145" i="3" s="1"/>
  <c r="J145" i="3"/>
  <c r="M145" i="3" s="1"/>
  <c r="L144" i="3"/>
  <c r="K144" i="3"/>
  <c r="N144" i="3" s="1"/>
  <c r="J144" i="3"/>
  <c r="M144" i="3" s="1"/>
  <c r="H144" i="3"/>
  <c r="C144" i="3"/>
  <c r="B144" i="3"/>
  <c r="L143" i="3"/>
  <c r="K143" i="3"/>
  <c r="J143" i="3"/>
  <c r="H143" i="3"/>
  <c r="L142" i="3"/>
  <c r="K142" i="3"/>
  <c r="J142" i="3"/>
  <c r="H142" i="3"/>
  <c r="L141" i="3"/>
  <c r="K141" i="3"/>
  <c r="J141" i="3"/>
  <c r="H141" i="3"/>
  <c r="L140" i="3"/>
  <c r="K140" i="3"/>
  <c r="J140" i="3"/>
  <c r="H140" i="3"/>
  <c r="L139" i="3"/>
  <c r="K139" i="3"/>
  <c r="J139" i="3"/>
  <c r="H139" i="3"/>
  <c r="L138" i="3"/>
  <c r="K138" i="3"/>
  <c r="J138" i="3"/>
  <c r="H138" i="3"/>
  <c r="L137" i="3"/>
  <c r="K137" i="3"/>
  <c r="J137" i="3"/>
  <c r="H137" i="3"/>
  <c r="L136" i="3"/>
  <c r="K136" i="3"/>
  <c r="J136" i="3"/>
  <c r="H136" i="3"/>
  <c r="L135" i="3"/>
  <c r="K135" i="3"/>
  <c r="J135" i="3"/>
  <c r="H135" i="3"/>
  <c r="L134" i="3"/>
  <c r="K134" i="3"/>
  <c r="J134" i="3"/>
  <c r="H134" i="3"/>
  <c r="L133" i="3"/>
  <c r="K133" i="3"/>
  <c r="J133" i="3"/>
  <c r="H133" i="3"/>
  <c r="L132" i="3"/>
  <c r="K132" i="3"/>
  <c r="J132" i="3"/>
  <c r="H132" i="3"/>
  <c r="L131" i="3"/>
  <c r="K131" i="3"/>
  <c r="J131" i="3"/>
  <c r="H131" i="3"/>
  <c r="L130" i="3"/>
  <c r="K130" i="3"/>
  <c r="J130" i="3"/>
  <c r="H130" i="3"/>
  <c r="L129" i="3"/>
  <c r="K129" i="3"/>
  <c r="J129" i="3"/>
  <c r="H129" i="3"/>
  <c r="L128" i="3"/>
  <c r="K128" i="3"/>
  <c r="J128" i="3"/>
  <c r="L127" i="3"/>
  <c r="K127" i="3"/>
  <c r="J127" i="3"/>
  <c r="L126" i="3"/>
  <c r="K126" i="3"/>
  <c r="J126" i="3"/>
  <c r="L125" i="3"/>
  <c r="K125" i="3"/>
  <c r="J125" i="3"/>
  <c r="L124" i="3"/>
  <c r="K124" i="3"/>
  <c r="J124" i="3"/>
  <c r="L123" i="3"/>
  <c r="K123" i="3"/>
  <c r="J123" i="3"/>
  <c r="L122" i="3"/>
  <c r="K122" i="3"/>
  <c r="J122" i="3"/>
  <c r="L121" i="3"/>
  <c r="K121" i="3"/>
  <c r="J121" i="3"/>
  <c r="L120" i="3"/>
  <c r="K120" i="3"/>
  <c r="J120" i="3"/>
  <c r="L119" i="3"/>
  <c r="K119" i="3"/>
  <c r="J119" i="3"/>
  <c r="L118" i="3"/>
  <c r="K118" i="3"/>
  <c r="J118" i="3"/>
  <c r="L117" i="3"/>
  <c r="K117" i="3"/>
  <c r="J117" i="3"/>
  <c r="L116" i="3"/>
  <c r="K116" i="3"/>
  <c r="J116" i="3"/>
  <c r="L115" i="3"/>
  <c r="K115" i="3"/>
  <c r="J115" i="3"/>
  <c r="L114" i="3"/>
  <c r="K114" i="3"/>
  <c r="J114" i="3"/>
  <c r="L113" i="3"/>
  <c r="K113" i="3"/>
  <c r="J113" i="3"/>
  <c r="L112" i="3"/>
  <c r="K112" i="3"/>
  <c r="J112" i="3"/>
  <c r="L111" i="3"/>
  <c r="K111" i="3"/>
  <c r="J111" i="3"/>
  <c r="L110" i="3"/>
  <c r="K110" i="3"/>
  <c r="J110" i="3"/>
  <c r="L109" i="3"/>
  <c r="K109" i="3"/>
  <c r="N109" i="3" s="1"/>
  <c r="J109" i="3"/>
  <c r="M109" i="3" s="1"/>
  <c r="L108" i="3"/>
  <c r="K108" i="3"/>
  <c r="N108" i="3" s="1"/>
  <c r="J108" i="3"/>
  <c r="M108" i="3" s="1"/>
  <c r="L107" i="3"/>
  <c r="K107" i="3"/>
  <c r="N107" i="3" s="1"/>
  <c r="J107" i="3"/>
  <c r="M107" i="3" s="1"/>
  <c r="L106" i="3"/>
  <c r="K106" i="3"/>
  <c r="N106" i="3" s="1"/>
  <c r="J106" i="3"/>
  <c r="M106" i="3" s="1"/>
  <c r="L105" i="3"/>
  <c r="K105" i="3"/>
  <c r="N105" i="3" s="1"/>
  <c r="J105" i="3"/>
  <c r="M105" i="3" s="1"/>
  <c r="L104" i="3"/>
  <c r="K104" i="3"/>
  <c r="N104" i="3" s="1"/>
  <c r="J104" i="3"/>
  <c r="M104" i="3" s="1"/>
  <c r="L103" i="3"/>
  <c r="K103" i="3"/>
  <c r="N103" i="3" s="1"/>
  <c r="J103" i="3"/>
  <c r="M103" i="3" s="1"/>
  <c r="L102" i="3"/>
  <c r="K102" i="3"/>
  <c r="N102" i="3" s="1"/>
  <c r="J102" i="3"/>
  <c r="M102" i="3" s="1"/>
  <c r="L101" i="3"/>
  <c r="K101" i="3"/>
  <c r="N101" i="3" s="1"/>
  <c r="J101" i="3"/>
  <c r="M101" i="3" s="1"/>
  <c r="L100" i="3"/>
  <c r="K100" i="3"/>
  <c r="N100" i="3" s="1"/>
  <c r="J100" i="3"/>
  <c r="M100" i="3" s="1"/>
  <c r="L99" i="3"/>
  <c r="K99" i="3"/>
  <c r="N99" i="3" s="1"/>
  <c r="J99" i="3"/>
  <c r="M99" i="3" s="1"/>
  <c r="L98" i="3"/>
  <c r="K98" i="3"/>
  <c r="N98" i="3" s="1"/>
  <c r="J98" i="3"/>
  <c r="M98" i="3" s="1"/>
  <c r="L97" i="3"/>
  <c r="K97" i="3"/>
  <c r="N97" i="3" s="1"/>
  <c r="J97" i="3"/>
  <c r="M97" i="3" s="1"/>
  <c r="L96" i="3"/>
  <c r="K96" i="3"/>
  <c r="N96" i="3" s="1"/>
  <c r="J96" i="3"/>
  <c r="M96" i="3" s="1"/>
  <c r="L95" i="3"/>
  <c r="K95" i="3"/>
  <c r="N95" i="3" s="1"/>
  <c r="J95" i="3"/>
  <c r="M95" i="3" s="1"/>
  <c r="L94" i="3"/>
  <c r="K94" i="3"/>
  <c r="N94" i="3" s="1"/>
  <c r="J94" i="3"/>
  <c r="M94" i="3" s="1"/>
  <c r="L93" i="3"/>
  <c r="K93" i="3"/>
  <c r="N93" i="3" s="1"/>
  <c r="J93" i="3"/>
  <c r="M93" i="3" s="1"/>
  <c r="L92" i="3"/>
  <c r="K92" i="3"/>
  <c r="N92" i="3" s="1"/>
  <c r="J92" i="3"/>
  <c r="M92" i="3" s="1"/>
  <c r="L91" i="3"/>
  <c r="K91" i="3"/>
  <c r="N91" i="3" s="1"/>
  <c r="J91" i="3"/>
  <c r="M91" i="3" s="1"/>
  <c r="L90" i="3"/>
  <c r="K90" i="3"/>
  <c r="N90" i="3" s="1"/>
  <c r="J90" i="3"/>
  <c r="M90" i="3" s="1"/>
  <c r="L89" i="3"/>
  <c r="K89" i="3"/>
  <c r="N89" i="3" s="1"/>
  <c r="J89" i="3"/>
  <c r="M89" i="3" s="1"/>
  <c r="L88" i="3"/>
  <c r="K88" i="3"/>
  <c r="N88" i="3" s="1"/>
  <c r="J88" i="3"/>
  <c r="M88" i="3" s="1"/>
  <c r="L87" i="3"/>
  <c r="K87" i="3"/>
  <c r="N87" i="3" s="1"/>
  <c r="J87" i="3"/>
  <c r="M87" i="3" s="1"/>
  <c r="L86" i="3"/>
  <c r="K86" i="3"/>
  <c r="N86" i="3" s="1"/>
  <c r="J86" i="3"/>
  <c r="M86" i="3" s="1"/>
  <c r="L85" i="3"/>
  <c r="K85" i="3"/>
  <c r="N85" i="3" s="1"/>
  <c r="J85" i="3"/>
  <c r="M85" i="3" s="1"/>
  <c r="L84" i="3"/>
  <c r="K84" i="3"/>
  <c r="N84" i="3" s="1"/>
  <c r="J84" i="3"/>
  <c r="M84" i="3" s="1"/>
  <c r="L83" i="3"/>
  <c r="K83" i="3"/>
  <c r="N83" i="3" s="1"/>
  <c r="J83" i="3"/>
  <c r="M83" i="3" s="1"/>
  <c r="L82" i="3"/>
  <c r="K82" i="3"/>
  <c r="N82" i="3" s="1"/>
  <c r="J82" i="3"/>
  <c r="M82" i="3" s="1"/>
  <c r="L81" i="3"/>
  <c r="K81" i="3"/>
  <c r="N81" i="3" s="1"/>
  <c r="J81" i="3"/>
  <c r="M81" i="3" s="1"/>
  <c r="L80" i="3"/>
  <c r="K80" i="3"/>
  <c r="N80" i="3" s="1"/>
  <c r="J80" i="3"/>
  <c r="M80" i="3" s="1"/>
  <c r="L79" i="3"/>
  <c r="K79" i="3"/>
  <c r="N79" i="3" s="1"/>
  <c r="J79" i="3"/>
  <c r="M79" i="3" s="1"/>
  <c r="L78" i="3"/>
  <c r="K78" i="3"/>
  <c r="N78" i="3" s="1"/>
  <c r="J78" i="3"/>
  <c r="M78" i="3" s="1"/>
  <c r="L77" i="3"/>
  <c r="K77" i="3"/>
  <c r="N77" i="3" s="1"/>
  <c r="J77" i="3"/>
  <c r="M77" i="3" s="1"/>
  <c r="L76" i="3"/>
  <c r="K76" i="3"/>
  <c r="N76" i="3" s="1"/>
  <c r="J76" i="3"/>
  <c r="M76" i="3" s="1"/>
  <c r="L75" i="3"/>
  <c r="K75" i="3"/>
  <c r="N75" i="3" s="1"/>
  <c r="J75" i="3"/>
  <c r="M75" i="3" s="1"/>
  <c r="L74" i="3"/>
  <c r="K74" i="3"/>
  <c r="N74" i="3" s="1"/>
  <c r="J74" i="3"/>
  <c r="M74" i="3" s="1"/>
  <c r="L73" i="3"/>
  <c r="K73" i="3"/>
  <c r="N73" i="3" s="1"/>
  <c r="J73" i="3"/>
  <c r="M73" i="3" s="1"/>
  <c r="H73" i="3"/>
  <c r="C73" i="3"/>
  <c r="B73" i="3"/>
  <c r="L72" i="3"/>
  <c r="K72" i="3"/>
  <c r="J72" i="3"/>
  <c r="H72" i="3"/>
  <c r="L71" i="3"/>
  <c r="K71" i="3"/>
  <c r="J71" i="3"/>
  <c r="H71" i="3"/>
  <c r="L70" i="3"/>
  <c r="K70" i="3"/>
  <c r="J70" i="3"/>
  <c r="H70" i="3"/>
  <c r="L69" i="3"/>
  <c r="K69" i="3"/>
  <c r="J69" i="3"/>
  <c r="H69" i="3"/>
  <c r="L68" i="3"/>
  <c r="K68" i="3"/>
  <c r="J68" i="3"/>
  <c r="H68" i="3"/>
  <c r="L67" i="3"/>
  <c r="K67" i="3"/>
  <c r="J67" i="3"/>
  <c r="H67" i="3"/>
  <c r="L66" i="3"/>
  <c r="K66" i="3"/>
  <c r="J66" i="3"/>
  <c r="H66" i="3"/>
  <c r="L65" i="3"/>
  <c r="K65" i="3"/>
  <c r="J65" i="3"/>
  <c r="H65" i="3"/>
  <c r="L64" i="3"/>
  <c r="K64" i="3"/>
  <c r="J64" i="3"/>
  <c r="H64" i="3"/>
  <c r="L63" i="3"/>
  <c r="K63" i="3"/>
  <c r="J63" i="3"/>
  <c r="H63" i="3"/>
  <c r="L62" i="3"/>
  <c r="K62" i="3"/>
  <c r="J62" i="3"/>
  <c r="H62" i="3"/>
  <c r="L61" i="3"/>
  <c r="K61" i="3"/>
  <c r="J61" i="3"/>
  <c r="H61" i="3"/>
  <c r="L60" i="3"/>
  <c r="K60" i="3"/>
  <c r="J60" i="3"/>
  <c r="H60" i="3"/>
  <c r="L59" i="3"/>
  <c r="K59" i="3"/>
  <c r="J59" i="3"/>
  <c r="H59" i="3"/>
  <c r="L58" i="3"/>
  <c r="K58" i="3"/>
  <c r="J58" i="3"/>
  <c r="H58" i="3"/>
  <c r="L57" i="3"/>
  <c r="K57" i="3"/>
  <c r="J57" i="3"/>
  <c r="L56" i="3"/>
  <c r="K56" i="3"/>
  <c r="J56" i="3"/>
  <c r="L55" i="3"/>
  <c r="K55" i="3"/>
  <c r="J55" i="3"/>
  <c r="L54" i="3"/>
  <c r="K54" i="3"/>
  <c r="J54" i="3"/>
  <c r="L53" i="3"/>
  <c r="K53" i="3"/>
  <c r="J53" i="3"/>
  <c r="L52" i="3"/>
  <c r="K52" i="3"/>
  <c r="J52" i="3"/>
  <c r="L51" i="3"/>
  <c r="K51" i="3"/>
  <c r="J51" i="3"/>
  <c r="L50" i="3"/>
  <c r="K50" i="3"/>
  <c r="J50" i="3"/>
  <c r="L49" i="3"/>
  <c r="K49" i="3"/>
  <c r="J49" i="3"/>
  <c r="L48" i="3"/>
  <c r="K48" i="3"/>
  <c r="J48" i="3"/>
  <c r="L47" i="3"/>
  <c r="K47" i="3"/>
  <c r="J47" i="3"/>
  <c r="L46" i="3"/>
  <c r="K46" i="3"/>
  <c r="J46" i="3"/>
  <c r="L45" i="3"/>
  <c r="K45" i="3"/>
  <c r="J45" i="3"/>
  <c r="L44" i="3"/>
  <c r="K44" i="3"/>
  <c r="J44" i="3"/>
  <c r="L43" i="3"/>
  <c r="K43" i="3"/>
  <c r="J43" i="3"/>
  <c r="L42" i="3"/>
  <c r="K42" i="3"/>
  <c r="J42" i="3"/>
  <c r="L41" i="3"/>
  <c r="K41" i="3"/>
  <c r="J41" i="3"/>
  <c r="L40" i="3"/>
  <c r="K40" i="3"/>
  <c r="J40" i="3"/>
  <c r="L39" i="3"/>
  <c r="K39" i="3"/>
  <c r="J39" i="3"/>
  <c r="L38" i="3"/>
  <c r="K38" i="3"/>
  <c r="N38" i="3" s="1"/>
  <c r="J38" i="3"/>
  <c r="M38" i="3" s="1"/>
  <c r="L37" i="3"/>
  <c r="K37" i="3"/>
  <c r="N37" i="3" s="1"/>
  <c r="J37" i="3"/>
  <c r="M37" i="3" s="1"/>
  <c r="L36" i="3"/>
  <c r="K36" i="3"/>
  <c r="N36" i="3" s="1"/>
  <c r="J36" i="3"/>
  <c r="M36" i="3" s="1"/>
  <c r="L35" i="3"/>
  <c r="K35" i="3"/>
  <c r="N35" i="3" s="1"/>
  <c r="J35" i="3"/>
  <c r="M35" i="3" s="1"/>
  <c r="L34" i="3"/>
  <c r="K34" i="3"/>
  <c r="N34" i="3" s="1"/>
  <c r="J34" i="3"/>
  <c r="M34" i="3" s="1"/>
  <c r="L33" i="3"/>
  <c r="K33" i="3"/>
  <c r="N33" i="3" s="1"/>
  <c r="J33" i="3"/>
  <c r="M33" i="3" s="1"/>
  <c r="L32" i="3"/>
  <c r="K32" i="3"/>
  <c r="N32" i="3" s="1"/>
  <c r="J32" i="3"/>
  <c r="M32" i="3" s="1"/>
  <c r="L31" i="3"/>
  <c r="K31" i="3"/>
  <c r="N31" i="3" s="1"/>
  <c r="J31" i="3"/>
  <c r="M31" i="3" s="1"/>
  <c r="L30" i="3"/>
  <c r="K30" i="3"/>
  <c r="N30" i="3" s="1"/>
  <c r="J30" i="3"/>
  <c r="M30" i="3" s="1"/>
  <c r="L29" i="3"/>
  <c r="K29" i="3"/>
  <c r="N29" i="3" s="1"/>
  <c r="J29" i="3"/>
  <c r="M29" i="3" s="1"/>
  <c r="L28" i="3"/>
  <c r="K28" i="3"/>
  <c r="N28" i="3" s="1"/>
  <c r="J28" i="3"/>
  <c r="M28" i="3" s="1"/>
  <c r="L27" i="3"/>
  <c r="K27" i="3"/>
  <c r="N27" i="3" s="1"/>
  <c r="J27" i="3"/>
  <c r="M27" i="3" s="1"/>
  <c r="L26" i="3"/>
  <c r="K26" i="3"/>
  <c r="N26" i="3" s="1"/>
  <c r="J26" i="3"/>
  <c r="M26" i="3" s="1"/>
  <c r="L25" i="3"/>
  <c r="K25" i="3"/>
  <c r="N25" i="3" s="1"/>
  <c r="J25" i="3"/>
  <c r="M25" i="3" s="1"/>
  <c r="L24" i="3"/>
  <c r="K24" i="3"/>
  <c r="N24" i="3" s="1"/>
  <c r="J24" i="3"/>
  <c r="M24" i="3" s="1"/>
  <c r="L23" i="3"/>
  <c r="K23" i="3"/>
  <c r="N23" i="3" s="1"/>
  <c r="J23" i="3"/>
  <c r="M23" i="3" s="1"/>
  <c r="L22" i="3"/>
  <c r="K22" i="3"/>
  <c r="N22" i="3" s="1"/>
  <c r="J22" i="3"/>
  <c r="M22" i="3" s="1"/>
  <c r="L21" i="3"/>
  <c r="K21" i="3"/>
  <c r="N21" i="3" s="1"/>
  <c r="J21" i="3"/>
  <c r="M21" i="3" s="1"/>
  <c r="L20" i="3"/>
  <c r="K20" i="3"/>
  <c r="N20" i="3" s="1"/>
  <c r="J20" i="3"/>
  <c r="M20" i="3" s="1"/>
  <c r="L19" i="3"/>
  <c r="K19" i="3"/>
  <c r="N19" i="3" s="1"/>
  <c r="J19" i="3"/>
  <c r="M19" i="3" s="1"/>
  <c r="L18" i="3"/>
  <c r="K18" i="3"/>
  <c r="N18" i="3" s="1"/>
  <c r="J18" i="3"/>
  <c r="M18" i="3" s="1"/>
  <c r="L17" i="3"/>
  <c r="K17" i="3"/>
  <c r="N17" i="3" s="1"/>
  <c r="J17" i="3"/>
  <c r="M17" i="3" s="1"/>
  <c r="L16" i="3"/>
  <c r="K16" i="3"/>
  <c r="N16" i="3" s="1"/>
  <c r="J16" i="3"/>
  <c r="M16" i="3" s="1"/>
  <c r="L15" i="3"/>
  <c r="K15" i="3"/>
  <c r="N15" i="3" s="1"/>
  <c r="J15" i="3"/>
  <c r="M15" i="3" s="1"/>
  <c r="L14" i="3"/>
  <c r="K14" i="3"/>
  <c r="N14" i="3" s="1"/>
  <c r="J14" i="3"/>
  <c r="M14" i="3" s="1"/>
  <c r="L13" i="3"/>
  <c r="K13" i="3"/>
  <c r="N13" i="3" s="1"/>
  <c r="J13" i="3"/>
  <c r="M13" i="3" s="1"/>
  <c r="L12" i="3"/>
  <c r="K12" i="3"/>
  <c r="N12" i="3" s="1"/>
  <c r="J12" i="3"/>
  <c r="M12" i="3" s="1"/>
  <c r="L11" i="3"/>
  <c r="K11" i="3"/>
  <c r="N11" i="3" s="1"/>
  <c r="J11" i="3"/>
  <c r="M11" i="3" s="1"/>
  <c r="L10" i="3"/>
  <c r="K10" i="3"/>
  <c r="N10" i="3" s="1"/>
  <c r="J10" i="3"/>
  <c r="M10" i="3" s="1"/>
  <c r="L9" i="3"/>
  <c r="K9" i="3"/>
  <c r="N9" i="3" s="1"/>
  <c r="J9" i="3"/>
  <c r="M9" i="3" s="1"/>
  <c r="L8" i="3"/>
  <c r="K8" i="3"/>
  <c r="N8" i="3" s="1"/>
  <c r="J8" i="3"/>
  <c r="M8" i="3" s="1"/>
  <c r="L7" i="3"/>
  <c r="K7" i="3"/>
  <c r="N7" i="3" s="1"/>
  <c r="J7" i="3"/>
  <c r="M7" i="3" s="1"/>
  <c r="L6" i="3"/>
  <c r="K6" i="3"/>
  <c r="N6" i="3" s="1"/>
  <c r="J6" i="3"/>
  <c r="M6" i="3" s="1"/>
  <c r="L5" i="3"/>
  <c r="K5" i="3"/>
  <c r="N5" i="3" s="1"/>
  <c r="J5" i="3"/>
  <c r="M5" i="3" s="1"/>
  <c r="L4" i="3"/>
  <c r="K4" i="3"/>
  <c r="N4" i="3" s="1"/>
  <c r="J4" i="3"/>
  <c r="M4" i="3" s="1"/>
  <c r="L3" i="3"/>
  <c r="K3" i="3"/>
  <c r="N3" i="3" s="1"/>
  <c r="J3" i="3"/>
  <c r="M3" i="3" s="1"/>
  <c r="L2" i="3"/>
  <c r="K2" i="3"/>
  <c r="N2" i="3" s="1"/>
  <c r="J2" i="3"/>
  <c r="M2" i="3" s="1"/>
  <c r="H2" i="3"/>
  <c r="C2" i="3"/>
  <c r="B2" i="3"/>
  <c r="H38" i="3" l="1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N39" i="3"/>
  <c r="M39" i="3"/>
  <c r="H39" i="3" s="1"/>
  <c r="N40" i="3"/>
  <c r="M40" i="3"/>
  <c r="H40" i="3" s="1"/>
  <c r="N41" i="3"/>
  <c r="M41" i="3"/>
  <c r="H41" i="3" s="1"/>
  <c r="N42" i="3"/>
  <c r="M42" i="3"/>
  <c r="H42" i="3" s="1"/>
  <c r="N43" i="3"/>
  <c r="M43" i="3"/>
  <c r="H43" i="3" s="1"/>
  <c r="N44" i="3"/>
  <c r="M44" i="3"/>
  <c r="H44" i="3" s="1"/>
  <c r="N45" i="3"/>
  <c r="M45" i="3"/>
  <c r="H45" i="3" s="1"/>
  <c r="N46" i="3"/>
  <c r="M46" i="3"/>
  <c r="H46" i="3" s="1"/>
  <c r="N47" i="3"/>
  <c r="M47" i="3"/>
  <c r="H47" i="3" s="1"/>
  <c r="N48" i="3"/>
  <c r="M48" i="3"/>
  <c r="H48" i="3" s="1"/>
  <c r="N49" i="3"/>
  <c r="M49" i="3"/>
  <c r="H49" i="3" s="1"/>
  <c r="M50" i="3"/>
  <c r="M51" i="3"/>
  <c r="M52" i="3"/>
  <c r="M53" i="3"/>
  <c r="M54" i="3"/>
  <c r="M55" i="3"/>
  <c r="M56" i="3"/>
  <c r="M57" i="3"/>
  <c r="F17" i="7"/>
  <c r="E17" i="7"/>
  <c r="D17" i="7"/>
  <c r="H109" i="3"/>
  <c r="H108" i="3"/>
  <c r="H107" i="3"/>
  <c r="H106" i="3"/>
  <c r="H105" i="3"/>
  <c r="H104" i="3"/>
  <c r="H103" i="3"/>
  <c r="H102" i="3"/>
  <c r="H101" i="3"/>
  <c r="H100" i="3"/>
  <c r="H99" i="3"/>
  <c r="H98" i="3"/>
  <c r="H97" i="3"/>
  <c r="H96" i="3"/>
  <c r="H95" i="3"/>
  <c r="H94" i="3"/>
  <c r="H93" i="3"/>
  <c r="H92" i="3"/>
  <c r="H91" i="3"/>
  <c r="H90" i="3"/>
  <c r="H89" i="3"/>
  <c r="H88" i="3"/>
  <c r="H87" i="3"/>
  <c r="H86" i="3"/>
  <c r="H85" i="3"/>
  <c r="H84" i="3"/>
  <c r="H83" i="3"/>
  <c r="H82" i="3"/>
  <c r="H81" i="3"/>
  <c r="H80" i="3"/>
  <c r="H79" i="3"/>
  <c r="H78" i="3"/>
  <c r="H77" i="3"/>
  <c r="H76" i="3"/>
  <c r="H75" i="3"/>
  <c r="H74" i="3"/>
  <c r="N110" i="3"/>
  <c r="M110" i="3"/>
  <c r="H110" i="3" s="1"/>
  <c r="N111" i="3"/>
  <c r="M111" i="3"/>
  <c r="H111" i="3" s="1"/>
  <c r="N112" i="3"/>
  <c r="M112" i="3"/>
  <c r="H112" i="3" s="1"/>
  <c r="N113" i="3"/>
  <c r="M113" i="3"/>
  <c r="H113" i="3" s="1"/>
  <c r="N114" i="3"/>
  <c r="M114" i="3"/>
  <c r="H114" i="3" s="1"/>
  <c r="N115" i="3"/>
  <c r="M115" i="3"/>
  <c r="H115" i="3" s="1"/>
  <c r="N116" i="3"/>
  <c r="M116" i="3"/>
  <c r="H116" i="3" s="1"/>
  <c r="N117" i="3"/>
  <c r="M117" i="3"/>
  <c r="H117" i="3" s="1"/>
  <c r="N118" i="3"/>
  <c r="M118" i="3"/>
  <c r="H118" i="3" s="1"/>
  <c r="N119" i="3"/>
  <c r="M119" i="3"/>
  <c r="H119" i="3" s="1"/>
  <c r="N120" i="3"/>
  <c r="M120" i="3"/>
  <c r="H120" i="3" s="1"/>
  <c r="M121" i="3"/>
  <c r="M122" i="3"/>
  <c r="M123" i="3"/>
  <c r="M124" i="3"/>
  <c r="M125" i="3"/>
  <c r="M126" i="3"/>
  <c r="M127" i="3"/>
  <c r="M128" i="3"/>
  <c r="H180" i="3"/>
  <c r="H179" i="3"/>
  <c r="H178" i="3"/>
  <c r="H177" i="3"/>
  <c r="H176" i="3"/>
  <c r="H175" i="3"/>
  <c r="H174" i="3"/>
  <c r="H173" i="3"/>
  <c r="H172" i="3"/>
  <c r="H171" i="3"/>
  <c r="H170" i="3"/>
  <c r="H169" i="3"/>
  <c r="H168" i="3"/>
  <c r="H167" i="3"/>
  <c r="H166" i="3"/>
  <c r="H165" i="3"/>
  <c r="H164" i="3"/>
  <c r="H163" i="3"/>
  <c r="H162" i="3"/>
  <c r="H161" i="3"/>
  <c r="H160" i="3"/>
  <c r="H159" i="3"/>
  <c r="H158" i="3"/>
  <c r="H157" i="3"/>
  <c r="H156" i="3"/>
  <c r="H155" i="3"/>
  <c r="H154" i="3"/>
  <c r="H153" i="3"/>
  <c r="H152" i="3"/>
  <c r="H151" i="3"/>
  <c r="H150" i="3"/>
  <c r="H149" i="3"/>
  <c r="H148" i="3"/>
  <c r="H147" i="3"/>
  <c r="H146" i="3"/>
  <c r="H145" i="3"/>
  <c r="N181" i="3"/>
  <c r="M181" i="3"/>
  <c r="H181" i="3" s="1"/>
  <c r="N182" i="3"/>
  <c r="M182" i="3"/>
  <c r="H182" i="3" s="1"/>
  <c r="N183" i="3"/>
  <c r="M183" i="3"/>
  <c r="H183" i="3" s="1"/>
  <c r="N184" i="3"/>
  <c r="M184" i="3"/>
  <c r="H184" i="3" s="1"/>
  <c r="N185" i="3"/>
  <c r="M185" i="3"/>
  <c r="H185" i="3" s="1"/>
  <c r="N186" i="3"/>
  <c r="M186" i="3"/>
  <c r="H186" i="3" s="1"/>
  <c r="N187" i="3"/>
  <c r="M187" i="3"/>
  <c r="H187" i="3" s="1"/>
  <c r="N188" i="3"/>
  <c r="M188" i="3"/>
  <c r="H188" i="3" s="1"/>
  <c r="N189" i="3"/>
  <c r="M189" i="3"/>
  <c r="H189" i="3" s="1"/>
  <c r="N190" i="3"/>
  <c r="M190" i="3"/>
  <c r="H190" i="3" s="1"/>
  <c r="N191" i="3"/>
  <c r="M191" i="3"/>
  <c r="H191" i="3" s="1"/>
  <c r="M192" i="3"/>
  <c r="M193" i="3"/>
  <c r="M194" i="3"/>
  <c r="M195" i="3"/>
  <c r="M196" i="3"/>
  <c r="M197" i="3"/>
  <c r="M198" i="3"/>
  <c r="M199" i="3"/>
  <c r="H251" i="3"/>
  <c r="H250" i="3"/>
  <c r="H249" i="3"/>
  <c r="H248" i="3"/>
  <c r="H247" i="3"/>
  <c r="H246" i="3"/>
  <c r="H245" i="3"/>
  <c r="H244" i="3"/>
  <c r="H243" i="3"/>
  <c r="H242" i="3"/>
  <c r="H241" i="3"/>
  <c r="H240" i="3"/>
  <c r="H239" i="3"/>
  <c r="H238" i="3"/>
  <c r="H237" i="3"/>
  <c r="H236" i="3"/>
  <c r="H235" i="3"/>
  <c r="H234" i="3"/>
  <c r="H233" i="3"/>
  <c r="H232" i="3"/>
  <c r="H231" i="3"/>
  <c r="H230" i="3"/>
  <c r="H229" i="3"/>
  <c r="H228" i="3"/>
  <c r="H227" i="3"/>
  <c r="H226" i="3"/>
  <c r="H225" i="3"/>
  <c r="H224" i="3"/>
  <c r="H223" i="3"/>
  <c r="H222" i="3"/>
  <c r="H221" i="3"/>
  <c r="H220" i="3"/>
  <c r="H219" i="3"/>
  <c r="H218" i="3"/>
  <c r="H217" i="3"/>
  <c r="H216" i="3"/>
  <c r="N252" i="3"/>
  <c r="M252" i="3"/>
  <c r="H252" i="3" s="1"/>
  <c r="N253" i="3"/>
  <c r="M253" i="3"/>
  <c r="H253" i="3" s="1"/>
  <c r="N254" i="3"/>
  <c r="M254" i="3"/>
  <c r="H254" i="3" s="1"/>
  <c r="N255" i="3"/>
  <c r="M255" i="3"/>
  <c r="H255" i="3" s="1"/>
  <c r="N256" i="3"/>
  <c r="M256" i="3"/>
  <c r="H256" i="3" s="1"/>
  <c r="N257" i="3"/>
  <c r="M257" i="3"/>
  <c r="H257" i="3" s="1"/>
  <c r="N258" i="3"/>
  <c r="M258" i="3"/>
  <c r="H258" i="3" s="1"/>
  <c r="N259" i="3"/>
  <c r="M259" i="3"/>
  <c r="H259" i="3" s="1"/>
  <c r="N260" i="3"/>
  <c r="M260" i="3"/>
  <c r="H260" i="3" s="1"/>
  <c r="N261" i="3"/>
  <c r="M261" i="3"/>
  <c r="H261" i="3" s="1"/>
  <c r="N262" i="3"/>
  <c r="M262" i="3"/>
  <c r="H262" i="3" s="1"/>
  <c r="M263" i="3"/>
  <c r="M264" i="3"/>
  <c r="M265" i="3"/>
  <c r="M266" i="3"/>
  <c r="M267" i="3"/>
  <c r="M268" i="3"/>
  <c r="M269" i="3"/>
  <c r="M270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H306" i="3"/>
  <c r="H305" i="3"/>
  <c r="H304" i="3"/>
  <c r="H303" i="3"/>
  <c r="H302" i="3"/>
  <c r="H301" i="3"/>
  <c r="H300" i="3"/>
  <c r="H299" i="3"/>
  <c r="H298" i="3"/>
  <c r="H297" i="3"/>
  <c r="H296" i="3"/>
  <c r="H295" i="3"/>
  <c r="H294" i="3"/>
  <c r="H293" i="3"/>
  <c r="H292" i="3"/>
  <c r="H291" i="3"/>
  <c r="H290" i="3"/>
  <c r="H289" i="3"/>
  <c r="H288" i="3"/>
  <c r="H287" i="3"/>
  <c r="N323" i="3"/>
  <c r="M323" i="3"/>
  <c r="H323" i="3" s="1"/>
  <c r="N324" i="3"/>
  <c r="M324" i="3"/>
  <c r="H324" i="3" s="1"/>
  <c r="N325" i="3"/>
  <c r="M325" i="3"/>
  <c r="H325" i="3" s="1"/>
  <c r="N326" i="3"/>
  <c r="M326" i="3"/>
  <c r="H326" i="3" s="1"/>
  <c r="N327" i="3"/>
  <c r="M327" i="3"/>
  <c r="H327" i="3" s="1"/>
  <c r="N328" i="3"/>
  <c r="M328" i="3"/>
  <c r="H328" i="3" s="1"/>
  <c r="N329" i="3"/>
  <c r="M329" i="3"/>
  <c r="H329" i="3" s="1"/>
  <c r="N330" i="3"/>
  <c r="M330" i="3"/>
  <c r="H330" i="3" s="1"/>
  <c r="N331" i="3"/>
  <c r="M331" i="3"/>
  <c r="H331" i="3" s="1"/>
  <c r="N332" i="3"/>
  <c r="M332" i="3"/>
  <c r="H332" i="3" s="1"/>
  <c r="N333" i="3"/>
  <c r="M333" i="3"/>
  <c r="H333" i="3" s="1"/>
  <c r="M334" i="3"/>
  <c r="M335" i="3"/>
  <c r="M336" i="3"/>
  <c r="M337" i="3"/>
  <c r="M338" i="3"/>
  <c r="M339" i="3"/>
  <c r="M340" i="3"/>
  <c r="M341" i="3"/>
  <c r="H393" i="3"/>
  <c r="H392" i="3"/>
  <c r="H391" i="3"/>
  <c r="H390" i="3"/>
  <c r="H389" i="3"/>
  <c r="H388" i="3"/>
  <c r="H387" i="3"/>
  <c r="H386" i="3"/>
  <c r="H385" i="3"/>
  <c r="H384" i="3"/>
  <c r="H383" i="3"/>
  <c r="H382" i="3"/>
  <c r="H381" i="3"/>
  <c r="H380" i="3"/>
  <c r="H379" i="3"/>
  <c r="H378" i="3"/>
  <c r="H377" i="3"/>
  <c r="H376" i="3"/>
  <c r="H375" i="3"/>
  <c r="H374" i="3"/>
  <c r="H373" i="3"/>
  <c r="H372" i="3"/>
  <c r="H371" i="3"/>
  <c r="H370" i="3"/>
  <c r="H369" i="3"/>
  <c r="H368" i="3"/>
  <c r="H367" i="3"/>
  <c r="H366" i="3"/>
  <c r="H365" i="3"/>
  <c r="H364" i="3"/>
  <c r="H363" i="3"/>
  <c r="H362" i="3"/>
  <c r="H361" i="3"/>
  <c r="H360" i="3"/>
  <c r="H359" i="3"/>
  <c r="H358" i="3"/>
  <c r="N394" i="3"/>
  <c r="M394" i="3"/>
  <c r="H394" i="3" s="1"/>
  <c r="N395" i="3"/>
  <c r="M395" i="3"/>
  <c r="H395" i="3" s="1"/>
  <c r="N396" i="3"/>
  <c r="M396" i="3"/>
  <c r="H396" i="3" s="1"/>
  <c r="N397" i="3"/>
  <c r="M397" i="3"/>
  <c r="H397" i="3" s="1"/>
  <c r="N398" i="3"/>
  <c r="M398" i="3"/>
  <c r="H398" i="3" s="1"/>
  <c r="N399" i="3"/>
  <c r="M399" i="3"/>
  <c r="H399" i="3" s="1"/>
  <c r="N400" i="3"/>
  <c r="M400" i="3"/>
  <c r="H400" i="3" s="1"/>
  <c r="N401" i="3"/>
  <c r="M401" i="3"/>
  <c r="H401" i="3" s="1"/>
  <c r="N402" i="3"/>
  <c r="M402" i="3"/>
  <c r="H402" i="3" s="1"/>
  <c r="N403" i="3"/>
  <c r="M403" i="3"/>
  <c r="H403" i="3" s="1"/>
  <c r="N404" i="3"/>
  <c r="M404" i="3"/>
  <c r="H404" i="3" s="1"/>
  <c r="M405" i="3"/>
  <c r="M406" i="3"/>
  <c r="M407" i="3"/>
  <c r="M408" i="3"/>
  <c r="M409" i="3"/>
  <c r="M410" i="3"/>
  <c r="M411" i="3"/>
  <c r="M412" i="3"/>
  <c r="H464" i="3"/>
  <c r="H463" i="3"/>
  <c r="H462" i="3"/>
  <c r="H461" i="3"/>
  <c r="H460" i="3"/>
  <c r="H459" i="3"/>
  <c r="H458" i="3"/>
  <c r="H457" i="3"/>
  <c r="H456" i="3"/>
  <c r="H455" i="3"/>
  <c r="H454" i="3"/>
  <c r="H453" i="3"/>
  <c r="H452" i="3"/>
  <c r="H451" i="3"/>
  <c r="H450" i="3"/>
  <c r="H449" i="3"/>
  <c r="H448" i="3"/>
  <c r="H447" i="3"/>
  <c r="H446" i="3"/>
  <c r="H445" i="3"/>
  <c r="H444" i="3"/>
  <c r="H443" i="3"/>
  <c r="H442" i="3"/>
  <c r="H441" i="3"/>
  <c r="H440" i="3"/>
  <c r="H439" i="3"/>
  <c r="H438" i="3"/>
  <c r="H437" i="3"/>
  <c r="H436" i="3"/>
  <c r="H435" i="3"/>
  <c r="H434" i="3"/>
  <c r="H433" i="3"/>
  <c r="H432" i="3"/>
  <c r="H431" i="3"/>
  <c r="H430" i="3"/>
  <c r="H429" i="3"/>
  <c r="N465" i="3"/>
  <c r="M465" i="3"/>
  <c r="H465" i="3" s="1"/>
  <c r="N466" i="3"/>
  <c r="M466" i="3"/>
  <c r="H466" i="3" s="1"/>
  <c r="N467" i="3"/>
  <c r="M467" i="3"/>
  <c r="H467" i="3" s="1"/>
  <c r="N468" i="3"/>
  <c r="M468" i="3"/>
  <c r="H468" i="3" s="1"/>
  <c r="N469" i="3"/>
  <c r="M469" i="3"/>
  <c r="H469" i="3" s="1"/>
  <c r="N470" i="3"/>
  <c r="M470" i="3"/>
  <c r="H470" i="3" s="1"/>
  <c r="N471" i="3"/>
  <c r="M471" i="3"/>
  <c r="H471" i="3" s="1"/>
  <c r="N472" i="3"/>
  <c r="M472" i="3"/>
  <c r="H472" i="3" s="1"/>
  <c r="N473" i="3"/>
  <c r="M473" i="3"/>
  <c r="H473" i="3" s="1"/>
  <c r="N474" i="3"/>
  <c r="M474" i="3"/>
  <c r="H474" i="3" s="1"/>
  <c r="N475" i="3"/>
  <c r="M475" i="3"/>
  <c r="H475" i="3" s="1"/>
  <c r="M476" i="3"/>
  <c r="M477" i="3"/>
  <c r="M478" i="3"/>
  <c r="M479" i="3"/>
  <c r="M480" i="3"/>
  <c r="M481" i="3"/>
  <c r="M482" i="3"/>
  <c r="M483" i="3"/>
  <c r="H535" i="3"/>
  <c r="H534" i="3"/>
  <c r="H533" i="3"/>
  <c r="H532" i="3"/>
  <c r="H531" i="3"/>
  <c r="H530" i="3"/>
  <c r="H529" i="3"/>
  <c r="H528" i="3"/>
  <c r="H527" i="3"/>
  <c r="H526" i="3"/>
  <c r="H525" i="3"/>
  <c r="H524" i="3"/>
  <c r="H523" i="3"/>
  <c r="H522" i="3"/>
  <c r="H521" i="3"/>
  <c r="H520" i="3"/>
  <c r="H519" i="3"/>
  <c r="H518" i="3"/>
  <c r="H517" i="3"/>
  <c r="H516" i="3"/>
  <c r="H515" i="3"/>
  <c r="H514" i="3"/>
  <c r="H513" i="3"/>
  <c r="H512" i="3"/>
  <c r="H511" i="3"/>
  <c r="H510" i="3"/>
  <c r="H509" i="3"/>
  <c r="H508" i="3"/>
  <c r="H507" i="3"/>
  <c r="H506" i="3"/>
  <c r="H505" i="3"/>
  <c r="H504" i="3"/>
  <c r="H503" i="3"/>
  <c r="H502" i="3"/>
  <c r="H501" i="3"/>
  <c r="H500" i="3"/>
  <c r="N536" i="3"/>
  <c r="M536" i="3"/>
  <c r="H536" i="3" s="1"/>
  <c r="N537" i="3"/>
  <c r="M537" i="3"/>
  <c r="H537" i="3" s="1"/>
  <c r="N538" i="3"/>
  <c r="M538" i="3"/>
  <c r="H538" i="3" s="1"/>
  <c r="N539" i="3"/>
  <c r="M539" i="3"/>
  <c r="H539" i="3" s="1"/>
  <c r="N540" i="3"/>
  <c r="M540" i="3"/>
  <c r="H540" i="3" s="1"/>
  <c r="N541" i="3"/>
  <c r="M541" i="3"/>
  <c r="H541" i="3" s="1"/>
  <c r="N542" i="3"/>
  <c r="M542" i="3"/>
  <c r="H542" i="3" s="1"/>
  <c r="N543" i="3"/>
  <c r="M543" i="3"/>
  <c r="H543" i="3" s="1"/>
  <c r="N544" i="3"/>
  <c r="M544" i="3"/>
  <c r="H544" i="3" s="1"/>
  <c r="N545" i="3"/>
  <c r="M545" i="3"/>
  <c r="H545" i="3" s="1"/>
  <c r="N546" i="3"/>
  <c r="M546" i="3"/>
  <c r="H546" i="3" s="1"/>
  <c r="M547" i="3"/>
  <c r="M548" i="3"/>
  <c r="M549" i="3"/>
  <c r="M550" i="3"/>
  <c r="M551" i="3"/>
  <c r="M552" i="3"/>
  <c r="M553" i="3"/>
  <c r="M554" i="3"/>
  <c r="H606" i="3"/>
  <c r="H605" i="3"/>
  <c r="H604" i="3"/>
  <c r="H603" i="3"/>
  <c r="H602" i="3"/>
  <c r="H601" i="3"/>
  <c r="H600" i="3"/>
  <c r="H599" i="3"/>
  <c r="H598" i="3"/>
  <c r="H597" i="3"/>
  <c r="H596" i="3"/>
  <c r="H595" i="3"/>
  <c r="H594" i="3"/>
  <c r="H593" i="3"/>
  <c r="H592" i="3"/>
  <c r="H591" i="3"/>
  <c r="H590" i="3"/>
  <c r="H589" i="3"/>
  <c r="H588" i="3"/>
  <c r="H587" i="3"/>
  <c r="H586" i="3"/>
  <c r="H585" i="3"/>
  <c r="H584" i="3"/>
  <c r="H583" i="3"/>
  <c r="H582" i="3"/>
  <c r="H581" i="3"/>
  <c r="H580" i="3"/>
  <c r="H579" i="3"/>
  <c r="H578" i="3"/>
  <c r="H577" i="3"/>
  <c r="H576" i="3"/>
  <c r="H575" i="3"/>
  <c r="H574" i="3"/>
  <c r="H573" i="3"/>
  <c r="H572" i="3"/>
  <c r="H571" i="3"/>
  <c r="N607" i="3"/>
  <c r="M607" i="3"/>
  <c r="H607" i="3" s="1"/>
  <c r="N608" i="3"/>
  <c r="M608" i="3"/>
  <c r="H608" i="3" s="1"/>
  <c r="N609" i="3"/>
  <c r="M609" i="3"/>
  <c r="H609" i="3" s="1"/>
  <c r="N610" i="3"/>
  <c r="M610" i="3"/>
  <c r="H610" i="3" s="1"/>
  <c r="N611" i="3"/>
  <c r="M611" i="3"/>
  <c r="H611" i="3" s="1"/>
  <c r="N612" i="3"/>
  <c r="M612" i="3"/>
  <c r="H612" i="3" s="1"/>
  <c r="N613" i="3"/>
  <c r="M613" i="3"/>
  <c r="H613" i="3" s="1"/>
  <c r="N614" i="3"/>
  <c r="M614" i="3"/>
  <c r="H614" i="3" s="1"/>
  <c r="N615" i="3"/>
  <c r="M615" i="3"/>
  <c r="H615" i="3" s="1"/>
  <c r="N616" i="3"/>
  <c r="M616" i="3"/>
  <c r="H616" i="3" s="1"/>
  <c r="N617" i="3"/>
  <c r="M617" i="3"/>
  <c r="H617" i="3" s="1"/>
  <c r="M618" i="3"/>
  <c r="M619" i="3"/>
  <c r="M620" i="3"/>
  <c r="M621" i="3"/>
  <c r="M622" i="3"/>
  <c r="M623" i="3"/>
  <c r="M624" i="3"/>
  <c r="M625" i="3"/>
  <c r="H677" i="3"/>
  <c r="H676" i="3"/>
  <c r="H675" i="3"/>
  <c r="H674" i="3"/>
  <c r="H673" i="3"/>
  <c r="H672" i="3"/>
  <c r="H671" i="3"/>
  <c r="H670" i="3"/>
  <c r="H669" i="3"/>
  <c r="H668" i="3"/>
  <c r="H667" i="3"/>
  <c r="H666" i="3"/>
  <c r="H665" i="3"/>
  <c r="H664" i="3"/>
  <c r="H663" i="3"/>
  <c r="H662" i="3"/>
  <c r="H661" i="3"/>
  <c r="H660" i="3"/>
  <c r="H659" i="3"/>
  <c r="H658" i="3"/>
  <c r="H657" i="3"/>
  <c r="H656" i="3"/>
  <c r="H655" i="3"/>
  <c r="H654" i="3"/>
  <c r="H653" i="3"/>
  <c r="H652" i="3"/>
  <c r="H651" i="3"/>
  <c r="H650" i="3"/>
  <c r="H649" i="3"/>
  <c r="H648" i="3"/>
  <c r="H647" i="3"/>
  <c r="H646" i="3"/>
  <c r="H645" i="3"/>
  <c r="H644" i="3"/>
  <c r="H643" i="3"/>
  <c r="H642" i="3"/>
  <c r="N678" i="3"/>
  <c r="M678" i="3"/>
  <c r="H678" i="3" s="1"/>
  <c r="N679" i="3"/>
  <c r="M679" i="3"/>
  <c r="H679" i="3" s="1"/>
  <c r="N680" i="3"/>
  <c r="M680" i="3"/>
  <c r="H680" i="3" s="1"/>
  <c r="N681" i="3"/>
  <c r="M681" i="3"/>
  <c r="H681" i="3" s="1"/>
  <c r="N682" i="3"/>
  <c r="M682" i="3"/>
  <c r="H682" i="3" s="1"/>
  <c r="N683" i="3"/>
  <c r="M683" i="3"/>
  <c r="H683" i="3" s="1"/>
  <c r="N684" i="3"/>
  <c r="M684" i="3"/>
  <c r="H684" i="3" s="1"/>
  <c r="N685" i="3"/>
  <c r="M685" i="3"/>
  <c r="H685" i="3" s="1"/>
  <c r="N686" i="3"/>
  <c r="M686" i="3"/>
  <c r="H686" i="3" s="1"/>
  <c r="N687" i="3"/>
  <c r="M687" i="3"/>
  <c r="H687" i="3" s="1"/>
  <c r="N688" i="3"/>
  <c r="M688" i="3"/>
  <c r="H688" i="3" s="1"/>
  <c r="M689" i="3"/>
  <c r="M690" i="3"/>
  <c r="M691" i="3"/>
  <c r="M692" i="3"/>
  <c r="M693" i="3"/>
  <c r="M694" i="3"/>
  <c r="M695" i="3"/>
  <c r="M696" i="3"/>
  <c r="H748" i="3"/>
  <c r="H747" i="3"/>
  <c r="H746" i="3"/>
  <c r="H745" i="3"/>
  <c r="H744" i="3"/>
  <c r="H743" i="3"/>
  <c r="H742" i="3"/>
  <c r="H741" i="3"/>
  <c r="H740" i="3"/>
  <c r="H739" i="3"/>
  <c r="H738" i="3"/>
  <c r="H737" i="3"/>
  <c r="H736" i="3"/>
  <c r="H735" i="3"/>
  <c r="H734" i="3"/>
  <c r="H733" i="3"/>
  <c r="H732" i="3"/>
  <c r="H731" i="3"/>
  <c r="H730" i="3"/>
  <c r="H729" i="3"/>
  <c r="H728" i="3"/>
  <c r="H727" i="3"/>
  <c r="H726" i="3"/>
  <c r="H725" i="3"/>
  <c r="H724" i="3"/>
  <c r="H723" i="3"/>
  <c r="H722" i="3"/>
  <c r="H721" i="3"/>
  <c r="H720" i="3"/>
  <c r="H719" i="3"/>
  <c r="H718" i="3"/>
  <c r="H717" i="3"/>
  <c r="H716" i="3"/>
  <c r="H715" i="3"/>
  <c r="H714" i="3"/>
  <c r="H713" i="3"/>
  <c r="N749" i="3"/>
  <c r="M749" i="3"/>
  <c r="H749" i="3" s="1"/>
  <c r="N750" i="3"/>
  <c r="M750" i="3"/>
  <c r="H750" i="3" s="1"/>
  <c r="N751" i="3"/>
  <c r="M751" i="3"/>
  <c r="H751" i="3" s="1"/>
  <c r="N752" i="3"/>
  <c r="M752" i="3"/>
  <c r="H752" i="3" s="1"/>
  <c r="N753" i="3"/>
  <c r="M753" i="3"/>
  <c r="H753" i="3" s="1"/>
  <c r="N754" i="3"/>
  <c r="M754" i="3"/>
  <c r="H754" i="3" s="1"/>
  <c r="N755" i="3"/>
  <c r="M755" i="3"/>
  <c r="H755" i="3" s="1"/>
  <c r="N756" i="3"/>
  <c r="M756" i="3"/>
  <c r="H756" i="3" s="1"/>
  <c r="N757" i="3"/>
  <c r="M757" i="3"/>
  <c r="H757" i="3" s="1"/>
  <c r="N758" i="3"/>
  <c r="M758" i="3"/>
  <c r="H758" i="3" s="1"/>
  <c r="N759" i="3"/>
  <c r="M759" i="3"/>
  <c r="H759" i="3" s="1"/>
  <c r="M760" i="3"/>
  <c r="M761" i="3"/>
  <c r="M762" i="3"/>
  <c r="M763" i="3"/>
  <c r="M764" i="3"/>
  <c r="M765" i="3"/>
  <c r="M766" i="3"/>
  <c r="M767" i="3"/>
  <c r="H818" i="3"/>
  <c r="H817" i="3"/>
  <c r="H816" i="3"/>
  <c r="H815" i="3"/>
  <c r="H814" i="3"/>
  <c r="H813" i="3"/>
  <c r="H812" i="3"/>
  <c r="H811" i="3"/>
  <c r="H810" i="3"/>
  <c r="H809" i="3"/>
  <c r="H808" i="3"/>
  <c r="H807" i="3"/>
  <c r="H806" i="3"/>
  <c r="H805" i="3"/>
  <c r="H804" i="3"/>
  <c r="H803" i="3"/>
  <c r="H802" i="3"/>
  <c r="H801" i="3"/>
  <c r="H800" i="3"/>
  <c r="H799" i="3"/>
  <c r="H798" i="3"/>
  <c r="H797" i="3"/>
  <c r="H796" i="3"/>
  <c r="H795" i="3"/>
  <c r="H794" i="3"/>
  <c r="H793" i="3"/>
  <c r="H792" i="3"/>
  <c r="H791" i="3"/>
  <c r="H790" i="3"/>
  <c r="H789" i="3"/>
  <c r="H788" i="3"/>
  <c r="H787" i="3"/>
  <c r="H786" i="3"/>
  <c r="H785" i="3"/>
  <c r="H784" i="3"/>
  <c r="N820" i="3"/>
  <c r="M820" i="3"/>
  <c r="H820" i="3" s="1"/>
  <c r="N821" i="3"/>
  <c r="M821" i="3"/>
  <c r="H821" i="3" s="1"/>
  <c r="N822" i="3"/>
  <c r="M822" i="3"/>
  <c r="H822" i="3" s="1"/>
  <c r="N823" i="3"/>
  <c r="M823" i="3"/>
  <c r="H823" i="3" s="1"/>
  <c r="N824" i="3"/>
  <c r="M824" i="3"/>
  <c r="H824" i="3" s="1"/>
  <c r="N825" i="3"/>
  <c r="M825" i="3"/>
  <c r="H825" i="3" s="1"/>
  <c r="N826" i="3"/>
  <c r="M826" i="3"/>
  <c r="H826" i="3" s="1"/>
  <c r="N827" i="3"/>
  <c r="M827" i="3"/>
  <c r="H827" i="3" s="1"/>
  <c r="N828" i="3"/>
  <c r="M828" i="3"/>
  <c r="H828" i="3" s="1"/>
  <c r="N829" i="3"/>
  <c r="M829" i="3"/>
  <c r="H829" i="3" s="1"/>
  <c r="N830" i="3"/>
  <c r="M830" i="3"/>
  <c r="H830" i="3" s="1"/>
  <c r="M831" i="3"/>
  <c r="M832" i="3"/>
  <c r="M833" i="3"/>
  <c r="M834" i="3"/>
  <c r="M835" i="3"/>
  <c r="M836" i="3"/>
  <c r="M837" i="3"/>
  <c r="M838" i="3"/>
  <c r="H888" i="3"/>
  <c r="H887" i="3"/>
  <c r="H886" i="3"/>
  <c r="H885" i="3"/>
  <c r="H884" i="3"/>
  <c r="H883" i="3"/>
  <c r="H882" i="3"/>
  <c r="H881" i="3"/>
  <c r="H880" i="3"/>
  <c r="H879" i="3"/>
  <c r="H878" i="3"/>
  <c r="H877" i="3"/>
  <c r="H876" i="3"/>
  <c r="H875" i="3"/>
  <c r="H874" i="3"/>
  <c r="H873" i="3"/>
  <c r="H872" i="3"/>
  <c r="H871" i="3"/>
  <c r="H870" i="3"/>
  <c r="H869" i="3"/>
  <c r="H868" i="3"/>
  <c r="H867" i="3"/>
  <c r="H866" i="3"/>
  <c r="H865" i="3"/>
  <c r="H864" i="3"/>
  <c r="H863" i="3"/>
  <c r="H862" i="3"/>
  <c r="H861" i="3"/>
  <c r="H860" i="3"/>
  <c r="H859" i="3"/>
  <c r="H858" i="3"/>
  <c r="H857" i="3"/>
  <c r="H856" i="3"/>
  <c r="H855" i="3"/>
  <c r="N891" i="3"/>
  <c r="M891" i="3"/>
  <c r="H891" i="3" s="1"/>
  <c r="N892" i="3"/>
  <c r="M892" i="3"/>
  <c r="H892" i="3" s="1"/>
  <c r="N893" i="3"/>
  <c r="M893" i="3"/>
  <c r="H893" i="3" s="1"/>
  <c r="N894" i="3"/>
  <c r="M894" i="3"/>
  <c r="H894" i="3" s="1"/>
  <c r="N895" i="3"/>
  <c r="M895" i="3"/>
  <c r="H895" i="3" s="1"/>
  <c r="N896" i="3"/>
  <c r="M896" i="3"/>
  <c r="H896" i="3" s="1"/>
  <c r="N897" i="3"/>
  <c r="M897" i="3"/>
  <c r="H897" i="3" s="1"/>
  <c r="N898" i="3"/>
  <c r="M898" i="3"/>
  <c r="H898" i="3" s="1"/>
  <c r="N899" i="3"/>
  <c r="M899" i="3"/>
  <c r="H899" i="3" s="1"/>
  <c r="N900" i="3"/>
  <c r="M900" i="3"/>
  <c r="H900" i="3" s="1"/>
  <c r="N901" i="3"/>
  <c r="M901" i="3"/>
  <c r="H901" i="3" s="1"/>
  <c r="M902" i="3"/>
  <c r="M903" i="3"/>
  <c r="M904" i="3"/>
  <c r="M905" i="3"/>
  <c r="M906" i="3"/>
  <c r="M907" i="3"/>
  <c r="M908" i="3"/>
  <c r="M909" i="3"/>
  <c r="F19" i="7"/>
  <c r="E19" i="7"/>
  <c r="D19" i="7"/>
  <c r="F20" i="7"/>
  <c r="E20" i="7"/>
  <c r="D20" i="7"/>
  <c r="F21" i="7"/>
  <c r="E21" i="7"/>
  <c r="D21" i="7"/>
  <c r="F22" i="7"/>
  <c r="E22" i="7"/>
  <c r="D22" i="7"/>
  <c r="H1425" i="3"/>
  <c r="H1424" i="3"/>
  <c r="H1423" i="3"/>
  <c r="H1422" i="3"/>
  <c r="H1421" i="3"/>
  <c r="H1420" i="3"/>
  <c r="H1419" i="3"/>
  <c r="H1418" i="3"/>
  <c r="H1417" i="3"/>
  <c r="H1416" i="3"/>
  <c r="H1415" i="3"/>
  <c r="H1414" i="3"/>
  <c r="H1413" i="3"/>
  <c r="H1412" i="3"/>
  <c r="H1411" i="3"/>
  <c r="H1410" i="3"/>
  <c r="H1409" i="3"/>
  <c r="H1408" i="3"/>
  <c r="H1407" i="3"/>
  <c r="H1406" i="3"/>
  <c r="H1405" i="3"/>
  <c r="H1404" i="3"/>
  <c r="H1403" i="3"/>
  <c r="H1402" i="3"/>
  <c r="H1401" i="3"/>
  <c r="H1400" i="3"/>
  <c r="H1399" i="3"/>
  <c r="H1398" i="3"/>
  <c r="H1397" i="3"/>
  <c r="H1396" i="3"/>
  <c r="H1395" i="3"/>
  <c r="H1394" i="3"/>
  <c r="H1393" i="3"/>
  <c r="H1392" i="3"/>
  <c r="H1391" i="3"/>
  <c r="H1390" i="3"/>
  <c r="N1426" i="3"/>
  <c r="M1426" i="3"/>
  <c r="H1426" i="3" s="1"/>
  <c r="N1427" i="3"/>
  <c r="M1427" i="3"/>
  <c r="H1427" i="3" s="1"/>
  <c r="N1428" i="3"/>
  <c r="M1428" i="3"/>
  <c r="H1428" i="3" s="1"/>
  <c r="N1429" i="3"/>
  <c r="M1429" i="3"/>
  <c r="H1429" i="3" s="1"/>
  <c r="N1430" i="3"/>
  <c r="M1430" i="3"/>
  <c r="H1430" i="3" s="1"/>
  <c r="N1431" i="3"/>
  <c r="M1431" i="3"/>
  <c r="H1431" i="3" s="1"/>
  <c r="N1432" i="3"/>
  <c r="M1432" i="3"/>
  <c r="H1432" i="3" s="1"/>
  <c r="N1433" i="3"/>
  <c r="M1433" i="3"/>
  <c r="H1433" i="3" s="1"/>
  <c r="N1434" i="3"/>
  <c r="M1434" i="3"/>
  <c r="H1434" i="3" s="1"/>
  <c r="N1435" i="3"/>
  <c r="M1435" i="3"/>
  <c r="H1435" i="3" s="1"/>
  <c r="N1436" i="3"/>
  <c r="M1436" i="3"/>
  <c r="H1436" i="3" s="1"/>
  <c r="M1437" i="3"/>
  <c r="M1438" i="3"/>
  <c r="M1439" i="3"/>
  <c r="M1440" i="3"/>
  <c r="M1441" i="3"/>
  <c r="M1442" i="3"/>
  <c r="M1443" i="3"/>
  <c r="M1444" i="3"/>
  <c r="H1496" i="3"/>
  <c r="H1495" i="3"/>
  <c r="H1494" i="3"/>
  <c r="H1493" i="3"/>
  <c r="H1492" i="3"/>
  <c r="H1491" i="3"/>
  <c r="H1490" i="3"/>
  <c r="H1489" i="3"/>
  <c r="H1488" i="3"/>
  <c r="H1487" i="3"/>
  <c r="H1486" i="3"/>
  <c r="H1485" i="3"/>
  <c r="H1484" i="3"/>
  <c r="H1483" i="3"/>
  <c r="H1482" i="3"/>
  <c r="H1481" i="3"/>
  <c r="H1480" i="3"/>
  <c r="H1479" i="3"/>
  <c r="H1478" i="3"/>
  <c r="H1477" i="3"/>
  <c r="H1476" i="3"/>
  <c r="H1475" i="3"/>
  <c r="H1474" i="3"/>
  <c r="H1473" i="3"/>
  <c r="H1472" i="3"/>
  <c r="H1471" i="3"/>
  <c r="H1470" i="3"/>
  <c r="H1469" i="3"/>
  <c r="H1468" i="3"/>
  <c r="H1467" i="3"/>
  <c r="H1466" i="3"/>
  <c r="H1465" i="3"/>
  <c r="H1464" i="3"/>
  <c r="H1463" i="3"/>
  <c r="H1462" i="3"/>
  <c r="H1461" i="3"/>
  <c r="N1497" i="3"/>
  <c r="M1497" i="3"/>
  <c r="H1497" i="3" s="1"/>
  <c r="N1498" i="3"/>
  <c r="M1498" i="3"/>
  <c r="H1498" i="3" s="1"/>
  <c r="N1499" i="3"/>
  <c r="M1499" i="3"/>
  <c r="H1499" i="3" s="1"/>
  <c r="N1500" i="3"/>
  <c r="M1500" i="3"/>
  <c r="H1500" i="3" s="1"/>
  <c r="N1501" i="3"/>
  <c r="M1501" i="3"/>
  <c r="H1501" i="3" s="1"/>
  <c r="N1502" i="3"/>
  <c r="M1502" i="3"/>
  <c r="H1502" i="3" s="1"/>
  <c r="N1503" i="3"/>
  <c r="M1503" i="3"/>
  <c r="H1503" i="3" s="1"/>
  <c r="N1504" i="3"/>
  <c r="M1504" i="3"/>
  <c r="H1504" i="3" s="1"/>
  <c r="N1505" i="3"/>
  <c r="M1505" i="3"/>
  <c r="H1505" i="3" s="1"/>
  <c r="N1506" i="3"/>
  <c r="M1506" i="3"/>
  <c r="H1506" i="3" s="1"/>
  <c r="N1507" i="3"/>
  <c r="M1507" i="3"/>
  <c r="H1507" i="3" s="1"/>
  <c r="M1508" i="3"/>
  <c r="M1509" i="3"/>
  <c r="M1510" i="3"/>
  <c r="M1511" i="3"/>
  <c r="M1512" i="3"/>
  <c r="M1513" i="3"/>
  <c r="M1514" i="3"/>
  <c r="M1515" i="3"/>
  <c r="H1567" i="3"/>
  <c r="H1566" i="3"/>
  <c r="H1565" i="3"/>
  <c r="H1564" i="3"/>
  <c r="H1563" i="3"/>
  <c r="H1562" i="3"/>
  <c r="H1561" i="3"/>
  <c r="H1560" i="3"/>
  <c r="H1559" i="3"/>
  <c r="H1558" i="3"/>
  <c r="H1557" i="3"/>
  <c r="H1556" i="3"/>
  <c r="H1555" i="3"/>
  <c r="H1554" i="3"/>
  <c r="H1553" i="3"/>
  <c r="H1552" i="3"/>
  <c r="H1551" i="3"/>
  <c r="H1550" i="3"/>
  <c r="H1549" i="3"/>
  <c r="H1548" i="3"/>
  <c r="H1547" i="3"/>
  <c r="H1546" i="3"/>
  <c r="H1545" i="3"/>
  <c r="H1544" i="3"/>
  <c r="H1543" i="3"/>
  <c r="H1542" i="3"/>
  <c r="H1541" i="3"/>
  <c r="H1540" i="3"/>
  <c r="H1539" i="3"/>
  <c r="H1538" i="3"/>
  <c r="H1537" i="3"/>
  <c r="H1536" i="3"/>
  <c r="H1535" i="3"/>
  <c r="H1534" i="3"/>
  <c r="H1533" i="3"/>
  <c r="H1532" i="3"/>
  <c r="N1568" i="3"/>
  <c r="M1568" i="3"/>
  <c r="H1568" i="3" s="1"/>
  <c r="N1569" i="3"/>
  <c r="M1569" i="3"/>
  <c r="H1569" i="3" s="1"/>
  <c r="N1570" i="3"/>
  <c r="M1570" i="3"/>
  <c r="H1570" i="3" s="1"/>
  <c r="N1571" i="3"/>
  <c r="M1571" i="3"/>
  <c r="H1571" i="3" s="1"/>
  <c r="N1572" i="3"/>
  <c r="M1572" i="3"/>
  <c r="H1572" i="3" s="1"/>
  <c r="N1573" i="3"/>
  <c r="M1573" i="3"/>
  <c r="H1573" i="3" s="1"/>
  <c r="N1574" i="3"/>
  <c r="M1574" i="3"/>
  <c r="H1574" i="3" s="1"/>
  <c r="N1575" i="3"/>
  <c r="M1575" i="3"/>
  <c r="H1575" i="3" s="1"/>
  <c r="N1576" i="3"/>
  <c r="M1576" i="3"/>
  <c r="H1576" i="3" s="1"/>
  <c r="N1577" i="3"/>
  <c r="M1577" i="3"/>
  <c r="H1577" i="3" s="1"/>
  <c r="N1578" i="3"/>
  <c r="M1578" i="3"/>
  <c r="H1578" i="3" s="1"/>
  <c r="M1579" i="3"/>
  <c r="M1580" i="3"/>
  <c r="M1581" i="3"/>
  <c r="M1582" i="3"/>
  <c r="M1583" i="3"/>
  <c r="M1584" i="3"/>
  <c r="M1585" i="3"/>
  <c r="M1586" i="3"/>
  <c r="H1638" i="3"/>
  <c r="H1637" i="3"/>
  <c r="H1636" i="3"/>
  <c r="H1635" i="3"/>
  <c r="H1634" i="3"/>
  <c r="H1633" i="3"/>
  <c r="H1632" i="3"/>
  <c r="H1631" i="3"/>
  <c r="H1630" i="3"/>
  <c r="H1629" i="3"/>
  <c r="H1628" i="3"/>
  <c r="H1627" i="3"/>
  <c r="H1626" i="3"/>
  <c r="H1625" i="3"/>
  <c r="H1624" i="3"/>
  <c r="H1623" i="3"/>
  <c r="H1622" i="3"/>
  <c r="H1621" i="3"/>
  <c r="H1620" i="3"/>
  <c r="H1619" i="3"/>
  <c r="H1618" i="3"/>
  <c r="H1617" i="3"/>
  <c r="H1616" i="3"/>
  <c r="H1615" i="3"/>
  <c r="H1614" i="3"/>
  <c r="H1613" i="3"/>
  <c r="H1612" i="3"/>
  <c r="H1611" i="3"/>
  <c r="H1610" i="3"/>
  <c r="H1609" i="3"/>
  <c r="H1608" i="3"/>
  <c r="H1607" i="3"/>
  <c r="H1606" i="3"/>
  <c r="H1605" i="3"/>
  <c r="H1604" i="3"/>
  <c r="H1603" i="3"/>
  <c r="N1639" i="3"/>
  <c r="M1639" i="3"/>
  <c r="H1639" i="3" s="1"/>
  <c r="N1640" i="3"/>
  <c r="M1640" i="3"/>
  <c r="H1640" i="3" s="1"/>
  <c r="N1641" i="3"/>
  <c r="M1641" i="3"/>
  <c r="H1641" i="3" s="1"/>
  <c r="N1642" i="3"/>
  <c r="M1642" i="3"/>
  <c r="H1642" i="3" s="1"/>
  <c r="N1643" i="3"/>
  <c r="M1643" i="3"/>
  <c r="H1643" i="3" s="1"/>
  <c r="N1644" i="3"/>
  <c r="M1644" i="3"/>
  <c r="H1644" i="3" s="1"/>
  <c r="N1645" i="3"/>
  <c r="M1645" i="3"/>
  <c r="H1645" i="3" s="1"/>
  <c r="N1646" i="3"/>
  <c r="M1646" i="3"/>
  <c r="H1646" i="3" s="1"/>
  <c r="N1647" i="3"/>
  <c r="M1647" i="3"/>
  <c r="H1647" i="3" s="1"/>
  <c r="N1648" i="3"/>
  <c r="M1648" i="3"/>
  <c r="H1648" i="3" s="1"/>
  <c r="N1649" i="3"/>
  <c r="M1649" i="3"/>
  <c r="H1649" i="3" s="1"/>
  <c r="M1650" i="3"/>
  <c r="M1651" i="3"/>
  <c r="M1652" i="3"/>
  <c r="M1653" i="3"/>
  <c r="M1654" i="3"/>
  <c r="M1655" i="3"/>
  <c r="M1656" i="3"/>
  <c r="M1657" i="3"/>
  <c r="H1709" i="3"/>
  <c r="H1708" i="3"/>
  <c r="H1707" i="3"/>
  <c r="H1706" i="3"/>
  <c r="H1705" i="3"/>
  <c r="H1704" i="3"/>
  <c r="H1703" i="3"/>
  <c r="H1702" i="3"/>
  <c r="H1701" i="3"/>
  <c r="H1700" i="3"/>
  <c r="H1699" i="3"/>
  <c r="H1698" i="3"/>
  <c r="H1697" i="3"/>
  <c r="H1696" i="3"/>
  <c r="H1695" i="3"/>
  <c r="H1694" i="3"/>
  <c r="H1693" i="3"/>
  <c r="H1692" i="3"/>
  <c r="H1691" i="3"/>
  <c r="H1690" i="3"/>
  <c r="H1689" i="3"/>
  <c r="H1688" i="3"/>
  <c r="H1687" i="3"/>
  <c r="H1686" i="3"/>
  <c r="H1685" i="3"/>
  <c r="H1684" i="3"/>
  <c r="H1683" i="3"/>
  <c r="H1682" i="3"/>
  <c r="H1681" i="3"/>
  <c r="H1680" i="3"/>
  <c r="H1679" i="3"/>
  <c r="H1678" i="3"/>
  <c r="H1677" i="3"/>
  <c r="H1676" i="3"/>
  <c r="H1675" i="3"/>
  <c r="H1674" i="3"/>
  <c r="N1710" i="3"/>
  <c r="M1710" i="3"/>
  <c r="H1710" i="3" s="1"/>
  <c r="N1711" i="3"/>
  <c r="M1711" i="3"/>
  <c r="H1711" i="3" s="1"/>
  <c r="N1712" i="3"/>
  <c r="M1712" i="3"/>
  <c r="H1712" i="3" s="1"/>
  <c r="N1713" i="3"/>
  <c r="M1713" i="3"/>
  <c r="H1713" i="3" s="1"/>
  <c r="N1714" i="3"/>
  <c r="M1714" i="3"/>
  <c r="H1714" i="3" s="1"/>
  <c r="N1715" i="3"/>
  <c r="M1715" i="3"/>
  <c r="H1715" i="3" s="1"/>
  <c r="N1716" i="3"/>
  <c r="M1716" i="3"/>
  <c r="H1716" i="3" s="1"/>
  <c r="N1717" i="3"/>
  <c r="M1717" i="3"/>
  <c r="H1717" i="3" s="1"/>
  <c r="N1718" i="3"/>
  <c r="M1718" i="3"/>
  <c r="H1718" i="3" s="1"/>
  <c r="N1719" i="3"/>
  <c r="M1719" i="3"/>
  <c r="H1719" i="3" s="1"/>
  <c r="N1720" i="3"/>
  <c r="M1720" i="3"/>
  <c r="H1720" i="3" s="1"/>
  <c r="M1721" i="3"/>
  <c r="M1722" i="3"/>
  <c r="M1723" i="3"/>
  <c r="M1724" i="3"/>
  <c r="M1725" i="3"/>
  <c r="M1726" i="3"/>
  <c r="M1727" i="3"/>
  <c r="M1728" i="3"/>
  <c r="H1780" i="3"/>
  <c r="H1779" i="3"/>
  <c r="H1778" i="3"/>
  <c r="H1777" i="3"/>
  <c r="H1776" i="3"/>
  <c r="H1775" i="3"/>
  <c r="H1774" i="3"/>
  <c r="H1773" i="3"/>
  <c r="H1772" i="3"/>
  <c r="H1771" i="3"/>
  <c r="H1770" i="3"/>
  <c r="H1769" i="3"/>
  <c r="H1768" i="3"/>
  <c r="H1767" i="3"/>
  <c r="H1766" i="3"/>
  <c r="H1765" i="3"/>
  <c r="H1764" i="3"/>
  <c r="H1763" i="3"/>
  <c r="H1762" i="3"/>
  <c r="H1761" i="3"/>
  <c r="H1760" i="3"/>
  <c r="H1759" i="3"/>
  <c r="H1758" i="3"/>
  <c r="H1757" i="3"/>
  <c r="H1756" i="3"/>
  <c r="H1755" i="3"/>
  <c r="H1754" i="3"/>
  <c r="H1753" i="3"/>
  <c r="H1752" i="3"/>
  <c r="H1751" i="3"/>
  <c r="H1750" i="3"/>
  <c r="H1749" i="3"/>
  <c r="H1748" i="3"/>
  <c r="H1747" i="3"/>
  <c r="H1746" i="3"/>
  <c r="H1745" i="3"/>
  <c r="N1781" i="3"/>
  <c r="M1781" i="3"/>
  <c r="H1781" i="3" s="1"/>
  <c r="N1782" i="3"/>
  <c r="M1782" i="3"/>
  <c r="H1782" i="3" s="1"/>
  <c r="N1783" i="3"/>
  <c r="M1783" i="3"/>
  <c r="H1783" i="3" s="1"/>
  <c r="N1784" i="3"/>
  <c r="M1784" i="3"/>
  <c r="H1784" i="3" s="1"/>
  <c r="N1785" i="3"/>
  <c r="M1785" i="3"/>
  <c r="H1785" i="3" s="1"/>
  <c r="N1786" i="3"/>
  <c r="M1786" i="3"/>
  <c r="H1786" i="3" s="1"/>
  <c r="N1787" i="3"/>
  <c r="M1787" i="3"/>
  <c r="H1787" i="3" s="1"/>
  <c r="N1788" i="3"/>
  <c r="M1788" i="3"/>
  <c r="H1788" i="3" s="1"/>
  <c r="N1789" i="3"/>
  <c r="M1789" i="3"/>
  <c r="H1789" i="3" s="1"/>
  <c r="N1790" i="3"/>
  <c r="M1790" i="3"/>
  <c r="H1790" i="3" s="1"/>
  <c r="N1791" i="3"/>
  <c r="M1791" i="3"/>
  <c r="H1791" i="3" s="1"/>
  <c r="M1792" i="3"/>
  <c r="M1793" i="3"/>
  <c r="M1794" i="3"/>
  <c r="M1795" i="3"/>
  <c r="M1796" i="3"/>
  <c r="M1797" i="3"/>
  <c r="M1798" i="3"/>
  <c r="M1799" i="3"/>
  <c r="H1851" i="3"/>
  <c r="H1850" i="3"/>
  <c r="H1849" i="3"/>
  <c r="H1848" i="3"/>
  <c r="H1847" i="3"/>
  <c r="H1846" i="3"/>
  <c r="H1845" i="3"/>
  <c r="H1844" i="3"/>
  <c r="H1843" i="3"/>
  <c r="H1842" i="3"/>
  <c r="H1841" i="3"/>
  <c r="H1840" i="3"/>
  <c r="H1839" i="3"/>
  <c r="H1838" i="3"/>
  <c r="H1837" i="3"/>
  <c r="H1836" i="3"/>
  <c r="H1835" i="3"/>
  <c r="H1834" i="3"/>
  <c r="H1833" i="3"/>
  <c r="H1832" i="3"/>
  <c r="H1831" i="3"/>
  <c r="H1830" i="3"/>
  <c r="H1829" i="3"/>
  <c r="H1828" i="3"/>
  <c r="H1827" i="3"/>
  <c r="H1826" i="3"/>
  <c r="H1825" i="3"/>
  <c r="H1824" i="3"/>
  <c r="H1823" i="3"/>
  <c r="H1822" i="3"/>
  <c r="H1821" i="3"/>
  <c r="H1820" i="3"/>
  <c r="H1819" i="3"/>
  <c r="H1818" i="3"/>
  <c r="H1817" i="3"/>
  <c r="H1816" i="3"/>
  <c r="N1852" i="3"/>
  <c r="M1852" i="3"/>
  <c r="H1852" i="3" s="1"/>
  <c r="N1853" i="3"/>
  <c r="M1853" i="3"/>
  <c r="H1853" i="3" s="1"/>
  <c r="N1854" i="3"/>
  <c r="M1854" i="3"/>
  <c r="H1854" i="3" s="1"/>
  <c r="N1855" i="3"/>
  <c r="M1855" i="3"/>
  <c r="H1855" i="3" s="1"/>
  <c r="N1856" i="3"/>
  <c r="M1856" i="3"/>
  <c r="H1856" i="3" s="1"/>
  <c r="N1857" i="3"/>
  <c r="M1857" i="3"/>
  <c r="H1857" i="3" s="1"/>
  <c r="N1858" i="3"/>
  <c r="M1858" i="3"/>
  <c r="H1858" i="3" s="1"/>
  <c r="N1859" i="3"/>
  <c r="M1859" i="3"/>
  <c r="H1859" i="3" s="1"/>
  <c r="N1860" i="3"/>
  <c r="M1860" i="3"/>
  <c r="H1860" i="3" s="1"/>
  <c r="N1861" i="3"/>
  <c r="M1861" i="3"/>
  <c r="H1861" i="3" s="1"/>
  <c r="N1862" i="3"/>
  <c r="M1862" i="3"/>
  <c r="H1862" i="3" s="1"/>
  <c r="M1863" i="3"/>
  <c r="M1864" i="3"/>
  <c r="M1865" i="3"/>
  <c r="M1866" i="3"/>
  <c r="M1867" i="3"/>
  <c r="M1868" i="3"/>
  <c r="M1869" i="3"/>
  <c r="M1870" i="3"/>
  <c r="H1922" i="3"/>
  <c r="H1921" i="3"/>
  <c r="H1920" i="3"/>
  <c r="H1919" i="3"/>
  <c r="H1918" i="3"/>
  <c r="H1917" i="3"/>
  <c r="H1916" i="3"/>
  <c r="H1915" i="3"/>
  <c r="H1914" i="3"/>
  <c r="H1913" i="3"/>
  <c r="H1912" i="3"/>
  <c r="H1911" i="3"/>
  <c r="H1910" i="3"/>
  <c r="H1909" i="3"/>
  <c r="H1908" i="3"/>
  <c r="H1907" i="3"/>
  <c r="H1906" i="3"/>
  <c r="H1905" i="3"/>
  <c r="H1904" i="3"/>
  <c r="H1903" i="3"/>
  <c r="H1902" i="3"/>
  <c r="H1901" i="3"/>
  <c r="H1900" i="3"/>
  <c r="H1899" i="3"/>
  <c r="H1898" i="3"/>
  <c r="H1897" i="3"/>
  <c r="H1896" i="3"/>
  <c r="H1895" i="3"/>
  <c r="H1894" i="3"/>
  <c r="H1893" i="3"/>
  <c r="H1892" i="3"/>
  <c r="H1891" i="3"/>
  <c r="H1890" i="3"/>
  <c r="H1889" i="3"/>
  <c r="H1888" i="3"/>
  <c r="H1887" i="3"/>
  <c r="N1923" i="3"/>
  <c r="M1923" i="3"/>
  <c r="H1923" i="3" s="1"/>
  <c r="N1924" i="3"/>
  <c r="M1924" i="3"/>
  <c r="H1924" i="3" s="1"/>
  <c r="N1925" i="3"/>
  <c r="M1925" i="3"/>
  <c r="H1925" i="3" s="1"/>
  <c r="N1926" i="3"/>
  <c r="M1926" i="3"/>
  <c r="H1926" i="3" s="1"/>
  <c r="N1927" i="3"/>
  <c r="M1927" i="3"/>
  <c r="H1927" i="3" s="1"/>
  <c r="N1928" i="3"/>
  <c r="M1928" i="3"/>
  <c r="H1928" i="3" s="1"/>
  <c r="N1929" i="3"/>
  <c r="M1929" i="3"/>
  <c r="H1929" i="3" s="1"/>
  <c r="N1930" i="3"/>
  <c r="M1930" i="3"/>
  <c r="H1930" i="3" s="1"/>
  <c r="N1931" i="3"/>
  <c r="M1931" i="3"/>
  <c r="H1931" i="3" s="1"/>
  <c r="N1932" i="3"/>
  <c r="M1932" i="3"/>
  <c r="H1932" i="3" s="1"/>
  <c r="N1933" i="3"/>
  <c r="M1933" i="3"/>
  <c r="H1933" i="3" s="1"/>
  <c r="M1934" i="3"/>
  <c r="M1935" i="3"/>
  <c r="M1936" i="3"/>
  <c r="M1937" i="3"/>
  <c r="M1938" i="3"/>
  <c r="M1939" i="3"/>
  <c r="M1940" i="3"/>
  <c r="M1941" i="3"/>
  <c r="H1993" i="3"/>
  <c r="H1992" i="3"/>
  <c r="H1991" i="3"/>
  <c r="H1990" i="3"/>
  <c r="H1989" i="3"/>
  <c r="H1988" i="3"/>
  <c r="H1987" i="3"/>
  <c r="H1986" i="3"/>
  <c r="H1985" i="3"/>
  <c r="H1984" i="3"/>
  <c r="H1983" i="3"/>
  <c r="H1982" i="3"/>
  <c r="H1981" i="3"/>
  <c r="H1980" i="3"/>
  <c r="H1979" i="3"/>
  <c r="H1978" i="3"/>
  <c r="H1977" i="3"/>
  <c r="H1976" i="3"/>
  <c r="H1975" i="3"/>
  <c r="H1974" i="3"/>
  <c r="H1973" i="3"/>
  <c r="H1972" i="3"/>
  <c r="H1971" i="3"/>
  <c r="H1970" i="3"/>
  <c r="H1969" i="3"/>
  <c r="H1968" i="3"/>
  <c r="H1967" i="3"/>
  <c r="H1966" i="3"/>
  <c r="H1965" i="3"/>
  <c r="H1964" i="3"/>
  <c r="H1963" i="3"/>
  <c r="H1962" i="3"/>
  <c r="H1961" i="3"/>
  <c r="H1960" i="3"/>
  <c r="H1959" i="3"/>
  <c r="H1958" i="3"/>
  <c r="N1994" i="3"/>
  <c r="M1994" i="3"/>
  <c r="H1994" i="3" s="1"/>
  <c r="N1995" i="3"/>
  <c r="M1995" i="3"/>
  <c r="H1995" i="3" s="1"/>
  <c r="N1996" i="3"/>
  <c r="M1996" i="3"/>
  <c r="H1996" i="3" s="1"/>
  <c r="N1997" i="3"/>
  <c r="M1997" i="3"/>
  <c r="H1997" i="3" s="1"/>
  <c r="N1998" i="3"/>
  <c r="M1998" i="3"/>
  <c r="H1998" i="3" s="1"/>
  <c r="N1999" i="3"/>
  <c r="M1999" i="3"/>
  <c r="H1999" i="3" s="1"/>
  <c r="N2000" i="3"/>
  <c r="M2000" i="3"/>
  <c r="H2000" i="3" s="1"/>
  <c r="N2001" i="3"/>
  <c r="M2001" i="3"/>
  <c r="H2001" i="3" s="1"/>
  <c r="N2002" i="3"/>
  <c r="M2002" i="3"/>
  <c r="H2002" i="3" s="1"/>
  <c r="N2003" i="3"/>
  <c r="M2003" i="3"/>
  <c r="H2003" i="3" s="1"/>
  <c r="N2004" i="3"/>
  <c r="M2004" i="3"/>
  <c r="H2004" i="3" s="1"/>
  <c r="M2005" i="3"/>
  <c r="M2006" i="3"/>
  <c r="M2007" i="3"/>
  <c r="M2008" i="3"/>
  <c r="M2009" i="3"/>
  <c r="M2010" i="3"/>
  <c r="M2011" i="3"/>
  <c r="M2012" i="3"/>
  <c r="H2064" i="3"/>
  <c r="H2063" i="3"/>
  <c r="H2062" i="3"/>
  <c r="H2061" i="3"/>
  <c r="H2060" i="3"/>
  <c r="H2059" i="3"/>
  <c r="H2058" i="3"/>
  <c r="H2057" i="3"/>
  <c r="H2056" i="3"/>
  <c r="H2055" i="3"/>
  <c r="H2054" i="3"/>
  <c r="H2053" i="3"/>
  <c r="H2052" i="3"/>
  <c r="H2051" i="3"/>
  <c r="H2050" i="3"/>
  <c r="H2049" i="3"/>
  <c r="H2048" i="3"/>
  <c r="H2047" i="3"/>
  <c r="H2046" i="3"/>
  <c r="H2045" i="3"/>
  <c r="H2044" i="3"/>
  <c r="H2043" i="3"/>
  <c r="H2042" i="3"/>
  <c r="H2041" i="3"/>
  <c r="H2040" i="3"/>
  <c r="H2039" i="3"/>
  <c r="H2038" i="3"/>
  <c r="H2037" i="3"/>
  <c r="H2036" i="3"/>
  <c r="H2035" i="3"/>
  <c r="H2034" i="3"/>
  <c r="H2033" i="3"/>
  <c r="H2032" i="3"/>
  <c r="H2031" i="3"/>
  <c r="H2030" i="3"/>
  <c r="H2029" i="3"/>
  <c r="N2065" i="3"/>
  <c r="M2065" i="3"/>
  <c r="H2065" i="3" s="1"/>
  <c r="N2066" i="3"/>
  <c r="M2066" i="3"/>
  <c r="H2066" i="3" s="1"/>
  <c r="N2067" i="3"/>
  <c r="M2067" i="3"/>
  <c r="H2067" i="3" s="1"/>
  <c r="N2068" i="3"/>
  <c r="M2068" i="3"/>
  <c r="H2068" i="3" s="1"/>
  <c r="N2069" i="3"/>
  <c r="M2069" i="3"/>
  <c r="H2069" i="3" s="1"/>
  <c r="N2070" i="3"/>
  <c r="M2070" i="3"/>
  <c r="H2070" i="3" s="1"/>
  <c r="N2071" i="3"/>
  <c r="M2071" i="3"/>
  <c r="H2071" i="3" s="1"/>
  <c r="N2072" i="3"/>
  <c r="M2072" i="3"/>
  <c r="H2072" i="3" s="1"/>
  <c r="N2073" i="3"/>
  <c r="M2073" i="3"/>
  <c r="H2073" i="3" s="1"/>
  <c r="N2074" i="3"/>
  <c r="M2074" i="3"/>
  <c r="H2074" i="3" s="1"/>
  <c r="N2075" i="3"/>
  <c r="M2075" i="3"/>
  <c r="H2075" i="3" s="1"/>
  <c r="M2076" i="3"/>
  <c r="M2077" i="3"/>
  <c r="M2078" i="3"/>
  <c r="M2079" i="3"/>
  <c r="M2080" i="3"/>
  <c r="M2081" i="3"/>
  <c r="M2082" i="3"/>
  <c r="M2083" i="3"/>
  <c r="H2135" i="3"/>
  <c r="H2134" i="3"/>
  <c r="H2133" i="3"/>
  <c r="H2132" i="3"/>
  <c r="H2131" i="3"/>
  <c r="H2130" i="3"/>
  <c r="H2129" i="3"/>
  <c r="H2128" i="3"/>
  <c r="H2127" i="3"/>
  <c r="H2126" i="3"/>
  <c r="H2125" i="3"/>
  <c r="H2124" i="3"/>
  <c r="H2123" i="3"/>
  <c r="H2122" i="3"/>
  <c r="H2121" i="3"/>
  <c r="H2120" i="3"/>
  <c r="H2119" i="3"/>
  <c r="H2118" i="3"/>
  <c r="H2117" i="3"/>
  <c r="H2116" i="3"/>
  <c r="H2115" i="3"/>
  <c r="H2114" i="3"/>
  <c r="H2113" i="3"/>
  <c r="H2112" i="3"/>
  <c r="H2111" i="3"/>
  <c r="H2110" i="3"/>
  <c r="H2109" i="3"/>
  <c r="H2108" i="3"/>
  <c r="H2107" i="3"/>
  <c r="H2106" i="3"/>
  <c r="H2105" i="3"/>
  <c r="H2104" i="3"/>
  <c r="H2103" i="3"/>
  <c r="H2102" i="3"/>
  <c r="H2101" i="3"/>
  <c r="H2100" i="3"/>
  <c r="N2136" i="3"/>
  <c r="M2136" i="3"/>
  <c r="H2136" i="3" s="1"/>
  <c r="N2137" i="3"/>
  <c r="M2137" i="3"/>
  <c r="H2137" i="3" s="1"/>
  <c r="N2138" i="3"/>
  <c r="M2138" i="3"/>
  <c r="H2138" i="3" s="1"/>
  <c r="N2139" i="3"/>
  <c r="M2139" i="3"/>
  <c r="H2139" i="3" s="1"/>
  <c r="N2140" i="3"/>
  <c r="M2140" i="3"/>
  <c r="H2140" i="3" s="1"/>
  <c r="N2141" i="3"/>
  <c r="M2141" i="3"/>
  <c r="H2141" i="3" s="1"/>
  <c r="N2142" i="3"/>
  <c r="M2142" i="3"/>
  <c r="H2142" i="3" s="1"/>
  <c r="N2143" i="3"/>
  <c r="M2143" i="3"/>
  <c r="H2143" i="3" s="1"/>
  <c r="N2144" i="3"/>
  <c r="M2144" i="3"/>
  <c r="H2144" i="3" s="1"/>
  <c r="N2145" i="3"/>
  <c r="M2145" i="3"/>
  <c r="H2145" i="3" s="1"/>
  <c r="N2146" i="3"/>
  <c r="M2146" i="3"/>
  <c r="H2146" i="3" s="1"/>
  <c r="M2147" i="3"/>
  <c r="M2148" i="3"/>
  <c r="M2149" i="3"/>
  <c r="M2150" i="3"/>
  <c r="M2151" i="3"/>
  <c r="M2152" i="3"/>
  <c r="M2153" i="3"/>
  <c r="M2154" i="3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C37" i="7"/>
  <c r="D37" i="7" s="1"/>
  <c r="L225" i="4"/>
  <c r="L226" i="4"/>
  <c r="L227" i="4"/>
  <c r="L228" i="4"/>
  <c r="L229" i="4"/>
  <c r="L230" i="4"/>
  <c r="L231" i="4"/>
  <c r="L232" i="4"/>
  <c r="L233" i="4"/>
  <c r="L234" i="4"/>
  <c r="L235" i="4"/>
  <c r="N235" i="4" l="1"/>
  <c r="P235" i="4" s="1"/>
  <c r="M235" i="4"/>
  <c r="O235" i="4" s="1"/>
  <c r="Q235" i="4" s="1"/>
  <c r="N234" i="4"/>
  <c r="P234" i="4" s="1"/>
  <c r="M234" i="4"/>
  <c r="O234" i="4" s="1"/>
  <c r="Q234" i="4" s="1"/>
  <c r="N233" i="4"/>
  <c r="P233" i="4" s="1"/>
  <c r="M233" i="4"/>
  <c r="O233" i="4" s="1"/>
  <c r="Q233" i="4" s="1"/>
  <c r="N232" i="4"/>
  <c r="P232" i="4" s="1"/>
  <c r="M232" i="4"/>
  <c r="O232" i="4" s="1"/>
  <c r="Q232" i="4" s="1"/>
  <c r="N231" i="4"/>
  <c r="P231" i="4" s="1"/>
  <c r="M231" i="4"/>
  <c r="O231" i="4" s="1"/>
  <c r="Q231" i="4" s="1"/>
  <c r="N230" i="4"/>
  <c r="P230" i="4" s="1"/>
  <c r="M230" i="4"/>
  <c r="O230" i="4" s="1"/>
  <c r="Q230" i="4" s="1"/>
  <c r="N229" i="4"/>
  <c r="P229" i="4" s="1"/>
  <c r="M229" i="4"/>
  <c r="O229" i="4" s="1"/>
  <c r="Q229" i="4" s="1"/>
  <c r="N228" i="4"/>
  <c r="P228" i="4" s="1"/>
  <c r="M228" i="4"/>
  <c r="O228" i="4" s="1"/>
  <c r="Q228" i="4" s="1"/>
  <c r="N227" i="4"/>
  <c r="P227" i="4" s="1"/>
  <c r="M227" i="4"/>
  <c r="O227" i="4" s="1"/>
  <c r="Q227" i="4" s="1"/>
  <c r="N226" i="4"/>
  <c r="P226" i="4" s="1"/>
  <c r="M226" i="4"/>
  <c r="O226" i="4" s="1"/>
  <c r="Q226" i="4" s="1"/>
  <c r="N225" i="4"/>
  <c r="P225" i="4" s="1"/>
  <c r="M225" i="4"/>
  <c r="O225" i="4" s="1"/>
  <c r="Q225" i="4" s="1"/>
  <c r="N224" i="4"/>
  <c r="P224" i="4" s="1"/>
  <c r="M224" i="4"/>
  <c r="O224" i="4" s="1"/>
  <c r="Q224" i="4" s="1"/>
  <c r="N223" i="4"/>
  <c r="P223" i="4" s="1"/>
  <c r="M223" i="4"/>
  <c r="O223" i="4" s="1"/>
  <c r="Q223" i="4" s="1"/>
  <c r="N222" i="4"/>
  <c r="P222" i="4" s="1"/>
  <c r="M222" i="4"/>
  <c r="O222" i="4" s="1"/>
  <c r="Q222" i="4" s="1"/>
  <c r="N221" i="4"/>
  <c r="P221" i="4" s="1"/>
  <c r="M221" i="4"/>
  <c r="O221" i="4" s="1"/>
  <c r="Q221" i="4" s="1"/>
  <c r="N220" i="4"/>
  <c r="P220" i="4" s="1"/>
  <c r="M220" i="4"/>
  <c r="O220" i="4" s="1"/>
  <c r="Q220" i="4" s="1"/>
  <c r="N219" i="4"/>
  <c r="P219" i="4" s="1"/>
  <c r="M219" i="4"/>
  <c r="O219" i="4" s="1"/>
  <c r="Q219" i="4" s="1"/>
  <c r="N218" i="4"/>
  <c r="P218" i="4" s="1"/>
  <c r="M218" i="4"/>
  <c r="O218" i="4" s="1"/>
  <c r="Q218" i="4" s="1"/>
  <c r="N217" i="4"/>
  <c r="P217" i="4" s="1"/>
  <c r="M217" i="4"/>
  <c r="O217" i="4" s="1"/>
  <c r="Q217" i="4" s="1"/>
  <c r="N216" i="4"/>
  <c r="P216" i="4" s="1"/>
  <c r="M216" i="4"/>
  <c r="O216" i="4" s="1"/>
  <c r="Q216" i="4" s="1"/>
  <c r="N215" i="4"/>
  <c r="P215" i="4" s="1"/>
  <c r="M215" i="4"/>
  <c r="O215" i="4" s="1"/>
  <c r="Q215" i="4" s="1"/>
  <c r="N214" i="4"/>
  <c r="P214" i="4" s="1"/>
  <c r="M214" i="4"/>
  <c r="O214" i="4" s="1"/>
  <c r="Q214" i="4" s="1"/>
  <c r="N213" i="4"/>
  <c r="P213" i="4" s="1"/>
  <c r="M213" i="4"/>
  <c r="O213" i="4" s="1"/>
  <c r="Q213" i="4" s="1"/>
  <c r="N212" i="4"/>
  <c r="P212" i="4" s="1"/>
  <c r="M212" i="4"/>
  <c r="O212" i="4" s="1"/>
  <c r="Q212" i="4" s="1"/>
  <c r="N211" i="4"/>
  <c r="P211" i="4" s="1"/>
  <c r="M211" i="4"/>
  <c r="O211" i="4" s="1"/>
  <c r="Q211" i="4" s="1"/>
  <c r="N210" i="4"/>
  <c r="P210" i="4" s="1"/>
  <c r="M210" i="4"/>
  <c r="O210" i="4" s="1"/>
  <c r="Q210" i="4" s="1"/>
  <c r="N209" i="4"/>
  <c r="P209" i="4" s="1"/>
  <c r="M209" i="4"/>
  <c r="O209" i="4" s="1"/>
  <c r="Q209" i="4" s="1"/>
  <c r="N208" i="4"/>
  <c r="P208" i="4" s="1"/>
  <c r="M208" i="4"/>
  <c r="O208" i="4" s="1"/>
  <c r="Q208" i="4" s="1"/>
  <c r="N207" i="4"/>
  <c r="P207" i="4" s="1"/>
  <c r="M207" i="4"/>
  <c r="O207" i="4" s="1"/>
  <c r="Q207" i="4" s="1"/>
  <c r="N206" i="4"/>
  <c r="P206" i="4" s="1"/>
  <c r="M206" i="4"/>
  <c r="O206" i="4" s="1"/>
  <c r="Q206" i="4" s="1"/>
  <c r="N205" i="4"/>
  <c r="P205" i="4" s="1"/>
  <c r="M205" i="4"/>
  <c r="O205" i="4" s="1"/>
  <c r="Q205" i="4" s="1"/>
  <c r="N204" i="4"/>
  <c r="P204" i="4" s="1"/>
  <c r="M204" i="4"/>
  <c r="O204" i="4" s="1"/>
  <c r="Q204" i="4" s="1"/>
  <c r="N203" i="4"/>
  <c r="P203" i="4" s="1"/>
  <c r="M203" i="4"/>
  <c r="O203" i="4" s="1"/>
  <c r="Q203" i="4" s="1"/>
  <c r="N202" i="4"/>
  <c r="P202" i="4" s="1"/>
  <c r="M202" i="4"/>
  <c r="O202" i="4" s="1"/>
  <c r="Q202" i="4" s="1"/>
  <c r="N201" i="4"/>
  <c r="P201" i="4" s="1"/>
  <c r="M201" i="4"/>
  <c r="O201" i="4" s="1"/>
  <c r="Q201" i="4" s="1"/>
  <c r="N200" i="4"/>
  <c r="P200" i="4" s="1"/>
  <c r="M200" i="4"/>
  <c r="O200" i="4" s="1"/>
  <c r="Q200" i="4" s="1"/>
  <c r="N199" i="4"/>
  <c r="P199" i="4" s="1"/>
  <c r="M199" i="4"/>
  <c r="O199" i="4" s="1"/>
  <c r="Q199" i="4" s="1"/>
  <c r="N198" i="4"/>
  <c r="P198" i="4" s="1"/>
  <c r="M198" i="4"/>
  <c r="O198" i="4" s="1"/>
  <c r="Q198" i="4" s="1"/>
  <c r="N197" i="4"/>
  <c r="P197" i="4" s="1"/>
  <c r="M197" i="4"/>
  <c r="O197" i="4" s="1"/>
  <c r="Q197" i="4" s="1"/>
  <c r="N196" i="4"/>
  <c r="P196" i="4" s="1"/>
  <c r="M196" i="4"/>
  <c r="O196" i="4" s="1"/>
  <c r="Q196" i="4" s="1"/>
  <c r="N195" i="4"/>
  <c r="P195" i="4" s="1"/>
  <c r="M195" i="4"/>
  <c r="O195" i="4" s="1"/>
  <c r="Q195" i="4" s="1"/>
  <c r="N194" i="4"/>
  <c r="P194" i="4" s="1"/>
  <c r="M194" i="4"/>
  <c r="O194" i="4" s="1"/>
  <c r="Q194" i="4" s="1"/>
  <c r="N193" i="4"/>
  <c r="P193" i="4" s="1"/>
  <c r="M193" i="4"/>
  <c r="O193" i="4" s="1"/>
  <c r="Q193" i="4" s="1"/>
  <c r="N192" i="4"/>
  <c r="P192" i="4" s="1"/>
  <c r="M192" i="4"/>
  <c r="O192" i="4" s="1"/>
  <c r="Q192" i="4" s="1"/>
  <c r="N191" i="4"/>
  <c r="P191" i="4" s="1"/>
  <c r="M191" i="4"/>
  <c r="O191" i="4" s="1"/>
  <c r="Q191" i="4" s="1"/>
  <c r="N190" i="4"/>
  <c r="P190" i="4" s="1"/>
  <c r="M190" i="4"/>
  <c r="O190" i="4" s="1"/>
  <c r="Q190" i="4" s="1"/>
  <c r="N189" i="4"/>
  <c r="P189" i="4" s="1"/>
  <c r="M189" i="4"/>
  <c r="O189" i="4" s="1"/>
  <c r="Q189" i="4" s="1"/>
  <c r="N188" i="4"/>
  <c r="P188" i="4" s="1"/>
  <c r="M188" i="4"/>
  <c r="O188" i="4" s="1"/>
  <c r="Q188" i="4" s="1"/>
  <c r="N187" i="4"/>
  <c r="P187" i="4" s="1"/>
  <c r="M187" i="4"/>
  <c r="O187" i="4" s="1"/>
  <c r="Q187" i="4" s="1"/>
  <c r="N186" i="4"/>
  <c r="P186" i="4" s="1"/>
  <c r="M186" i="4"/>
  <c r="O186" i="4" s="1"/>
  <c r="Q186" i="4" s="1"/>
  <c r="N185" i="4"/>
  <c r="P185" i="4" s="1"/>
  <c r="M185" i="4"/>
  <c r="O185" i="4" s="1"/>
  <c r="Q185" i="4" s="1"/>
  <c r="N184" i="4"/>
  <c r="P184" i="4" s="1"/>
  <c r="M184" i="4"/>
  <c r="O184" i="4" s="1"/>
  <c r="Q184" i="4" s="1"/>
  <c r="N183" i="4"/>
  <c r="P183" i="4" s="1"/>
  <c r="M183" i="4"/>
  <c r="O183" i="4" s="1"/>
  <c r="Q183" i="4" s="1"/>
  <c r="N182" i="4"/>
  <c r="P182" i="4" s="1"/>
  <c r="M182" i="4"/>
  <c r="O182" i="4" s="1"/>
  <c r="Q182" i="4" s="1"/>
  <c r="N181" i="4"/>
  <c r="P181" i="4" s="1"/>
  <c r="M181" i="4"/>
  <c r="O181" i="4" s="1"/>
  <c r="Q181" i="4" s="1"/>
  <c r="N180" i="4"/>
  <c r="P180" i="4" s="1"/>
  <c r="M180" i="4"/>
  <c r="O180" i="4" s="1"/>
  <c r="Q180" i="4" s="1"/>
  <c r="N179" i="4"/>
  <c r="P179" i="4" s="1"/>
  <c r="M179" i="4"/>
  <c r="O179" i="4" s="1"/>
  <c r="Q179" i="4" s="1"/>
  <c r="N178" i="4"/>
  <c r="P178" i="4" s="1"/>
  <c r="M178" i="4"/>
  <c r="O178" i="4" s="1"/>
  <c r="Q178" i="4" s="1"/>
  <c r="N177" i="4"/>
  <c r="P177" i="4" s="1"/>
  <c r="M177" i="4"/>
  <c r="O177" i="4" s="1"/>
  <c r="Q177" i="4" s="1"/>
  <c r="N176" i="4"/>
  <c r="P176" i="4" s="1"/>
  <c r="M176" i="4"/>
  <c r="O176" i="4" s="1"/>
  <c r="Q176" i="4" s="1"/>
  <c r="N175" i="4"/>
  <c r="P175" i="4" s="1"/>
  <c r="M175" i="4"/>
  <c r="O175" i="4" s="1"/>
  <c r="Q175" i="4" s="1"/>
  <c r="N174" i="4"/>
  <c r="P174" i="4" s="1"/>
  <c r="M174" i="4"/>
  <c r="O174" i="4" s="1"/>
  <c r="Q174" i="4" s="1"/>
  <c r="N173" i="4"/>
  <c r="P173" i="4" s="1"/>
  <c r="M173" i="4"/>
  <c r="O173" i="4" s="1"/>
  <c r="Q173" i="4" s="1"/>
  <c r="N172" i="4"/>
  <c r="P172" i="4" s="1"/>
  <c r="M172" i="4"/>
  <c r="O172" i="4" s="1"/>
  <c r="Q172" i="4" s="1"/>
  <c r="N171" i="4"/>
  <c r="P171" i="4" s="1"/>
  <c r="M171" i="4"/>
  <c r="O171" i="4" s="1"/>
  <c r="Q171" i="4" s="1"/>
  <c r="N170" i="4"/>
  <c r="P170" i="4" s="1"/>
  <c r="M170" i="4"/>
  <c r="O170" i="4" s="1"/>
  <c r="Q170" i="4" s="1"/>
  <c r="N169" i="4"/>
  <c r="P169" i="4" s="1"/>
  <c r="M169" i="4"/>
  <c r="O169" i="4" s="1"/>
  <c r="Q169" i="4" s="1"/>
  <c r="N168" i="4"/>
  <c r="P168" i="4" s="1"/>
  <c r="M168" i="4"/>
  <c r="O168" i="4" s="1"/>
  <c r="Q168" i="4" s="1"/>
  <c r="N167" i="4"/>
  <c r="P167" i="4" s="1"/>
  <c r="M167" i="4"/>
  <c r="O167" i="4" s="1"/>
  <c r="Q167" i="4" s="1"/>
  <c r="N166" i="4"/>
  <c r="P166" i="4" s="1"/>
  <c r="M166" i="4"/>
  <c r="O166" i="4" s="1"/>
  <c r="Q166" i="4" s="1"/>
  <c r="N165" i="4"/>
  <c r="P165" i="4" s="1"/>
  <c r="M165" i="4"/>
  <c r="O165" i="4" s="1"/>
  <c r="Q165" i="4" s="1"/>
  <c r="N164" i="4"/>
  <c r="P164" i="4" s="1"/>
  <c r="M164" i="4"/>
  <c r="O164" i="4" s="1"/>
  <c r="Q164" i="4" s="1"/>
  <c r="N163" i="4"/>
  <c r="P163" i="4" s="1"/>
  <c r="M163" i="4"/>
  <c r="O163" i="4" s="1"/>
  <c r="Q163" i="4" s="1"/>
  <c r="N162" i="4"/>
  <c r="P162" i="4" s="1"/>
  <c r="M162" i="4"/>
  <c r="O162" i="4" s="1"/>
  <c r="Q162" i="4" s="1"/>
  <c r="N161" i="4"/>
  <c r="P161" i="4" s="1"/>
  <c r="M161" i="4"/>
  <c r="O161" i="4" s="1"/>
  <c r="Q161" i="4" s="1"/>
  <c r="N160" i="4"/>
  <c r="P160" i="4" s="1"/>
  <c r="M160" i="4"/>
  <c r="O160" i="4" s="1"/>
  <c r="Q160" i="4" s="1"/>
  <c r="N159" i="4"/>
  <c r="P159" i="4" s="1"/>
  <c r="M159" i="4"/>
  <c r="O159" i="4" s="1"/>
  <c r="Q159" i="4" s="1"/>
  <c r="N158" i="4"/>
  <c r="P158" i="4" s="1"/>
  <c r="M158" i="4"/>
  <c r="O158" i="4" s="1"/>
  <c r="Q158" i="4" s="1"/>
  <c r="N157" i="4"/>
  <c r="P157" i="4" s="1"/>
  <c r="M157" i="4"/>
  <c r="O157" i="4" s="1"/>
  <c r="Q157" i="4" s="1"/>
  <c r="N156" i="4"/>
  <c r="P156" i="4" s="1"/>
  <c r="M156" i="4"/>
  <c r="O156" i="4" s="1"/>
  <c r="Q156" i="4" s="1"/>
  <c r="N155" i="4"/>
  <c r="P155" i="4" s="1"/>
  <c r="M155" i="4"/>
  <c r="O155" i="4" s="1"/>
  <c r="Q155" i="4" s="1"/>
  <c r="N2154" i="3"/>
  <c r="H2154" i="3"/>
  <c r="N2153" i="3"/>
  <c r="N2152" i="3"/>
  <c r="H2152" i="3"/>
  <c r="N2151" i="3"/>
  <c r="N2150" i="3"/>
  <c r="H2150" i="3"/>
  <c r="N2149" i="3"/>
  <c r="N2148" i="3"/>
  <c r="N2147" i="3"/>
  <c r="H2147" i="3"/>
  <c r="C2146" i="3"/>
  <c r="B2146" i="3"/>
  <c r="C2145" i="3"/>
  <c r="B2145" i="3"/>
  <c r="C2144" i="3"/>
  <c r="B2144" i="3"/>
  <c r="C2143" i="3"/>
  <c r="B2143" i="3"/>
  <c r="C2142" i="3"/>
  <c r="B2142" i="3"/>
  <c r="C2141" i="3"/>
  <c r="B2141" i="3"/>
  <c r="C2140" i="3"/>
  <c r="B2140" i="3"/>
  <c r="C2139" i="3"/>
  <c r="B2139" i="3"/>
  <c r="C2138" i="3"/>
  <c r="B2138" i="3"/>
  <c r="C2137" i="3"/>
  <c r="B2137" i="3"/>
  <c r="C2136" i="3"/>
  <c r="B2136" i="3"/>
  <c r="C2100" i="3"/>
  <c r="B2100" i="3"/>
  <c r="C2101" i="3"/>
  <c r="B2101" i="3"/>
  <c r="C2102" i="3"/>
  <c r="B2102" i="3"/>
  <c r="C2103" i="3"/>
  <c r="B2103" i="3"/>
  <c r="C2104" i="3"/>
  <c r="B2104" i="3"/>
  <c r="C2105" i="3"/>
  <c r="B2105" i="3"/>
  <c r="C2106" i="3"/>
  <c r="B2106" i="3"/>
  <c r="C2107" i="3"/>
  <c r="B2107" i="3"/>
  <c r="C2108" i="3"/>
  <c r="B2108" i="3"/>
  <c r="C2109" i="3"/>
  <c r="B2109" i="3"/>
  <c r="C2110" i="3"/>
  <c r="B2110" i="3"/>
  <c r="C2111" i="3"/>
  <c r="B2111" i="3"/>
  <c r="C2112" i="3"/>
  <c r="B2112" i="3"/>
  <c r="C2113" i="3"/>
  <c r="B2113" i="3"/>
  <c r="C2114" i="3"/>
  <c r="B2114" i="3"/>
  <c r="C2115" i="3"/>
  <c r="B2115" i="3"/>
  <c r="C2116" i="3"/>
  <c r="B2116" i="3"/>
  <c r="C2117" i="3"/>
  <c r="B2117" i="3"/>
  <c r="C2118" i="3"/>
  <c r="B2118" i="3"/>
  <c r="C2119" i="3"/>
  <c r="B2119" i="3"/>
  <c r="C2120" i="3"/>
  <c r="B2120" i="3"/>
  <c r="C2121" i="3"/>
  <c r="B2121" i="3"/>
  <c r="C2122" i="3"/>
  <c r="B2122" i="3"/>
  <c r="C2123" i="3"/>
  <c r="B2123" i="3"/>
  <c r="C2124" i="3"/>
  <c r="B2124" i="3"/>
  <c r="C2125" i="3"/>
  <c r="B2125" i="3"/>
  <c r="C2126" i="3"/>
  <c r="B2126" i="3"/>
  <c r="C2127" i="3"/>
  <c r="B2127" i="3"/>
  <c r="C2128" i="3"/>
  <c r="B2128" i="3"/>
  <c r="C2129" i="3"/>
  <c r="B2129" i="3"/>
  <c r="C2130" i="3"/>
  <c r="B2130" i="3"/>
  <c r="C2131" i="3"/>
  <c r="B2131" i="3"/>
  <c r="C2132" i="3"/>
  <c r="B2132" i="3"/>
  <c r="C2133" i="3"/>
  <c r="B2133" i="3"/>
  <c r="C2134" i="3"/>
  <c r="B2134" i="3"/>
  <c r="C2135" i="3"/>
  <c r="B2135" i="3"/>
  <c r="N2083" i="3"/>
  <c r="H2083" i="3"/>
  <c r="N2082" i="3"/>
  <c r="N2081" i="3"/>
  <c r="H2081" i="3"/>
  <c r="N2080" i="3"/>
  <c r="N2079" i="3"/>
  <c r="H2079" i="3"/>
  <c r="N2078" i="3"/>
  <c r="N2077" i="3"/>
  <c r="N2076" i="3"/>
  <c r="H2076" i="3"/>
  <c r="C2075" i="3"/>
  <c r="B2075" i="3"/>
  <c r="C2074" i="3"/>
  <c r="B2074" i="3"/>
  <c r="C2073" i="3"/>
  <c r="B2073" i="3"/>
  <c r="C2072" i="3"/>
  <c r="B2072" i="3"/>
  <c r="C2071" i="3"/>
  <c r="B2071" i="3"/>
  <c r="C2070" i="3"/>
  <c r="B2070" i="3"/>
  <c r="C2069" i="3"/>
  <c r="B2069" i="3"/>
  <c r="C2068" i="3"/>
  <c r="B2068" i="3"/>
  <c r="C2067" i="3"/>
  <c r="B2067" i="3"/>
  <c r="C2066" i="3"/>
  <c r="B2066" i="3"/>
  <c r="C2065" i="3"/>
  <c r="B2065" i="3"/>
  <c r="C2029" i="3"/>
  <c r="B2029" i="3"/>
  <c r="C2030" i="3"/>
  <c r="B2030" i="3"/>
  <c r="C2031" i="3"/>
  <c r="B2031" i="3"/>
  <c r="C2032" i="3"/>
  <c r="B2032" i="3"/>
  <c r="C2033" i="3"/>
  <c r="B2033" i="3"/>
  <c r="C2034" i="3"/>
  <c r="B2034" i="3"/>
  <c r="C2035" i="3"/>
  <c r="B2035" i="3"/>
  <c r="C2036" i="3"/>
  <c r="B2036" i="3"/>
  <c r="C2037" i="3"/>
  <c r="B2037" i="3"/>
  <c r="C2038" i="3"/>
  <c r="B2038" i="3"/>
  <c r="C2039" i="3"/>
  <c r="B2039" i="3"/>
  <c r="C2040" i="3"/>
  <c r="B2040" i="3"/>
  <c r="C2041" i="3"/>
  <c r="B2041" i="3"/>
  <c r="C2042" i="3"/>
  <c r="B2042" i="3"/>
  <c r="C2043" i="3"/>
  <c r="B2043" i="3"/>
  <c r="C2044" i="3"/>
  <c r="B2044" i="3"/>
  <c r="C2045" i="3"/>
  <c r="B2045" i="3"/>
  <c r="C2046" i="3"/>
  <c r="B2046" i="3"/>
  <c r="C2047" i="3"/>
  <c r="B2047" i="3"/>
  <c r="C2048" i="3"/>
  <c r="B2048" i="3"/>
  <c r="C2049" i="3"/>
  <c r="B2049" i="3"/>
  <c r="C2050" i="3"/>
  <c r="B2050" i="3"/>
  <c r="C2051" i="3"/>
  <c r="B2051" i="3"/>
  <c r="C2052" i="3"/>
  <c r="B2052" i="3"/>
  <c r="C2053" i="3"/>
  <c r="B2053" i="3"/>
  <c r="C2054" i="3"/>
  <c r="B2054" i="3"/>
  <c r="C2055" i="3"/>
  <c r="B2055" i="3"/>
  <c r="C2056" i="3"/>
  <c r="B2056" i="3"/>
  <c r="C2057" i="3"/>
  <c r="B2057" i="3"/>
  <c r="C2058" i="3"/>
  <c r="B2058" i="3"/>
  <c r="C2059" i="3"/>
  <c r="B2059" i="3"/>
  <c r="C2060" i="3"/>
  <c r="B2060" i="3"/>
  <c r="C2061" i="3"/>
  <c r="B2061" i="3"/>
  <c r="C2062" i="3"/>
  <c r="B2062" i="3"/>
  <c r="C2063" i="3"/>
  <c r="B2063" i="3"/>
  <c r="C2064" i="3"/>
  <c r="B2064" i="3"/>
  <c r="N2012" i="3"/>
  <c r="H2012" i="3"/>
  <c r="N2011" i="3"/>
  <c r="N2010" i="3"/>
  <c r="H2010" i="3"/>
  <c r="N2009" i="3"/>
  <c r="N2008" i="3"/>
  <c r="H2008" i="3"/>
  <c r="N2007" i="3"/>
  <c r="N2006" i="3"/>
  <c r="N2005" i="3"/>
  <c r="H2005" i="3"/>
  <c r="C2004" i="3"/>
  <c r="B2004" i="3"/>
  <c r="C2003" i="3"/>
  <c r="B2003" i="3"/>
  <c r="C2002" i="3"/>
  <c r="B2002" i="3"/>
  <c r="C2001" i="3"/>
  <c r="B2001" i="3"/>
  <c r="C2000" i="3"/>
  <c r="B2000" i="3"/>
  <c r="C1999" i="3"/>
  <c r="B1999" i="3"/>
  <c r="C1998" i="3"/>
  <c r="B1998" i="3"/>
  <c r="C1997" i="3"/>
  <c r="B1997" i="3"/>
  <c r="C1996" i="3"/>
  <c r="B1996" i="3"/>
  <c r="C1995" i="3"/>
  <c r="B1995" i="3"/>
  <c r="C1994" i="3"/>
  <c r="B1994" i="3"/>
  <c r="C1958" i="3"/>
  <c r="B1958" i="3"/>
  <c r="C1959" i="3"/>
  <c r="B1959" i="3"/>
  <c r="C1960" i="3"/>
  <c r="B1960" i="3"/>
  <c r="C1961" i="3"/>
  <c r="B1961" i="3"/>
  <c r="C1962" i="3"/>
  <c r="B1962" i="3"/>
  <c r="C1963" i="3"/>
  <c r="B1963" i="3"/>
  <c r="C1964" i="3"/>
  <c r="B1964" i="3"/>
  <c r="C1965" i="3"/>
  <c r="B1965" i="3"/>
  <c r="C1966" i="3"/>
  <c r="B1966" i="3"/>
  <c r="C1967" i="3"/>
  <c r="B1967" i="3"/>
  <c r="C1968" i="3"/>
  <c r="B1968" i="3"/>
  <c r="C1969" i="3"/>
  <c r="B1969" i="3"/>
  <c r="C1970" i="3"/>
  <c r="B1970" i="3"/>
  <c r="C1971" i="3"/>
  <c r="B1971" i="3"/>
  <c r="C1972" i="3"/>
  <c r="B1972" i="3"/>
  <c r="C1973" i="3"/>
  <c r="B1973" i="3"/>
  <c r="C1974" i="3"/>
  <c r="B1974" i="3"/>
  <c r="C1975" i="3"/>
  <c r="B1975" i="3"/>
  <c r="C1976" i="3"/>
  <c r="B1976" i="3"/>
  <c r="C1977" i="3"/>
  <c r="B1977" i="3"/>
  <c r="C1978" i="3"/>
  <c r="B1978" i="3"/>
  <c r="C1979" i="3"/>
  <c r="B1979" i="3"/>
  <c r="C1980" i="3"/>
  <c r="B1980" i="3"/>
  <c r="C1981" i="3"/>
  <c r="B1981" i="3"/>
  <c r="C1982" i="3"/>
  <c r="B1982" i="3"/>
  <c r="C1983" i="3"/>
  <c r="B1983" i="3"/>
  <c r="C1984" i="3"/>
  <c r="B1984" i="3"/>
  <c r="C1985" i="3"/>
  <c r="B1985" i="3"/>
  <c r="C1986" i="3"/>
  <c r="B1986" i="3"/>
  <c r="C1987" i="3"/>
  <c r="B1987" i="3"/>
  <c r="C1988" i="3"/>
  <c r="B1988" i="3"/>
  <c r="C1989" i="3"/>
  <c r="B1989" i="3"/>
  <c r="C1990" i="3"/>
  <c r="B1990" i="3"/>
  <c r="C1991" i="3"/>
  <c r="B1991" i="3"/>
  <c r="C1992" i="3"/>
  <c r="B1992" i="3"/>
  <c r="C1993" i="3"/>
  <c r="B1993" i="3"/>
  <c r="N1941" i="3"/>
  <c r="H1941" i="3"/>
  <c r="N1940" i="3"/>
  <c r="N1939" i="3"/>
  <c r="H1939" i="3"/>
  <c r="N1938" i="3"/>
  <c r="N1937" i="3"/>
  <c r="H1937" i="3"/>
  <c r="N1936" i="3"/>
  <c r="N1935" i="3"/>
  <c r="N1934" i="3"/>
  <c r="H1934" i="3"/>
  <c r="C1933" i="3"/>
  <c r="B1933" i="3"/>
  <c r="C1932" i="3"/>
  <c r="B1932" i="3"/>
  <c r="C1931" i="3"/>
  <c r="B1931" i="3"/>
  <c r="C1930" i="3"/>
  <c r="B1930" i="3"/>
  <c r="C1929" i="3"/>
  <c r="B1929" i="3"/>
  <c r="C1928" i="3"/>
  <c r="B1928" i="3"/>
  <c r="C1927" i="3"/>
  <c r="B1927" i="3"/>
  <c r="C1926" i="3"/>
  <c r="B1926" i="3"/>
  <c r="C1925" i="3"/>
  <c r="B1925" i="3"/>
  <c r="C1924" i="3"/>
  <c r="B1924" i="3"/>
  <c r="C1923" i="3"/>
  <c r="B1923" i="3"/>
  <c r="C1887" i="3"/>
  <c r="B1887" i="3"/>
  <c r="C1888" i="3"/>
  <c r="B1888" i="3"/>
  <c r="C1889" i="3"/>
  <c r="B1889" i="3"/>
  <c r="C1890" i="3"/>
  <c r="B1890" i="3"/>
  <c r="C1891" i="3"/>
  <c r="B1891" i="3"/>
  <c r="C1892" i="3"/>
  <c r="B1892" i="3"/>
  <c r="C1893" i="3"/>
  <c r="B1893" i="3"/>
  <c r="C1894" i="3"/>
  <c r="B1894" i="3"/>
  <c r="C1895" i="3"/>
  <c r="B1895" i="3"/>
  <c r="C1896" i="3"/>
  <c r="B1896" i="3"/>
  <c r="C1897" i="3"/>
  <c r="B1897" i="3"/>
  <c r="C1898" i="3"/>
  <c r="B1898" i="3"/>
  <c r="C1899" i="3"/>
  <c r="B1899" i="3"/>
  <c r="C1900" i="3"/>
  <c r="B1900" i="3"/>
  <c r="C1901" i="3"/>
  <c r="B1901" i="3"/>
  <c r="C1902" i="3"/>
  <c r="B1902" i="3"/>
  <c r="C1903" i="3"/>
  <c r="B1903" i="3"/>
  <c r="C1904" i="3"/>
  <c r="B1904" i="3"/>
  <c r="C1905" i="3"/>
  <c r="B1905" i="3"/>
  <c r="C1906" i="3"/>
  <c r="B1906" i="3"/>
  <c r="C1907" i="3"/>
  <c r="B1907" i="3"/>
  <c r="C1908" i="3"/>
  <c r="B1908" i="3"/>
  <c r="C1909" i="3"/>
  <c r="B1909" i="3"/>
  <c r="C1910" i="3"/>
  <c r="B1910" i="3"/>
  <c r="C1911" i="3"/>
  <c r="B1911" i="3"/>
  <c r="C1912" i="3"/>
  <c r="B1912" i="3"/>
  <c r="C1913" i="3"/>
  <c r="B1913" i="3"/>
  <c r="C1914" i="3"/>
  <c r="B1914" i="3"/>
  <c r="C1915" i="3"/>
  <c r="B1915" i="3"/>
  <c r="C1916" i="3"/>
  <c r="B1916" i="3"/>
  <c r="C1917" i="3"/>
  <c r="B1917" i="3"/>
  <c r="C1918" i="3"/>
  <c r="B1918" i="3"/>
  <c r="C1919" i="3"/>
  <c r="B1919" i="3"/>
  <c r="C1920" i="3"/>
  <c r="B1920" i="3"/>
  <c r="C1921" i="3"/>
  <c r="B1921" i="3"/>
  <c r="C1922" i="3"/>
  <c r="B1922" i="3"/>
  <c r="N1870" i="3"/>
  <c r="H1870" i="3"/>
  <c r="N1869" i="3"/>
  <c r="N1868" i="3"/>
  <c r="H1868" i="3"/>
  <c r="N1867" i="3"/>
  <c r="N1866" i="3"/>
  <c r="H1866" i="3"/>
  <c r="N1865" i="3"/>
  <c r="N1864" i="3"/>
  <c r="N1863" i="3"/>
  <c r="H1863" i="3"/>
  <c r="C1862" i="3"/>
  <c r="B1862" i="3"/>
  <c r="C1861" i="3"/>
  <c r="B1861" i="3"/>
  <c r="C1860" i="3"/>
  <c r="B1860" i="3"/>
  <c r="C1859" i="3"/>
  <c r="B1859" i="3"/>
  <c r="C1858" i="3"/>
  <c r="B1858" i="3"/>
  <c r="C1857" i="3"/>
  <c r="B1857" i="3"/>
  <c r="C1856" i="3"/>
  <c r="B1856" i="3"/>
  <c r="C1855" i="3"/>
  <c r="B1855" i="3"/>
  <c r="C1854" i="3"/>
  <c r="B1854" i="3"/>
  <c r="C1853" i="3"/>
  <c r="B1853" i="3"/>
  <c r="C1852" i="3"/>
  <c r="B1852" i="3"/>
  <c r="C1816" i="3"/>
  <c r="B1816" i="3"/>
  <c r="C1817" i="3"/>
  <c r="B1817" i="3"/>
  <c r="C1818" i="3"/>
  <c r="B1818" i="3"/>
  <c r="C1819" i="3"/>
  <c r="B1819" i="3"/>
  <c r="C1820" i="3"/>
  <c r="B1820" i="3"/>
  <c r="C1821" i="3"/>
  <c r="B1821" i="3"/>
  <c r="C1822" i="3"/>
  <c r="B1822" i="3"/>
  <c r="C1823" i="3"/>
  <c r="B1823" i="3"/>
  <c r="C1824" i="3"/>
  <c r="B1824" i="3"/>
  <c r="C1825" i="3"/>
  <c r="B1825" i="3"/>
  <c r="C1826" i="3"/>
  <c r="B1826" i="3"/>
  <c r="C1827" i="3"/>
  <c r="B1827" i="3"/>
  <c r="C1828" i="3"/>
  <c r="B1828" i="3"/>
  <c r="C1829" i="3"/>
  <c r="B1829" i="3"/>
  <c r="C1830" i="3"/>
  <c r="B1830" i="3"/>
  <c r="C1831" i="3"/>
  <c r="B1831" i="3"/>
  <c r="C1832" i="3"/>
  <c r="B1832" i="3"/>
  <c r="C1833" i="3"/>
  <c r="B1833" i="3"/>
  <c r="C1834" i="3"/>
  <c r="B1834" i="3"/>
  <c r="C1835" i="3"/>
  <c r="B1835" i="3"/>
  <c r="C1836" i="3"/>
  <c r="B1836" i="3"/>
  <c r="C1837" i="3"/>
  <c r="B1837" i="3"/>
  <c r="C1838" i="3"/>
  <c r="B1838" i="3"/>
  <c r="C1839" i="3"/>
  <c r="B1839" i="3"/>
  <c r="C1840" i="3"/>
  <c r="B1840" i="3"/>
  <c r="C1841" i="3"/>
  <c r="B1841" i="3"/>
  <c r="C1842" i="3"/>
  <c r="B1842" i="3"/>
  <c r="C1843" i="3"/>
  <c r="B1843" i="3"/>
  <c r="C1844" i="3"/>
  <c r="B1844" i="3"/>
  <c r="C1845" i="3"/>
  <c r="B1845" i="3"/>
  <c r="C1846" i="3"/>
  <c r="B1846" i="3"/>
  <c r="C1847" i="3"/>
  <c r="B1847" i="3"/>
  <c r="C1848" i="3"/>
  <c r="B1848" i="3"/>
  <c r="C1849" i="3"/>
  <c r="B1849" i="3"/>
  <c r="C1850" i="3"/>
  <c r="B1850" i="3"/>
  <c r="C1851" i="3"/>
  <c r="B1851" i="3"/>
  <c r="N1799" i="3"/>
  <c r="H1799" i="3"/>
  <c r="N1798" i="3"/>
  <c r="N1797" i="3"/>
  <c r="H1797" i="3"/>
  <c r="N1796" i="3"/>
  <c r="N1795" i="3"/>
  <c r="H1795" i="3"/>
  <c r="N1794" i="3"/>
  <c r="N1793" i="3"/>
  <c r="N1792" i="3"/>
  <c r="H1792" i="3"/>
  <c r="C1791" i="3"/>
  <c r="B1791" i="3"/>
  <c r="C1790" i="3"/>
  <c r="B1790" i="3"/>
  <c r="C1789" i="3"/>
  <c r="B1789" i="3"/>
  <c r="C1788" i="3"/>
  <c r="B1788" i="3"/>
  <c r="C1787" i="3"/>
  <c r="B1787" i="3"/>
  <c r="C1786" i="3"/>
  <c r="B1786" i="3"/>
  <c r="C1785" i="3"/>
  <c r="B1785" i="3"/>
  <c r="C1784" i="3"/>
  <c r="B1784" i="3"/>
  <c r="C1783" i="3"/>
  <c r="B1783" i="3"/>
  <c r="C1782" i="3"/>
  <c r="B1782" i="3"/>
  <c r="C1781" i="3"/>
  <c r="B1781" i="3"/>
  <c r="C1745" i="3"/>
  <c r="B1745" i="3"/>
  <c r="C1746" i="3"/>
  <c r="B1746" i="3"/>
  <c r="C1747" i="3"/>
  <c r="B1747" i="3"/>
  <c r="C1748" i="3"/>
  <c r="B1748" i="3"/>
  <c r="C1749" i="3"/>
  <c r="B1749" i="3"/>
  <c r="C1750" i="3"/>
  <c r="B1750" i="3"/>
  <c r="C1751" i="3"/>
  <c r="B1751" i="3"/>
  <c r="C1752" i="3"/>
  <c r="B1752" i="3"/>
  <c r="C1753" i="3"/>
  <c r="B1753" i="3"/>
  <c r="C1754" i="3"/>
  <c r="B1754" i="3"/>
  <c r="C1755" i="3"/>
  <c r="B1755" i="3"/>
  <c r="C1756" i="3"/>
  <c r="B1756" i="3"/>
  <c r="C1757" i="3"/>
  <c r="B1757" i="3"/>
  <c r="C1758" i="3"/>
  <c r="B1758" i="3"/>
  <c r="C1759" i="3"/>
  <c r="B1759" i="3"/>
  <c r="C1760" i="3"/>
  <c r="B1760" i="3"/>
  <c r="C1761" i="3"/>
  <c r="B1761" i="3"/>
  <c r="C1762" i="3"/>
  <c r="B1762" i="3"/>
  <c r="C1763" i="3"/>
  <c r="B1763" i="3"/>
  <c r="C1764" i="3"/>
  <c r="B1764" i="3"/>
  <c r="C1765" i="3"/>
  <c r="B1765" i="3"/>
  <c r="C1766" i="3"/>
  <c r="B1766" i="3"/>
  <c r="C1767" i="3"/>
  <c r="B1767" i="3"/>
  <c r="C1768" i="3"/>
  <c r="B1768" i="3"/>
  <c r="C1769" i="3"/>
  <c r="B1769" i="3"/>
  <c r="C1770" i="3"/>
  <c r="B1770" i="3"/>
  <c r="C1771" i="3"/>
  <c r="B1771" i="3"/>
  <c r="C1772" i="3"/>
  <c r="B1772" i="3"/>
  <c r="C1773" i="3"/>
  <c r="B1773" i="3"/>
  <c r="C1774" i="3"/>
  <c r="B1774" i="3"/>
  <c r="C1775" i="3"/>
  <c r="B1775" i="3"/>
  <c r="C1776" i="3"/>
  <c r="B1776" i="3"/>
  <c r="C1777" i="3"/>
  <c r="B1777" i="3"/>
  <c r="C1778" i="3"/>
  <c r="B1778" i="3"/>
  <c r="C1779" i="3"/>
  <c r="B1779" i="3"/>
  <c r="C1780" i="3"/>
  <c r="B1780" i="3"/>
  <c r="N1728" i="3"/>
  <c r="H1728" i="3"/>
  <c r="N1727" i="3"/>
  <c r="N1726" i="3"/>
  <c r="H1726" i="3"/>
  <c r="N1725" i="3"/>
  <c r="N1724" i="3"/>
  <c r="H1724" i="3"/>
  <c r="N1723" i="3"/>
  <c r="N1722" i="3"/>
  <c r="N1721" i="3"/>
  <c r="H1721" i="3"/>
  <c r="C1720" i="3"/>
  <c r="B1720" i="3"/>
  <c r="C1719" i="3"/>
  <c r="B1719" i="3"/>
  <c r="C1718" i="3"/>
  <c r="B1718" i="3"/>
  <c r="C1717" i="3"/>
  <c r="B1717" i="3"/>
  <c r="C1716" i="3"/>
  <c r="B1716" i="3"/>
  <c r="C1715" i="3"/>
  <c r="B1715" i="3"/>
  <c r="C1714" i="3"/>
  <c r="B1714" i="3"/>
  <c r="C1713" i="3"/>
  <c r="B1713" i="3"/>
  <c r="C1712" i="3"/>
  <c r="B1712" i="3"/>
  <c r="C1711" i="3"/>
  <c r="B1711" i="3"/>
  <c r="C1710" i="3"/>
  <c r="B1710" i="3"/>
  <c r="C1674" i="3"/>
  <c r="B1674" i="3"/>
  <c r="C1675" i="3"/>
  <c r="B1675" i="3"/>
  <c r="C1676" i="3"/>
  <c r="B1676" i="3"/>
  <c r="C1677" i="3"/>
  <c r="B1677" i="3"/>
  <c r="C1678" i="3"/>
  <c r="B1678" i="3"/>
  <c r="C1679" i="3"/>
  <c r="B1679" i="3"/>
  <c r="C1680" i="3"/>
  <c r="B1680" i="3"/>
  <c r="C1681" i="3"/>
  <c r="B1681" i="3"/>
  <c r="C1682" i="3"/>
  <c r="B1682" i="3"/>
  <c r="C1683" i="3"/>
  <c r="B1683" i="3"/>
  <c r="C1684" i="3"/>
  <c r="B1684" i="3"/>
  <c r="C1685" i="3"/>
  <c r="B1685" i="3"/>
  <c r="C1686" i="3"/>
  <c r="B1686" i="3"/>
  <c r="C1687" i="3"/>
  <c r="B1687" i="3"/>
  <c r="C1688" i="3"/>
  <c r="B1688" i="3"/>
  <c r="C1689" i="3"/>
  <c r="B1689" i="3"/>
  <c r="C1690" i="3"/>
  <c r="B1690" i="3"/>
  <c r="C1691" i="3"/>
  <c r="B1691" i="3"/>
  <c r="C1692" i="3"/>
  <c r="B1692" i="3"/>
  <c r="C1693" i="3"/>
  <c r="B1693" i="3"/>
  <c r="C1694" i="3"/>
  <c r="B1694" i="3"/>
  <c r="C1695" i="3"/>
  <c r="B1695" i="3"/>
  <c r="C1696" i="3"/>
  <c r="B1696" i="3"/>
  <c r="C1697" i="3"/>
  <c r="B1697" i="3"/>
  <c r="C1698" i="3"/>
  <c r="B1698" i="3"/>
  <c r="C1699" i="3"/>
  <c r="B1699" i="3"/>
  <c r="C1700" i="3"/>
  <c r="B1700" i="3"/>
  <c r="C1701" i="3"/>
  <c r="B1701" i="3"/>
  <c r="C1702" i="3"/>
  <c r="B1702" i="3"/>
  <c r="C1703" i="3"/>
  <c r="B1703" i="3"/>
  <c r="C1704" i="3"/>
  <c r="B1704" i="3"/>
  <c r="C1705" i="3"/>
  <c r="B1705" i="3"/>
  <c r="C1706" i="3"/>
  <c r="B1706" i="3"/>
  <c r="C1707" i="3"/>
  <c r="B1707" i="3"/>
  <c r="C1708" i="3"/>
  <c r="B1708" i="3"/>
  <c r="C1709" i="3"/>
  <c r="B1709" i="3"/>
  <c r="N1657" i="3"/>
  <c r="H1657" i="3"/>
  <c r="N1656" i="3"/>
  <c r="N1655" i="3"/>
  <c r="H1655" i="3"/>
  <c r="N1654" i="3"/>
  <c r="N1653" i="3"/>
  <c r="H1653" i="3"/>
  <c r="N1652" i="3"/>
  <c r="N1651" i="3"/>
  <c r="N1650" i="3"/>
  <c r="H1650" i="3"/>
  <c r="C1649" i="3"/>
  <c r="B1649" i="3"/>
  <c r="C1648" i="3"/>
  <c r="B1648" i="3"/>
  <c r="C1647" i="3"/>
  <c r="B1647" i="3"/>
  <c r="C1646" i="3"/>
  <c r="B1646" i="3"/>
  <c r="C1645" i="3"/>
  <c r="B1645" i="3"/>
  <c r="C1644" i="3"/>
  <c r="B1644" i="3"/>
  <c r="C1643" i="3"/>
  <c r="B1643" i="3"/>
  <c r="C1642" i="3"/>
  <c r="B1642" i="3"/>
  <c r="C1641" i="3"/>
  <c r="B1641" i="3"/>
  <c r="C1640" i="3"/>
  <c r="B1640" i="3"/>
  <c r="C1639" i="3"/>
  <c r="B1639" i="3"/>
  <c r="C1603" i="3"/>
  <c r="B1603" i="3"/>
  <c r="C1604" i="3"/>
  <c r="B1604" i="3"/>
  <c r="C1605" i="3"/>
  <c r="B1605" i="3"/>
  <c r="C1606" i="3"/>
  <c r="B1606" i="3"/>
  <c r="C1607" i="3"/>
  <c r="B1607" i="3"/>
  <c r="C1608" i="3"/>
  <c r="B1608" i="3"/>
  <c r="C1609" i="3"/>
  <c r="B1609" i="3"/>
  <c r="C1610" i="3"/>
  <c r="B1610" i="3"/>
  <c r="C1611" i="3"/>
  <c r="B1611" i="3"/>
  <c r="C1612" i="3"/>
  <c r="B1612" i="3"/>
  <c r="C1613" i="3"/>
  <c r="B1613" i="3"/>
  <c r="C1614" i="3"/>
  <c r="B1614" i="3"/>
  <c r="C1615" i="3"/>
  <c r="B1615" i="3"/>
  <c r="C1616" i="3"/>
  <c r="B1616" i="3"/>
  <c r="C1617" i="3"/>
  <c r="B1617" i="3"/>
  <c r="C1618" i="3"/>
  <c r="B1618" i="3"/>
  <c r="C1619" i="3"/>
  <c r="B1619" i="3"/>
  <c r="C1620" i="3"/>
  <c r="B1620" i="3"/>
  <c r="C1621" i="3"/>
  <c r="B1621" i="3"/>
  <c r="C1622" i="3"/>
  <c r="B1622" i="3"/>
  <c r="C1623" i="3"/>
  <c r="B1623" i="3"/>
  <c r="C1624" i="3"/>
  <c r="B1624" i="3"/>
  <c r="C1625" i="3"/>
  <c r="B1625" i="3"/>
  <c r="C1626" i="3"/>
  <c r="B1626" i="3"/>
  <c r="C1627" i="3"/>
  <c r="B1627" i="3"/>
  <c r="C1628" i="3"/>
  <c r="B1628" i="3"/>
  <c r="C1629" i="3"/>
  <c r="B1629" i="3"/>
  <c r="C1630" i="3"/>
  <c r="B1630" i="3"/>
  <c r="C1631" i="3"/>
  <c r="B1631" i="3"/>
  <c r="C1632" i="3"/>
  <c r="B1632" i="3"/>
  <c r="C1633" i="3"/>
  <c r="B1633" i="3"/>
  <c r="C1634" i="3"/>
  <c r="B1634" i="3"/>
  <c r="C1635" i="3"/>
  <c r="B1635" i="3"/>
  <c r="C1636" i="3"/>
  <c r="B1636" i="3"/>
  <c r="C1637" i="3"/>
  <c r="B1637" i="3"/>
  <c r="C1638" i="3"/>
  <c r="B1638" i="3"/>
  <c r="N1586" i="3"/>
  <c r="H1586" i="3"/>
  <c r="N1585" i="3"/>
  <c r="N1584" i="3"/>
  <c r="H1584" i="3"/>
  <c r="N1583" i="3"/>
  <c r="N1582" i="3"/>
  <c r="H1582" i="3"/>
  <c r="N1581" i="3"/>
  <c r="N1580" i="3"/>
  <c r="N1579" i="3"/>
  <c r="H1579" i="3"/>
  <c r="C1578" i="3"/>
  <c r="B1578" i="3"/>
  <c r="C1577" i="3"/>
  <c r="B1577" i="3"/>
  <c r="C1576" i="3"/>
  <c r="B1576" i="3"/>
  <c r="C1575" i="3"/>
  <c r="B1575" i="3"/>
  <c r="C1574" i="3"/>
  <c r="B1574" i="3"/>
  <c r="C1573" i="3"/>
  <c r="B1573" i="3"/>
  <c r="C1572" i="3"/>
  <c r="B1572" i="3"/>
  <c r="C1571" i="3"/>
  <c r="B1571" i="3"/>
  <c r="C1570" i="3"/>
  <c r="B1570" i="3"/>
  <c r="C1569" i="3"/>
  <c r="B1569" i="3"/>
  <c r="C1568" i="3"/>
  <c r="B1568" i="3"/>
  <c r="C1532" i="3"/>
  <c r="B1532" i="3"/>
  <c r="C1533" i="3"/>
  <c r="B1533" i="3"/>
  <c r="C1534" i="3"/>
  <c r="B1534" i="3"/>
  <c r="C1535" i="3"/>
  <c r="B1535" i="3"/>
  <c r="C1536" i="3"/>
  <c r="B1536" i="3"/>
  <c r="C1537" i="3"/>
  <c r="B1537" i="3"/>
  <c r="C1538" i="3"/>
  <c r="B1538" i="3"/>
  <c r="C1539" i="3"/>
  <c r="B1539" i="3"/>
  <c r="C1540" i="3"/>
  <c r="B1540" i="3"/>
  <c r="C1541" i="3"/>
  <c r="B1541" i="3"/>
  <c r="C1542" i="3"/>
  <c r="B1542" i="3"/>
  <c r="C1543" i="3"/>
  <c r="B1543" i="3"/>
  <c r="C1544" i="3"/>
  <c r="B1544" i="3"/>
  <c r="C1545" i="3"/>
  <c r="B1545" i="3"/>
  <c r="C1546" i="3"/>
  <c r="B1546" i="3"/>
  <c r="C1547" i="3"/>
  <c r="B1547" i="3"/>
  <c r="C1548" i="3"/>
  <c r="B1548" i="3"/>
  <c r="C1549" i="3"/>
  <c r="B1549" i="3"/>
  <c r="C1550" i="3"/>
  <c r="B1550" i="3"/>
  <c r="C1551" i="3"/>
  <c r="B1551" i="3"/>
  <c r="C1552" i="3"/>
  <c r="B1552" i="3"/>
  <c r="C1553" i="3"/>
  <c r="B1553" i="3"/>
  <c r="C1554" i="3"/>
  <c r="B1554" i="3"/>
  <c r="C1555" i="3"/>
  <c r="B1555" i="3"/>
  <c r="C1556" i="3"/>
  <c r="B1556" i="3"/>
  <c r="C1557" i="3"/>
  <c r="B1557" i="3"/>
  <c r="C1558" i="3"/>
  <c r="B1558" i="3"/>
  <c r="C1559" i="3"/>
  <c r="B1559" i="3"/>
  <c r="C1560" i="3"/>
  <c r="B1560" i="3"/>
  <c r="C1561" i="3"/>
  <c r="B1561" i="3"/>
  <c r="C1562" i="3"/>
  <c r="B1562" i="3"/>
  <c r="C1563" i="3"/>
  <c r="B1563" i="3"/>
  <c r="C1564" i="3"/>
  <c r="B1564" i="3"/>
  <c r="C1565" i="3"/>
  <c r="B1565" i="3"/>
  <c r="C1566" i="3"/>
  <c r="B1566" i="3"/>
  <c r="C1567" i="3"/>
  <c r="B1567" i="3"/>
  <c r="N1515" i="3"/>
  <c r="H1515" i="3"/>
  <c r="N1514" i="3"/>
  <c r="N1513" i="3"/>
  <c r="H1513" i="3"/>
  <c r="N1512" i="3"/>
  <c r="N1511" i="3"/>
  <c r="H1511" i="3"/>
  <c r="N1510" i="3"/>
  <c r="N1509" i="3"/>
  <c r="N1508" i="3"/>
  <c r="H1508" i="3"/>
  <c r="C1507" i="3"/>
  <c r="B1507" i="3"/>
  <c r="C1506" i="3"/>
  <c r="B1506" i="3"/>
  <c r="C1505" i="3"/>
  <c r="B1505" i="3"/>
  <c r="C1504" i="3"/>
  <c r="B1504" i="3"/>
  <c r="C1503" i="3"/>
  <c r="B1503" i="3"/>
  <c r="C1502" i="3"/>
  <c r="B1502" i="3"/>
  <c r="C1501" i="3"/>
  <c r="B1501" i="3"/>
  <c r="C1500" i="3"/>
  <c r="B1500" i="3"/>
  <c r="C1499" i="3"/>
  <c r="B1499" i="3"/>
  <c r="C1498" i="3"/>
  <c r="B1498" i="3"/>
  <c r="C1497" i="3"/>
  <c r="B1497" i="3"/>
  <c r="C1461" i="3"/>
  <c r="B1461" i="3"/>
  <c r="C1462" i="3"/>
  <c r="B1462" i="3"/>
  <c r="C1463" i="3"/>
  <c r="B1463" i="3"/>
  <c r="C1464" i="3"/>
  <c r="B1464" i="3"/>
  <c r="C1465" i="3"/>
  <c r="B1465" i="3"/>
  <c r="C1466" i="3"/>
  <c r="B1466" i="3"/>
  <c r="C1467" i="3"/>
  <c r="B1467" i="3"/>
  <c r="C1468" i="3"/>
  <c r="B1468" i="3"/>
  <c r="C1469" i="3"/>
  <c r="B1469" i="3"/>
  <c r="C1470" i="3"/>
  <c r="B1470" i="3"/>
  <c r="C1471" i="3"/>
  <c r="B1471" i="3"/>
  <c r="C1472" i="3"/>
  <c r="B1472" i="3"/>
  <c r="C1473" i="3"/>
  <c r="B1473" i="3"/>
  <c r="C1474" i="3"/>
  <c r="B1474" i="3"/>
  <c r="C1475" i="3"/>
  <c r="B1475" i="3"/>
  <c r="C1476" i="3"/>
  <c r="B1476" i="3"/>
  <c r="C1477" i="3"/>
  <c r="B1477" i="3"/>
  <c r="C1478" i="3"/>
  <c r="B1478" i="3"/>
  <c r="C1479" i="3"/>
  <c r="B1479" i="3"/>
  <c r="C1480" i="3"/>
  <c r="B1480" i="3"/>
  <c r="C1481" i="3"/>
  <c r="B1481" i="3"/>
  <c r="C1482" i="3"/>
  <c r="B1482" i="3"/>
  <c r="C1483" i="3"/>
  <c r="B1483" i="3"/>
  <c r="C1484" i="3"/>
  <c r="B1484" i="3"/>
  <c r="C1485" i="3"/>
  <c r="B1485" i="3"/>
  <c r="C1486" i="3"/>
  <c r="B1486" i="3"/>
  <c r="C1487" i="3"/>
  <c r="B1487" i="3"/>
  <c r="C1488" i="3"/>
  <c r="B1488" i="3"/>
  <c r="C1489" i="3"/>
  <c r="B1489" i="3"/>
  <c r="C1490" i="3"/>
  <c r="B1490" i="3"/>
  <c r="C1491" i="3"/>
  <c r="B1491" i="3"/>
  <c r="C1492" i="3"/>
  <c r="B1492" i="3"/>
  <c r="C1493" i="3"/>
  <c r="B1493" i="3"/>
  <c r="C1494" i="3"/>
  <c r="B1494" i="3"/>
  <c r="C1495" i="3"/>
  <c r="B1495" i="3"/>
  <c r="C1496" i="3"/>
  <c r="B1496" i="3"/>
  <c r="N1444" i="3"/>
  <c r="H1444" i="3"/>
  <c r="N1443" i="3"/>
  <c r="N1442" i="3"/>
  <c r="H1442" i="3"/>
  <c r="N1441" i="3"/>
  <c r="N1440" i="3"/>
  <c r="H1440" i="3"/>
  <c r="N1439" i="3"/>
  <c r="N1438" i="3"/>
  <c r="N1437" i="3"/>
  <c r="H1437" i="3"/>
  <c r="C1436" i="3"/>
  <c r="B1436" i="3"/>
  <c r="C1435" i="3"/>
  <c r="B1435" i="3"/>
  <c r="C1434" i="3"/>
  <c r="B1434" i="3"/>
  <c r="C1433" i="3"/>
  <c r="B1433" i="3"/>
  <c r="C1432" i="3"/>
  <c r="B1432" i="3"/>
  <c r="C1431" i="3"/>
  <c r="B1431" i="3"/>
  <c r="C1430" i="3"/>
  <c r="B1430" i="3"/>
  <c r="C1429" i="3"/>
  <c r="B1429" i="3"/>
  <c r="C1428" i="3"/>
  <c r="B1428" i="3"/>
  <c r="C1427" i="3"/>
  <c r="B1427" i="3"/>
  <c r="C1426" i="3"/>
  <c r="B1426" i="3"/>
  <c r="C1390" i="3"/>
  <c r="B1390" i="3"/>
  <c r="C1391" i="3"/>
  <c r="B1391" i="3"/>
  <c r="C1392" i="3"/>
  <c r="B1392" i="3"/>
  <c r="C1393" i="3"/>
  <c r="B1393" i="3"/>
  <c r="C1394" i="3"/>
  <c r="B1394" i="3"/>
  <c r="C1395" i="3"/>
  <c r="B1395" i="3"/>
  <c r="C1396" i="3"/>
  <c r="B1396" i="3"/>
  <c r="C1397" i="3"/>
  <c r="B1397" i="3"/>
  <c r="C1398" i="3"/>
  <c r="B1398" i="3"/>
  <c r="C1399" i="3"/>
  <c r="B1399" i="3"/>
  <c r="C1400" i="3"/>
  <c r="B1400" i="3"/>
  <c r="C1401" i="3"/>
  <c r="B1401" i="3"/>
  <c r="C1402" i="3"/>
  <c r="B1402" i="3"/>
  <c r="C1403" i="3"/>
  <c r="B1403" i="3"/>
  <c r="C1404" i="3"/>
  <c r="B1404" i="3"/>
  <c r="C1405" i="3"/>
  <c r="B1405" i="3"/>
  <c r="C1406" i="3"/>
  <c r="B1406" i="3"/>
  <c r="C1407" i="3"/>
  <c r="B1407" i="3"/>
  <c r="C1408" i="3"/>
  <c r="B1408" i="3"/>
  <c r="C1409" i="3"/>
  <c r="B1409" i="3"/>
  <c r="C1410" i="3"/>
  <c r="B1410" i="3"/>
  <c r="C1411" i="3"/>
  <c r="B1411" i="3"/>
  <c r="C1412" i="3"/>
  <c r="B1412" i="3"/>
  <c r="C1413" i="3"/>
  <c r="B1413" i="3"/>
  <c r="C1414" i="3"/>
  <c r="B1414" i="3"/>
  <c r="C1415" i="3"/>
  <c r="B1415" i="3"/>
  <c r="C1416" i="3"/>
  <c r="B1416" i="3"/>
  <c r="C1417" i="3"/>
  <c r="B1417" i="3"/>
  <c r="C1418" i="3"/>
  <c r="B1418" i="3"/>
  <c r="C1419" i="3"/>
  <c r="B1419" i="3"/>
  <c r="C1420" i="3"/>
  <c r="B1420" i="3"/>
  <c r="C1421" i="3"/>
  <c r="B1421" i="3"/>
  <c r="C1422" i="3"/>
  <c r="B1422" i="3"/>
  <c r="C1423" i="3"/>
  <c r="B1423" i="3"/>
  <c r="C1424" i="3"/>
  <c r="B1424" i="3"/>
  <c r="C1425" i="3"/>
  <c r="B1425" i="3"/>
  <c r="N909" i="3"/>
  <c r="H909" i="3"/>
  <c r="N908" i="3"/>
  <c r="N907" i="3"/>
  <c r="H907" i="3"/>
  <c r="N906" i="3"/>
  <c r="N905" i="3"/>
  <c r="H905" i="3"/>
  <c r="N904" i="3"/>
  <c r="N903" i="3"/>
  <c r="N902" i="3"/>
  <c r="H902" i="3"/>
  <c r="C901" i="3"/>
  <c r="B901" i="3"/>
  <c r="C900" i="3"/>
  <c r="B900" i="3"/>
  <c r="C899" i="3"/>
  <c r="B899" i="3"/>
  <c r="C898" i="3"/>
  <c r="B898" i="3"/>
  <c r="C897" i="3"/>
  <c r="B897" i="3"/>
  <c r="C896" i="3"/>
  <c r="B896" i="3"/>
  <c r="C895" i="3"/>
  <c r="B895" i="3"/>
  <c r="C894" i="3"/>
  <c r="B894" i="3"/>
  <c r="C893" i="3"/>
  <c r="B893" i="3"/>
  <c r="C892" i="3"/>
  <c r="B892" i="3"/>
  <c r="C891" i="3"/>
  <c r="B891" i="3"/>
  <c r="C855" i="3"/>
  <c r="B855" i="3"/>
  <c r="C856" i="3"/>
  <c r="B856" i="3"/>
  <c r="C857" i="3"/>
  <c r="B857" i="3"/>
  <c r="C858" i="3"/>
  <c r="B858" i="3"/>
  <c r="C859" i="3"/>
  <c r="B859" i="3"/>
  <c r="C860" i="3"/>
  <c r="B860" i="3"/>
  <c r="C861" i="3"/>
  <c r="B861" i="3"/>
  <c r="C862" i="3"/>
  <c r="B862" i="3"/>
  <c r="C863" i="3"/>
  <c r="B863" i="3"/>
  <c r="C864" i="3"/>
  <c r="B864" i="3"/>
  <c r="C865" i="3"/>
  <c r="B865" i="3"/>
  <c r="C866" i="3"/>
  <c r="B866" i="3"/>
  <c r="C867" i="3"/>
  <c r="B867" i="3"/>
  <c r="C868" i="3"/>
  <c r="B868" i="3"/>
  <c r="C869" i="3"/>
  <c r="B869" i="3"/>
  <c r="C870" i="3"/>
  <c r="B870" i="3"/>
  <c r="C871" i="3"/>
  <c r="B871" i="3"/>
  <c r="C872" i="3"/>
  <c r="B872" i="3"/>
  <c r="C873" i="3"/>
  <c r="B873" i="3"/>
  <c r="C874" i="3"/>
  <c r="B874" i="3"/>
  <c r="C875" i="3"/>
  <c r="B875" i="3"/>
  <c r="C876" i="3"/>
  <c r="B876" i="3"/>
  <c r="C877" i="3"/>
  <c r="B877" i="3"/>
  <c r="C878" i="3"/>
  <c r="B878" i="3"/>
  <c r="C879" i="3"/>
  <c r="B879" i="3"/>
  <c r="C880" i="3"/>
  <c r="B880" i="3"/>
  <c r="C881" i="3"/>
  <c r="B881" i="3"/>
  <c r="C882" i="3"/>
  <c r="B882" i="3"/>
  <c r="C883" i="3"/>
  <c r="B883" i="3"/>
  <c r="C884" i="3"/>
  <c r="B884" i="3"/>
  <c r="C885" i="3"/>
  <c r="B885" i="3"/>
  <c r="C886" i="3"/>
  <c r="B886" i="3"/>
  <c r="C887" i="3"/>
  <c r="B887" i="3"/>
  <c r="C888" i="3"/>
  <c r="B888" i="3"/>
  <c r="N838" i="3"/>
  <c r="H838" i="3"/>
  <c r="N837" i="3"/>
  <c r="N836" i="3"/>
  <c r="H836" i="3"/>
  <c r="N835" i="3"/>
  <c r="N834" i="3"/>
  <c r="H834" i="3"/>
  <c r="N833" i="3"/>
  <c r="N832" i="3"/>
  <c r="N831" i="3"/>
  <c r="H831" i="3"/>
  <c r="C830" i="3"/>
  <c r="B830" i="3"/>
  <c r="C829" i="3"/>
  <c r="B829" i="3"/>
  <c r="C828" i="3"/>
  <c r="B828" i="3"/>
  <c r="C827" i="3"/>
  <c r="B827" i="3"/>
  <c r="C826" i="3"/>
  <c r="B826" i="3"/>
  <c r="C825" i="3"/>
  <c r="B825" i="3"/>
  <c r="C824" i="3"/>
  <c r="B824" i="3"/>
  <c r="C823" i="3"/>
  <c r="B823" i="3"/>
  <c r="C822" i="3"/>
  <c r="B822" i="3"/>
  <c r="C821" i="3"/>
  <c r="B821" i="3"/>
  <c r="C820" i="3"/>
  <c r="B820" i="3"/>
  <c r="C784" i="3"/>
  <c r="B784" i="3"/>
  <c r="C785" i="3"/>
  <c r="B785" i="3"/>
  <c r="C786" i="3"/>
  <c r="B786" i="3"/>
  <c r="C787" i="3"/>
  <c r="B787" i="3"/>
  <c r="C788" i="3"/>
  <c r="B788" i="3"/>
  <c r="C789" i="3"/>
  <c r="B789" i="3"/>
  <c r="C790" i="3"/>
  <c r="B790" i="3"/>
  <c r="C791" i="3"/>
  <c r="B791" i="3"/>
  <c r="C792" i="3"/>
  <c r="B792" i="3"/>
  <c r="C793" i="3"/>
  <c r="B793" i="3"/>
  <c r="C794" i="3"/>
  <c r="B794" i="3"/>
  <c r="C795" i="3"/>
  <c r="B795" i="3"/>
  <c r="C796" i="3"/>
  <c r="B796" i="3"/>
  <c r="C797" i="3"/>
  <c r="B797" i="3"/>
  <c r="C798" i="3"/>
  <c r="B798" i="3"/>
  <c r="C799" i="3"/>
  <c r="B799" i="3"/>
  <c r="C800" i="3"/>
  <c r="B800" i="3"/>
  <c r="C801" i="3"/>
  <c r="B801" i="3"/>
  <c r="C802" i="3"/>
  <c r="B802" i="3"/>
  <c r="C803" i="3"/>
  <c r="B803" i="3"/>
  <c r="C804" i="3"/>
  <c r="B804" i="3"/>
  <c r="C805" i="3"/>
  <c r="B805" i="3"/>
  <c r="C806" i="3"/>
  <c r="B806" i="3"/>
  <c r="C807" i="3"/>
  <c r="B807" i="3"/>
  <c r="C808" i="3"/>
  <c r="B808" i="3"/>
  <c r="C809" i="3"/>
  <c r="B809" i="3"/>
  <c r="C810" i="3"/>
  <c r="B810" i="3"/>
  <c r="C811" i="3"/>
  <c r="B811" i="3"/>
  <c r="C812" i="3"/>
  <c r="B812" i="3"/>
  <c r="C813" i="3"/>
  <c r="B813" i="3"/>
  <c r="C814" i="3"/>
  <c r="B814" i="3"/>
  <c r="C815" i="3"/>
  <c r="B815" i="3"/>
  <c r="C816" i="3"/>
  <c r="B816" i="3"/>
  <c r="C817" i="3"/>
  <c r="B817" i="3"/>
  <c r="C818" i="3"/>
  <c r="B818" i="3"/>
  <c r="N767" i="3"/>
  <c r="H767" i="3"/>
  <c r="N766" i="3"/>
  <c r="N765" i="3"/>
  <c r="H765" i="3"/>
  <c r="N764" i="3"/>
  <c r="N763" i="3"/>
  <c r="H763" i="3"/>
  <c r="N762" i="3"/>
  <c r="N761" i="3"/>
  <c r="N760" i="3"/>
  <c r="H760" i="3"/>
  <c r="C759" i="3"/>
  <c r="B759" i="3"/>
  <c r="C758" i="3"/>
  <c r="B758" i="3"/>
  <c r="C757" i="3"/>
  <c r="B757" i="3"/>
  <c r="C756" i="3"/>
  <c r="B756" i="3"/>
  <c r="C755" i="3"/>
  <c r="B755" i="3"/>
  <c r="C754" i="3"/>
  <c r="B754" i="3"/>
  <c r="C753" i="3"/>
  <c r="B753" i="3"/>
  <c r="C752" i="3"/>
  <c r="B752" i="3"/>
  <c r="C751" i="3"/>
  <c r="B751" i="3"/>
  <c r="C750" i="3"/>
  <c r="B750" i="3"/>
  <c r="C749" i="3"/>
  <c r="B749" i="3"/>
  <c r="C713" i="3"/>
  <c r="B713" i="3"/>
  <c r="C714" i="3"/>
  <c r="B714" i="3"/>
  <c r="C715" i="3"/>
  <c r="B715" i="3"/>
  <c r="C716" i="3"/>
  <c r="B716" i="3"/>
  <c r="C717" i="3"/>
  <c r="B717" i="3"/>
  <c r="C718" i="3"/>
  <c r="B718" i="3"/>
  <c r="C719" i="3"/>
  <c r="B719" i="3"/>
  <c r="C720" i="3"/>
  <c r="B720" i="3"/>
  <c r="C721" i="3"/>
  <c r="B721" i="3"/>
  <c r="C722" i="3"/>
  <c r="B722" i="3"/>
  <c r="C723" i="3"/>
  <c r="B723" i="3"/>
  <c r="C724" i="3"/>
  <c r="B724" i="3"/>
  <c r="C725" i="3"/>
  <c r="B725" i="3"/>
  <c r="C726" i="3"/>
  <c r="B726" i="3"/>
  <c r="C727" i="3"/>
  <c r="B727" i="3"/>
  <c r="C728" i="3"/>
  <c r="B728" i="3"/>
  <c r="C729" i="3"/>
  <c r="B729" i="3"/>
  <c r="C730" i="3"/>
  <c r="B730" i="3"/>
  <c r="C731" i="3"/>
  <c r="B731" i="3"/>
  <c r="C732" i="3"/>
  <c r="B732" i="3"/>
  <c r="C733" i="3"/>
  <c r="B733" i="3"/>
  <c r="C734" i="3"/>
  <c r="B734" i="3"/>
  <c r="C735" i="3"/>
  <c r="B735" i="3"/>
  <c r="C736" i="3"/>
  <c r="B736" i="3"/>
  <c r="C737" i="3"/>
  <c r="B737" i="3"/>
  <c r="C738" i="3"/>
  <c r="B738" i="3"/>
  <c r="C739" i="3"/>
  <c r="B739" i="3"/>
  <c r="C740" i="3"/>
  <c r="B740" i="3"/>
  <c r="C741" i="3"/>
  <c r="B741" i="3"/>
  <c r="C742" i="3"/>
  <c r="B742" i="3"/>
  <c r="C743" i="3"/>
  <c r="B743" i="3"/>
  <c r="C744" i="3"/>
  <c r="B744" i="3"/>
  <c r="C745" i="3"/>
  <c r="B745" i="3"/>
  <c r="C746" i="3"/>
  <c r="B746" i="3"/>
  <c r="C747" i="3"/>
  <c r="B747" i="3"/>
  <c r="C748" i="3"/>
  <c r="B748" i="3"/>
  <c r="N696" i="3"/>
  <c r="H696" i="3"/>
  <c r="N695" i="3"/>
  <c r="N694" i="3"/>
  <c r="H694" i="3"/>
  <c r="N693" i="3"/>
  <c r="N692" i="3"/>
  <c r="H692" i="3"/>
  <c r="N691" i="3"/>
  <c r="N690" i="3"/>
  <c r="N689" i="3"/>
  <c r="H689" i="3"/>
  <c r="C688" i="3"/>
  <c r="B688" i="3"/>
  <c r="C687" i="3"/>
  <c r="B687" i="3"/>
  <c r="C686" i="3"/>
  <c r="B686" i="3"/>
  <c r="C685" i="3"/>
  <c r="B685" i="3"/>
  <c r="C684" i="3"/>
  <c r="B684" i="3"/>
  <c r="C683" i="3"/>
  <c r="B683" i="3"/>
  <c r="C682" i="3"/>
  <c r="B682" i="3"/>
  <c r="C681" i="3"/>
  <c r="B681" i="3"/>
  <c r="C680" i="3"/>
  <c r="B680" i="3"/>
  <c r="C679" i="3"/>
  <c r="B679" i="3"/>
  <c r="C678" i="3"/>
  <c r="B678" i="3"/>
  <c r="C642" i="3"/>
  <c r="B642" i="3"/>
  <c r="C643" i="3"/>
  <c r="B643" i="3"/>
  <c r="C644" i="3"/>
  <c r="B644" i="3"/>
  <c r="C645" i="3"/>
  <c r="B645" i="3"/>
  <c r="C646" i="3"/>
  <c r="B646" i="3"/>
  <c r="C647" i="3"/>
  <c r="B647" i="3"/>
  <c r="C648" i="3"/>
  <c r="B648" i="3"/>
  <c r="C649" i="3"/>
  <c r="B649" i="3"/>
  <c r="C650" i="3"/>
  <c r="B650" i="3"/>
  <c r="C651" i="3"/>
  <c r="B651" i="3"/>
  <c r="C652" i="3"/>
  <c r="B652" i="3"/>
  <c r="C653" i="3"/>
  <c r="B653" i="3"/>
  <c r="C654" i="3"/>
  <c r="B654" i="3"/>
  <c r="C655" i="3"/>
  <c r="B655" i="3"/>
  <c r="C656" i="3"/>
  <c r="B656" i="3"/>
  <c r="C657" i="3"/>
  <c r="B657" i="3"/>
  <c r="C658" i="3"/>
  <c r="B658" i="3"/>
  <c r="C659" i="3"/>
  <c r="B659" i="3"/>
  <c r="C660" i="3"/>
  <c r="B660" i="3"/>
  <c r="C661" i="3"/>
  <c r="B661" i="3"/>
  <c r="C662" i="3"/>
  <c r="B662" i="3"/>
  <c r="C663" i="3"/>
  <c r="B663" i="3"/>
  <c r="C664" i="3"/>
  <c r="B664" i="3"/>
  <c r="C665" i="3"/>
  <c r="B665" i="3"/>
  <c r="C666" i="3"/>
  <c r="B666" i="3"/>
  <c r="C667" i="3"/>
  <c r="B667" i="3"/>
  <c r="C668" i="3"/>
  <c r="B668" i="3"/>
  <c r="C669" i="3"/>
  <c r="B669" i="3"/>
  <c r="C670" i="3"/>
  <c r="B670" i="3"/>
  <c r="C671" i="3"/>
  <c r="B671" i="3"/>
  <c r="C672" i="3"/>
  <c r="B672" i="3"/>
  <c r="C673" i="3"/>
  <c r="B673" i="3"/>
  <c r="C674" i="3"/>
  <c r="B674" i="3"/>
  <c r="C675" i="3"/>
  <c r="B675" i="3"/>
  <c r="C676" i="3"/>
  <c r="B676" i="3"/>
  <c r="C677" i="3"/>
  <c r="B677" i="3"/>
  <c r="N625" i="3"/>
  <c r="H625" i="3"/>
  <c r="N624" i="3"/>
  <c r="N623" i="3"/>
  <c r="H623" i="3"/>
  <c r="N622" i="3"/>
  <c r="N621" i="3"/>
  <c r="H621" i="3"/>
  <c r="N620" i="3"/>
  <c r="N619" i="3"/>
  <c r="N618" i="3"/>
  <c r="H618" i="3"/>
  <c r="C617" i="3"/>
  <c r="B617" i="3"/>
  <c r="C616" i="3"/>
  <c r="B616" i="3"/>
  <c r="C615" i="3"/>
  <c r="B615" i="3"/>
  <c r="C614" i="3"/>
  <c r="B614" i="3"/>
  <c r="C613" i="3"/>
  <c r="B613" i="3"/>
  <c r="C612" i="3"/>
  <c r="B612" i="3"/>
  <c r="C611" i="3"/>
  <c r="B611" i="3"/>
  <c r="C610" i="3"/>
  <c r="B610" i="3"/>
  <c r="C609" i="3"/>
  <c r="B609" i="3"/>
  <c r="C608" i="3"/>
  <c r="B608" i="3"/>
  <c r="C607" i="3"/>
  <c r="B607" i="3"/>
  <c r="C571" i="3"/>
  <c r="B571" i="3"/>
  <c r="C572" i="3"/>
  <c r="B572" i="3"/>
  <c r="C573" i="3"/>
  <c r="B573" i="3"/>
  <c r="C574" i="3"/>
  <c r="B574" i="3"/>
  <c r="C575" i="3"/>
  <c r="B575" i="3"/>
  <c r="C576" i="3"/>
  <c r="B576" i="3"/>
  <c r="C577" i="3"/>
  <c r="B577" i="3"/>
  <c r="C578" i="3"/>
  <c r="B578" i="3"/>
  <c r="C579" i="3"/>
  <c r="B579" i="3"/>
  <c r="C580" i="3"/>
  <c r="B580" i="3"/>
  <c r="C581" i="3"/>
  <c r="B581" i="3"/>
  <c r="C582" i="3"/>
  <c r="B582" i="3"/>
  <c r="C583" i="3"/>
  <c r="B583" i="3"/>
  <c r="C584" i="3"/>
  <c r="B584" i="3"/>
  <c r="C585" i="3"/>
  <c r="B585" i="3"/>
  <c r="C586" i="3"/>
  <c r="B586" i="3"/>
  <c r="C587" i="3"/>
  <c r="B587" i="3"/>
  <c r="C588" i="3"/>
  <c r="B588" i="3"/>
  <c r="C589" i="3"/>
  <c r="B589" i="3"/>
  <c r="C590" i="3"/>
  <c r="B590" i="3"/>
  <c r="C591" i="3"/>
  <c r="B591" i="3"/>
  <c r="C592" i="3"/>
  <c r="B592" i="3"/>
  <c r="C593" i="3"/>
  <c r="B593" i="3"/>
  <c r="C594" i="3"/>
  <c r="B594" i="3"/>
  <c r="C595" i="3"/>
  <c r="B595" i="3"/>
  <c r="C596" i="3"/>
  <c r="B596" i="3"/>
  <c r="C597" i="3"/>
  <c r="B597" i="3"/>
  <c r="C598" i="3"/>
  <c r="B598" i="3"/>
  <c r="C599" i="3"/>
  <c r="B599" i="3"/>
  <c r="C600" i="3"/>
  <c r="B600" i="3"/>
  <c r="C601" i="3"/>
  <c r="B601" i="3"/>
  <c r="C602" i="3"/>
  <c r="B602" i="3"/>
  <c r="C603" i="3"/>
  <c r="B603" i="3"/>
  <c r="C604" i="3"/>
  <c r="B604" i="3"/>
  <c r="C605" i="3"/>
  <c r="B605" i="3"/>
  <c r="C606" i="3"/>
  <c r="B606" i="3"/>
  <c r="N554" i="3"/>
  <c r="H554" i="3"/>
  <c r="N553" i="3"/>
  <c r="N552" i="3"/>
  <c r="H552" i="3"/>
  <c r="N551" i="3"/>
  <c r="N550" i="3"/>
  <c r="H550" i="3"/>
  <c r="N549" i="3"/>
  <c r="N548" i="3"/>
  <c r="N547" i="3"/>
  <c r="H547" i="3"/>
  <c r="C546" i="3"/>
  <c r="B546" i="3"/>
  <c r="C545" i="3"/>
  <c r="B545" i="3"/>
  <c r="C544" i="3"/>
  <c r="B544" i="3"/>
  <c r="C543" i="3"/>
  <c r="B543" i="3"/>
  <c r="C542" i="3"/>
  <c r="B542" i="3"/>
  <c r="C541" i="3"/>
  <c r="B541" i="3"/>
  <c r="C540" i="3"/>
  <c r="B540" i="3"/>
  <c r="C539" i="3"/>
  <c r="B539" i="3"/>
  <c r="C538" i="3"/>
  <c r="B538" i="3"/>
  <c r="C537" i="3"/>
  <c r="B537" i="3"/>
  <c r="C536" i="3"/>
  <c r="B536" i="3"/>
  <c r="C500" i="3"/>
  <c r="B500" i="3"/>
  <c r="C501" i="3"/>
  <c r="B501" i="3"/>
  <c r="C502" i="3"/>
  <c r="B502" i="3"/>
  <c r="C503" i="3"/>
  <c r="B503" i="3"/>
  <c r="C504" i="3"/>
  <c r="B504" i="3"/>
  <c r="C505" i="3"/>
  <c r="B505" i="3"/>
  <c r="C506" i="3"/>
  <c r="B506" i="3"/>
  <c r="C507" i="3"/>
  <c r="B507" i="3"/>
  <c r="C508" i="3"/>
  <c r="B508" i="3"/>
  <c r="C509" i="3"/>
  <c r="B509" i="3"/>
  <c r="C510" i="3"/>
  <c r="B510" i="3"/>
  <c r="C511" i="3"/>
  <c r="B511" i="3"/>
  <c r="C512" i="3"/>
  <c r="B512" i="3"/>
  <c r="C513" i="3"/>
  <c r="B513" i="3"/>
  <c r="C514" i="3"/>
  <c r="B514" i="3"/>
  <c r="C515" i="3"/>
  <c r="B515" i="3"/>
  <c r="C516" i="3"/>
  <c r="B516" i="3"/>
  <c r="C517" i="3"/>
  <c r="B517" i="3"/>
  <c r="C518" i="3"/>
  <c r="B518" i="3"/>
  <c r="C519" i="3"/>
  <c r="B519" i="3"/>
  <c r="C520" i="3"/>
  <c r="B520" i="3"/>
  <c r="C521" i="3"/>
  <c r="B521" i="3"/>
  <c r="C522" i="3"/>
  <c r="B522" i="3"/>
  <c r="C523" i="3"/>
  <c r="B523" i="3"/>
  <c r="C524" i="3"/>
  <c r="B524" i="3"/>
  <c r="C525" i="3"/>
  <c r="B525" i="3"/>
  <c r="C526" i="3"/>
  <c r="B526" i="3"/>
  <c r="C527" i="3"/>
  <c r="B527" i="3"/>
  <c r="C528" i="3"/>
  <c r="B528" i="3"/>
  <c r="C529" i="3"/>
  <c r="B529" i="3"/>
  <c r="C530" i="3"/>
  <c r="B530" i="3"/>
  <c r="C531" i="3"/>
  <c r="B531" i="3"/>
  <c r="C532" i="3"/>
  <c r="B532" i="3"/>
  <c r="C533" i="3"/>
  <c r="B533" i="3"/>
  <c r="C534" i="3"/>
  <c r="B534" i="3"/>
  <c r="C535" i="3"/>
  <c r="B535" i="3"/>
  <c r="N483" i="3"/>
  <c r="H483" i="3"/>
  <c r="N482" i="3"/>
  <c r="N481" i="3"/>
  <c r="H481" i="3"/>
  <c r="N480" i="3"/>
  <c r="N479" i="3"/>
  <c r="H479" i="3"/>
  <c r="N478" i="3"/>
  <c r="N477" i="3"/>
  <c r="N476" i="3"/>
  <c r="H476" i="3"/>
  <c r="C475" i="3"/>
  <c r="B475" i="3"/>
  <c r="C474" i="3"/>
  <c r="B474" i="3"/>
  <c r="C473" i="3"/>
  <c r="B473" i="3"/>
  <c r="C472" i="3"/>
  <c r="B472" i="3"/>
  <c r="C471" i="3"/>
  <c r="B471" i="3"/>
  <c r="C470" i="3"/>
  <c r="B470" i="3"/>
  <c r="C469" i="3"/>
  <c r="B469" i="3"/>
  <c r="C468" i="3"/>
  <c r="B468" i="3"/>
  <c r="C467" i="3"/>
  <c r="B467" i="3"/>
  <c r="C466" i="3"/>
  <c r="B466" i="3"/>
  <c r="C465" i="3"/>
  <c r="B465" i="3"/>
  <c r="C429" i="3"/>
  <c r="B429" i="3"/>
  <c r="C430" i="3"/>
  <c r="B430" i="3"/>
  <c r="C431" i="3"/>
  <c r="B431" i="3"/>
  <c r="C432" i="3"/>
  <c r="B432" i="3"/>
  <c r="C433" i="3"/>
  <c r="B433" i="3"/>
  <c r="C434" i="3"/>
  <c r="B434" i="3"/>
  <c r="C435" i="3"/>
  <c r="B435" i="3"/>
  <c r="C436" i="3"/>
  <c r="B436" i="3"/>
  <c r="C437" i="3"/>
  <c r="B437" i="3"/>
  <c r="C438" i="3"/>
  <c r="B438" i="3"/>
  <c r="C439" i="3"/>
  <c r="B439" i="3"/>
  <c r="C440" i="3"/>
  <c r="B440" i="3"/>
  <c r="C441" i="3"/>
  <c r="B441" i="3"/>
  <c r="C442" i="3"/>
  <c r="B442" i="3"/>
  <c r="C443" i="3"/>
  <c r="B443" i="3"/>
  <c r="C444" i="3"/>
  <c r="B444" i="3"/>
  <c r="C445" i="3"/>
  <c r="B445" i="3"/>
  <c r="C446" i="3"/>
  <c r="B446" i="3"/>
  <c r="C447" i="3"/>
  <c r="B447" i="3"/>
  <c r="C448" i="3"/>
  <c r="B448" i="3"/>
  <c r="C449" i="3"/>
  <c r="B449" i="3"/>
  <c r="C450" i="3"/>
  <c r="B450" i="3"/>
  <c r="C451" i="3"/>
  <c r="B451" i="3"/>
  <c r="C452" i="3"/>
  <c r="B452" i="3"/>
  <c r="C453" i="3"/>
  <c r="B453" i="3"/>
  <c r="C454" i="3"/>
  <c r="B454" i="3"/>
  <c r="C455" i="3"/>
  <c r="B455" i="3"/>
  <c r="C456" i="3"/>
  <c r="B456" i="3"/>
  <c r="C457" i="3"/>
  <c r="B457" i="3"/>
  <c r="C458" i="3"/>
  <c r="B458" i="3"/>
  <c r="C459" i="3"/>
  <c r="B459" i="3"/>
  <c r="C460" i="3"/>
  <c r="B460" i="3"/>
  <c r="C461" i="3"/>
  <c r="B461" i="3"/>
  <c r="C462" i="3"/>
  <c r="B462" i="3"/>
  <c r="C463" i="3"/>
  <c r="B463" i="3"/>
  <c r="C464" i="3"/>
  <c r="B464" i="3"/>
  <c r="N412" i="3"/>
  <c r="H412" i="3"/>
  <c r="N411" i="3"/>
  <c r="N410" i="3"/>
  <c r="H410" i="3"/>
  <c r="N409" i="3"/>
  <c r="N408" i="3"/>
  <c r="H408" i="3"/>
  <c r="N407" i="3"/>
  <c r="N406" i="3"/>
  <c r="N405" i="3"/>
  <c r="H405" i="3"/>
  <c r="C404" i="3"/>
  <c r="B404" i="3"/>
  <c r="C403" i="3"/>
  <c r="B403" i="3"/>
  <c r="C402" i="3"/>
  <c r="B402" i="3"/>
  <c r="C401" i="3"/>
  <c r="B401" i="3"/>
  <c r="C400" i="3"/>
  <c r="B400" i="3"/>
  <c r="C399" i="3"/>
  <c r="B399" i="3"/>
  <c r="C398" i="3"/>
  <c r="B398" i="3"/>
  <c r="C397" i="3"/>
  <c r="B397" i="3"/>
  <c r="C396" i="3"/>
  <c r="B396" i="3"/>
  <c r="C395" i="3"/>
  <c r="B395" i="3"/>
  <c r="C394" i="3"/>
  <c r="B394" i="3"/>
  <c r="C358" i="3"/>
  <c r="B358" i="3"/>
  <c r="C359" i="3"/>
  <c r="B359" i="3"/>
  <c r="C360" i="3"/>
  <c r="B360" i="3"/>
  <c r="C361" i="3"/>
  <c r="B361" i="3"/>
  <c r="C362" i="3"/>
  <c r="B362" i="3"/>
  <c r="C363" i="3"/>
  <c r="B363" i="3"/>
  <c r="C364" i="3"/>
  <c r="B364" i="3"/>
  <c r="C365" i="3"/>
  <c r="B365" i="3"/>
  <c r="C366" i="3"/>
  <c r="B366" i="3"/>
  <c r="C367" i="3"/>
  <c r="B367" i="3"/>
  <c r="C368" i="3"/>
  <c r="B368" i="3"/>
  <c r="C369" i="3"/>
  <c r="B369" i="3"/>
  <c r="C370" i="3"/>
  <c r="B370" i="3"/>
  <c r="C371" i="3"/>
  <c r="B371" i="3"/>
  <c r="C372" i="3"/>
  <c r="B372" i="3"/>
  <c r="C373" i="3"/>
  <c r="B373" i="3"/>
  <c r="C374" i="3"/>
  <c r="B374" i="3"/>
  <c r="C375" i="3"/>
  <c r="B375" i="3"/>
  <c r="C376" i="3"/>
  <c r="B376" i="3"/>
  <c r="C377" i="3"/>
  <c r="B377" i="3"/>
  <c r="C378" i="3"/>
  <c r="B378" i="3"/>
  <c r="C379" i="3"/>
  <c r="B379" i="3"/>
  <c r="C380" i="3"/>
  <c r="B380" i="3"/>
  <c r="C381" i="3"/>
  <c r="B381" i="3"/>
  <c r="C382" i="3"/>
  <c r="B382" i="3"/>
  <c r="C383" i="3"/>
  <c r="B383" i="3"/>
  <c r="C384" i="3"/>
  <c r="B384" i="3"/>
  <c r="C385" i="3"/>
  <c r="B385" i="3"/>
  <c r="C386" i="3"/>
  <c r="B386" i="3"/>
  <c r="C387" i="3"/>
  <c r="B387" i="3"/>
  <c r="C388" i="3"/>
  <c r="B388" i="3"/>
  <c r="C389" i="3"/>
  <c r="B389" i="3"/>
  <c r="C390" i="3"/>
  <c r="B390" i="3"/>
  <c r="C391" i="3"/>
  <c r="B391" i="3"/>
  <c r="C392" i="3"/>
  <c r="B392" i="3"/>
  <c r="C393" i="3"/>
  <c r="B393" i="3"/>
  <c r="N341" i="3"/>
  <c r="H341" i="3"/>
  <c r="N340" i="3"/>
  <c r="N339" i="3"/>
  <c r="H339" i="3"/>
  <c r="N338" i="3"/>
  <c r="N337" i="3"/>
  <c r="H337" i="3"/>
  <c r="N336" i="3"/>
  <c r="N335" i="3"/>
  <c r="N334" i="3"/>
  <c r="H334" i="3"/>
  <c r="C333" i="3"/>
  <c r="B333" i="3"/>
  <c r="C332" i="3"/>
  <c r="B332" i="3"/>
  <c r="C331" i="3"/>
  <c r="B331" i="3"/>
  <c r="C330" i="3"/>
  <c r="B330" i="3"/>
  <c r="C329" i="3"/>
  <c r="B329" i="3"/>
  <c r="C328" i="3"/>
  <c r="B328" i="3"/>
  <c r="C327" i="3"/>
  <c r="B327" i="3"/>
  <c r="C326" i="3"/>
  <c r="B326" i="3"/>
  <c r="C325" i="3"/>
  <c r="B325" i="3"/>
  <c r="C324" i="3"/>
  <c r="B324" i="3"/>
  <c r="C323" i="3"/>
  <c r="B323" i="3"/>
  <c r="C287" i="3"/>
  <c r="B287" i="3"/>
  <c r="C288" i="3"/>
  <c r="B288" i="3"/>
  <c r="C289" i="3"/>
  <c r="B289" i="3"/>
  <c r="C290" i="3"/>
  <c r="B290" i="3"/>
  <c r="C291" i="3"/>
  <c r="B291" i="3"/>
  <c r="C292" i="3"/>
  <c r="B292" i="3"/>
  <c r="C293" i="3"/>
  <c r="B293" i="3"/>
  <c r="C294" i="3"/>
  <c r="B294" i="3"/>
  <c r="C295" i="3"/>
  <c r="B295" i="3"/>
  <c r="C296" i="3"/>
  <c r="B296" i="3"/>
  <c r="C297" i="3"/>
  <c r="B297" i="3"/>
  <c r="C298" i="3"/>
  <c r="B298" i="3"/>
  <c r="C299" i="3"/>
  <c r="B299" i="3"/>
  <c r="C300" i="3"/>
  <c r="B300" i="3"/>
  <c r="C301" i="3"/>
  <c r="B301" i="3"/>
  <c r="C302" i="3"/>
  <c r="B302" i="3"/>
  <c r="C303" i="3"/>
  <c r="B303" i="3"/>
  <c r="C304" i="3"/>
  <c r="B304" i="3"/>
  <c r="C305" i="3"/>
  <c r="B305" i="3"/>
  <c r="C306" i="3"/>
  <c r="B306" i="3"/>
  <c r="C307" i="3"/>
  <c r="B307" i="3"/>
  <c r="C308" i="3"/>
  <c r="B308" i="3"/>
  <c r="C309" i="3"/>
  <c r="B309" i="3"/>
  <c r="C310" i="3"/>
  <c r="B310" i="3"/>
  <c r="C311" i="3"/>
  <c r="B311" i="3"/>
  <c r="C312" i="3"/>
  <c r="B312" i="3"/>
  <c r="C313" i="3"/>
  <c r="B313" i="3"/>
  <c r="C314" i="3"/>
  <c r="B314" i="3"/>
  <c r="C315" i="3"/>
  <c r="B315" i="3"/>
  <c r="C316" i="3"/>
  <c r="B316" i="3"/>
  <c r="C317" i="3"/>
  <c r="B317" i="3"/>
  <c r="C318" i="3"/>
  <c r="B318" i="3"/>
  <c r="C319" i="3"/>
  <c r="B319" i="3"/>
  <c r="C320" i="3"/>
  <c r="B320" i="3"/>
  <c r="C321" i="3"/>
  <c r="B321" i="3"/>
  <c r="C322" i="3"/>
  <c r="B322" i="3"/>
  <c r="N270" i="3"/>
  <c r="H270" i="3"/>
  <c r="N269" i="3"/>
  <c r="N268" i="3"/>
  <c r="H268" i="3"/>
  <c r="N267" i="3"/>
  <c r="N266" i="3"/>
  <c r="H266" i="3"/>
  <c r="N265" i="3"/>
  <c r="N264" i="3"/>
  <c r="N263" i="3"/>
  <c r="H263" i="3"/>
  <c r="C262" i="3"/>
  <c r="B262" i="3"/>
  <c r="C261" i="3"/>
  <c r="B261" i="3"/>
  <c r="C260" i="3"/>
  <c r="B260" i="3"/>
  <c r="C259" i="3"/>
  <c r="B259" i="3"/>
  <c r="C258" i="3"/>
  <c r="B258" i="3"/>
  <c r="C257" i="3"/>
  <c r="B257" i="3"/>
  <c r="C256" i="3"/>
  <c r="B256" i="3"/>
  <c r="C255" i="3"/>
  <c r="B255" i="3"/>
  <c r="C254" i="3"/>
  <c r="B254" i="3"/>
  <c r="C253" i="3"/>
  <c r="B253" i="3"/>
  <c r="C252" i="3"/>
  <c r="B252" i="3"/>
  <c r="C216" i="3"/>
  <c r="B216" i="3"/>
  <c r="C217" i="3"/>
  <c r="B217" i="3"/>
  <c r="C218" i="3"/>
  <c r="B218" i="3"/>
  <c r="C219" i="3"/>
  <c r="B219" i="3"/>
  <c r="C220" i="3"/>
  <c r="B220" i="3"/>
  <c r="C221" i="3"/>
  <c r="B221" i="3"/>
  <c r="C222" i="3"/>
  <c r="B222" i="3"/>
  <c r="C223" i="3"/>
  <c r="B223" i="3"/>
  <c r="C224" i="3"/>
  <c r="B224" i="3"/>
  <c r="C225" i="3"/>
  <c r="B225" i="3"/>
  <c r="C226" i="3"/>
  <c r="B226" i="3"/>
  <c r="C227" i="3"/>
  <c r="B227" i="3"/>
  <c r="C228" i="3"/>
  <c r="B228" i="3"/>
  <c r="C229" i="3"/>
  <c r="B229" i="3"/>
  <c r="C230" i="3"/>
  <c r="B230" i="3"/>
  <c r="C231" i="3"/>
  <c r="B231" i="3"/>
  <c r="C232" i="3"/>
  <c r="B232" i="3"/>
  <c r="C233" i="3"/>
  <c r="B233" i="3"/>
  <c r="C234" i="3"/>
  <c r="B234" i="3"/>
  <c r="C235" i="3"/>
  <c r="B235" i="3"/>
  <c r="C236" i="3"/>
  <c r="B236" i="3"/>
  <c r="C237" i="3"/>
  <c r="B237" i="3"/>
  <c r="C238" i="3"/>
  <c r="B238" i="3"/>
  <c r="C239" i="3"/>
  <c r="B239" i="3"/>
  <c r="C240" i="3"/>
  <c r="B240" i="3"/>
  <c r="C241" i="3"/>
  <c r="B241" i="3"/>
  <c r="C242" i="3"/>
  <c r="B242" i="3"/>
  <c r="C243" i="3"/>
  <c r="B243" i="3"/>
  <c r="C244" i="3"/>
  <c r="B244" i="3"/>
  <c r="C245" i="3"/>
  <c r="B245" i="3"/>
  <c r="C246" i="3"/>
  <c r="B246" i="3"/>
  <c r="C247" i="3"/>
  <c r="B247" i="3"/>
  <c r="C248" i="3"/>
  <c r="B248" i="3"/>
  <c r="C249" i="3"/>
  <c r="B249" i="3"/>
  <c r="C250" i="3"/>
  <c r="B250" i="3"/>
  <c r="C251" i="3"/>
  <c r="B251" i="3"/>
  <c r="N199" i="3"/>
  <c r="H199" i="3"/>
  <c r="N198" i="3"/>
  <c r="N197" i="3"/>
  <c r="H197" i="3"/>
  <c r="N196" i="3"/>
  <c r="N195" i="3"/>
  <c r="H195" i="3"/>
  <c r="N194" i="3"/>
  <c r="N193" i="3"/>
  <c r="N192" i="3"/>
  <c r="H192" i="3"/>
  <c r="C191" i="3"/>
  <c r="B191" i="3"/>
  <c r="C190" i="3"/>
  <c r="B190" i="3"/>
  <c r="C189" i="3"/>
  <c r="B189" i="3"/>
  <c r="C188" i="3"/>
  <c r="B188" i="3"/>
  <c r="C187" i="3"/>
  <c r="B187" i="3"/>
  <c r="C186" i="3"/>
  <c r="B186" i="3"/>
  <c r="C185" i="3"/>
  <c r="B185" i="3"/>
  <c r="C184" i="3"/>
  <c r="B184" i="3"/>
  <c r="C183" i="3"/>
  <c r="B183" i="3"/>
  <c r="C182" i="3"/>
  <c r="B182" i="3"/>
  <c r="C181" i="3"/>
  <c r="B181" i="3"/>
  <c r="C145" i="3"/>
  <c r="B145" i="3"/>
  <c r="C146" i="3"/>
  <c r="B146" i="3"/>
  <c r="C147" i="3"/>
  <c r="B147" i="3"/>
  <c r="C148" i="3"/>
  <c r="B148" i="3"/>
  <c r="C149" i="3"/>
  <c r="B149" i="3"/>
  <c r="C150" i="3"/>
  <c r="B150" i="3"/>
  <c r="C151" i="3"/>
  <c r="B151" i="3"/>
  <c r="C152" i="3"/>
  <c r="B152" i="3"/>
  <c r="C153" i="3"/>
  <c r="B153" i="3"/>
  <c r="C154" i="3"/>
  <c r="B154" i="3"/>
  <c r="C155" i="3"/>
  <c r="B155" i="3"/>
  <c r="C156" i="3"/>
  <c r="B156" i="3"/>
  <c r="C157" i="3"/>
  <c r="B157" i="3"/>
  <c r="C158" i="3"/>
  <c r="B158" i="3"/>
  <c r="C159" i="3"/>
  <c r="B159" i="3"/>
  <c r="C160" i="3"/>
  <c r="B160" i="3"/>
  <c r="C161" i="3"/>
  <c r="B161" i="3"/>
  <c r="C162" i="3"/>
  <c r="B162" i="3"/>
  <c r="C163" i="3"/>
  <c r="B163" i="3"/>
  <c r="C164" i="3"/>
  <c r="B164" i="3"/>
  <c r="C165" i="3"/>
  <c r="B165" i="3"/>
  <c r="C166" i="3"/>
  <c r="B166" i="3"/>
  <c r="C167" i="3"/>
  <c r="B167" i="3"/>
  <c r="C168" i="3"/>
  <c r="B168" i="3"/>
  <c r="C169" i="3"/>
  <c r="B169" i="3"/>
  <c r="C170" i="3"/>
  <c r="B170" i="3"/>
  <c r="C171" i="3"/>
  <c r="B171" i="3"/>
  <c r="C172" i="3"/>
  <c r="B172" i="3"/>
  <c r="C173" i="3"/>
  <c r="B173" i="3"/>
  <c r="C174" i="3"/>
  <c r="B174" i="3"/>
  <c r="C175" i="3"/>
  <c r="B175" i="3"/>
  <c r="C176" i="3"/>
  <c r="B176" i="3"/>
  <c r="C177" i="3"/>
  <c r="B177" i="3"/>
  <c r="C178" i="3"/>
  <c r="B178" i="3"/>
  <c r="C179" i="3"/>
  <c r="B179" i="3"/>
  <c r="C180" i="3"/>
  <c r="B180" i="3"/>
  <c r="N128" i="3"/>
  <c r="H128" i="3"/>
  <c r="N127" i="3"/>
  <c r="N126" i="3"/>
  <c r="H126" i="3"/>
  <c r="N125" i="3"/>
  <c r="N124" i="3"/>
  <c r="H124" i="3"/>
  <c r="N123" i="3"/>
  <c r="N122" i="3"/>
  <c r="N121" i="3"/>
  <c r="H121" i="3"/>
  <c r="C120" i="3"/>
  <c r="B120" i="3"/>
  <c r="C119" i="3"/>
  <c r="B119" i="3"/>
  <c r="C118" i="3"/>
  <c r="B118" i="3"/>
  <c r="C117" i="3"/>
  <c r="B117" i="3"/>
  <c r="C116" i="3"/>
  <c r="B116" i="3"/>
  <c r="C115" i="3"/>
  <c r="B115" i="3"/>
  <c r="C114" i="3"/>
  <c r="B114" i="3"/>
  <c r="C113" i="3"/>
  <c r="B113" i="3"/>
  <c r="C112" i="3"/>
  <c r="B112" i="3"/>
  <c r="C111" i="3"/>
  <c r="B111" i="3"/>
  <c r="C110" i="3"/>
  <c r="B110" i="3"/>
  <c r="C74" i="3"/>
  <c r="B74" i="3"/>
  <c r="C75" i="3"/>
  <c r="B75" i="3"/>
  <c r="C76" i="3"/>
  <c r="B76" i="3"/>
  <c r="C77" i="3"/>
  <c r="B77" i="3"/>
  <c r="C78" i="3"/>
  <c r="B78" i="3"/>
  <c r="C79" i="3"/>
  <c r="B79" i="3"/>
  <c r="C80" i="3"/>
  <c r="B80" i="3"/>
  <c r="C81" i="3"/>
  <c r="B81" i="3"/>
  <c r="C82" i="3"/>
  <c r="B82" i="3"/>
  <c r="C83" i="3"/>
  <c r="B83" i="3"/>
  <c r="C84" i="3"/>
  <c r="B84" i="3"/>
  <c r="C85" i="3"/>
  <c r="B85" i="3"/>
  <c r="C86" i="3"/>
  <c r="B86" i="3"/>
  <c r="C87" i="3"/>
  <c r="B87" i="3"/>
  <c r="C88" i="3"/>
  <c r="B88" i="3"/>
  <c r="C89" i="3"/>
  <c r="B89" i="3"/>
  <c r="C90" i="3"/>
  <c r="B90" i="3"/>
  <c r="C91" i="3"/>
  <c r="B91" i="3"/>
  <c r="C92" i="3"/>
  <c r="B92" i="3"/>
  <c r="C93" i="3"/>
  <c r="B93" i="3"/>
  <c r="C94" i="3"/>
  <c r="B94" i="3"/>
  <c r="C95" i="3"/>
  <c r="B95" i="3"/>
  <c r="C96" i="3"/>
  <c r="B96" i="3"/>
  <c r="C97" i="3"/>
  <c r="B97" i="3"/>
  <c r="C98" i="3"/>
  <c r="B98" i="3"/>
  <c r="C99" i="3"/>
  <c r="B99" i="3"/>
  <c r="C100" i="3"/>
  <c r="B100" i="3"/>
  <c r="C101" i="3"/>
  <c r="B101" i="3"/>
  <c r="C102" i="3"/>
  <c r="B102" i="3"/>
  <c r="C103" i="3"/>
  <c r="B103" i="3"/>
  <c r="C104" i="3"/>
  <c r="B104" i="3"/>
  <c r="C105" i="3"/>
  <c r="B105" i="3"/>
  <c r="C106" i="3"/>
  <c r="B106" i="3"/>
  <c r="C107" i="3"/>
  <c r="B107" i="3"/>
  <c r="C108" i="3"/>
  <c r="B108" i="3"/>
  <c r="C109" i="3"/>
  <c r="B109" i="3"/>
  <c r="N57" i="3"/>
  <c r="H57" i="3"/>
  <c r="N56" i="3"/>
  <c r="N55" i="3"/>
  <c r="H55" i="3"/>
  <c r="N54" i="3"/>
  <c r="N53" i="3"/>
  <c r="H53" i="3"/>
  <c r="N52" i="3"/>
  <c r="N51" i="3"/>
  <c r="N50" i="3"/>
  <c r="H50" i="3"/>
  <c r="C49" i="3"/>
  <c r="B49" i="3"/>
  <c r="C48" i="3"/>
  <c r="B48" i="3"/>
  <c r="C47" i="3"/>
  <c r="B47" i="3"/>
  <c r="C46" i="3"/>
  <c r="B46" i="3"/>
  <c r="C45" i="3"/>
  <c r="B45" i="3"/>
  <c r="C44" i="3"/>
  <c r="B44" i="3"/>
  <c r="C43" i="3"/>
  <c r="B43" i="3"/>
  <c r="C42" i="3"/>
  <c r="B42" i="3"/>
  <c r="C41" i="3"/>
  <c r="B41" i="3"/>
  <c r="C40" i="3"/>
  <c r="B40" i="3"/>
  <c r="C39" i="3"/>
  <c r="B39" i="3"/>
  <c r="C3" i="3"/>
  <c r="B3" i="3"/>
  <c r="C4" i="3"/>
  <c r="B4" i="3"/>
  <c r="C5" i="3"/>
  <c r="B5" i="3"/>
  <c r="C6" i="3"/>
  <c r="B6" i="3"/>
  <c r="C7" i="3"/>
  <c r="B7" i="3"/>
  <c r="C8" i="3"/>
  <c r="B8" i="3"/>
  <c r="C9" i="3"/>
  <c r="B9" i="3"/>
  <c r="C10" i="3"/>
  <c r="B10" i="3"/>
  <c r="C11" i="3"/>
  <c r="B11" i="3"/>
  <c r="C12" i="3"/>
  <c r="B12" i="3"/>
  <c r="C13" i="3"/>
  <c r="B13" i="3"/>
  <c r="C14" i="3"/>
  <c r="B14" i="3"/>
  <c r="C15" i="3"/>
  <c r="B15" i="3"/>
  <c r="C16" i="3"/>
  <c r="B16" i="3"/>
  <c r="C17" i="3"/>
  <c r="B17" i="3"/>
  <c r="C18" i="3"/>
  <c r="B18" i="3"/>
  <c r="C19" i="3"/>
  <c r="B19" i="3"/>
  <c r="C20" i="3"/>
  <c r="B20" i="3"/>
  <c r="C21" i="3"/>
  <c r="B21" i="3"/>
  <c r="C22" i="3"/>
  <c r="B22" i="3"/>
  <c r="C23" i="3"/>
  <c r="B23" i="3"/>
  <c r="C24" i="3"/>
  <c r="B24" i="3"/>
  <c r="C25" i="3"/>
  <c r="B25" i="3"/>
  <c r="C26" i="3"/>
  <c r="B26" i="3"/>
  <c r="C27" i="3"/>
  <c r="B27" i="3"/>
  <c r="C28" i="3"/>
  <c r="B28" i="3"/>
  <c r="C29" i="3"/>
  <c r="B29" i="3"/>
  <c r="C30" i="3"/>
  <c r="B30" i="3"/>
  <c r="C31" i="3"/>
  <c r="B31" i="3"/>
  <c r="C32" i="3"/>
  <c r="B32" i="3"/>
  <c r="C33" i="3"/>
  <c r="B33" i="3"/>
  <c r="C34" i="3"/>
  <c r="B34" i="3"/>
  <c r="C35" i="3"/>
  <c r="B35" i="3"/>
  <c r="C36" i="3"/>
  <c r="B36" i="3"/>
  <c r="C37" i="3"/>
  <c r="B37" i="3"/>
  <c r="C38" i="3"/>
  <c r="B38" i="3"/>
  <c r="C50" i="3" l="1"/>
  <c r="B50" i="3"/>
  <c r="H56" i="3"/>
  <c r="H54" i="3"/>
  <c r="H52" i="3"/>
  <c r="H51" i="3"/>
  <c r="C53" i="3"/>
  <c r="B53" i="3"/>
  <c r="C55" i="3"/>
  <c r="B55" i="3"/>
  <c r="C57" i="3"/>
  <c r="B57" i="3"/>
  <c r="C121" i="3"/>
  <c r="B121" i="3"/>
  <c r="H127" i="3"/>
  <c r="H125" i="3"/>
  <c r="H123" i="3"/>
  <c r="H122" i="3"/>
  <c r="C124" i="3"/>
  <c r="B124" i="3"/>
  <c r="C126" i="3"/>
  <c r="B126" i="3"/>
  <c r="C128" i="3"/>
  <c r="B128" i="3"/>
  <c r="C192" i="3"/>
  <c r="B192" i="3"/>
  <c r="H198" i="3"/>
  <c r="H196" i="3"/>
  <c r="H194" i="3"/>
  <c r="H193" i="3"/>
  <c r="C195" i="3"/>
  <c r="B195" i="3"/>
  <c r="C197" i="3"/>
  <c r="B197" i="3"/>
  <c r="C199" i="3"/>
  <c r="B199" i="3"/>
  <c r="C263" i="3"/>
  <c r="B263" i="3"/>
  <c r="H269" i="3"/>
  <c r="H267" i="3"/>
  <c r="H265" i="3"/>
  <c r="H264" i="3"/>
  <c r="C266" i="3"/>
  <c r="B266" i="3"/>
  <c r="C268" i="3"/>
  <c r="B268" i="3"/>
  <c r="C270" i="3"/>
  <c r="B270" i="3"/>
  <c r="C334" i="3"/>
  <c r="B334" i="3"/>
  <c r="H340" i="3"/>
  <c r="H338" i="3"/>
  <c r="H336" i="3"/>
  <c r="H335" i="3"/>
  <c r="C337" i="3"/>
  <c r="B337" i="3"/>
  <c r="C339" i="3"/>
  <c r="B339" i="3"/>
  <c r="C341" i="3"/>
  <c r="B341" i="3"/>
  <c r="C405" i="3"/>
  <c r="B405" i="3"/>
  <c r="H411" i="3"/>
  <c r="H409" i="3"/>
  <c r="H407" i="3"/>
  <c r="H406" i="3"/>
  <c r="C408" i="3"/>
  <c r="B408" i="3"/>
  <c r="C410" i="3"/>
  <c r="B410" i="3"/>
  <c r="C412" i="3"/>
  <c r="B412" i="3"/>
  <c r="C476" i="3"/>
  <c r="B476" i="3"/>
  <c r="H482" i="3"/>
  <c r="H480" i="3"/>
  <c r="H478" i="3"/>
  <c r="H477" i="3"/>
  <c r="C479" i="3"/>
  <c r="B479" i="3"/>
  <c r="C481" i="3"/>
  <c r="B481" i="3"/>
  <c r="C483" i="3"/>
  <c r="B483" i="3"/>
  <c r="C547" i="3"/>
  <c r="B547" i="3"/>
  <c r="H553" i="3"/>
  <c r="H551" i="3"/>
  <c r="H549" i="3"/>
  <c r="H548" i="3"/>
  <c r="C550" i="3"/>
  <c r="B550" i="3"/>
  <c r="C552" i="3"/>
  <c r="B552" i="3"/>
  <c r="C554" i="3"/>
  <c r="B554" i="3"/>
  <c r="C618" i="3"/>
  <c r="B618" i="3"/>
  <c r="H624" i="3"/>
  <c r="H622" i="3"/>
  <c r="H620" i="3"/>
  <c r="H619" i="3"/>
  <c r="C621" i="3"/>
  <c r="B621" i="3"/>
  <c r="C623" i="3"/>
  <c r="B623" i="3"/>
  <c r="C625" i="3"/>
  <c r="B625" i="3"/>
  <c r="C689" i="3"/>
  <c r="B689" i="3"/>
  <c r="H695" i="3"/>
  <c r="H693" i="3"/>
  <c r="H691" i="3"/>
  <c r="H690" i="3"/>
  <c r="C692" i="3"/>
  <c r="B692" i="3"/>
  <c r="C694" i="3"/>
  <c r="B694" i="3"/>
  <c r="C696" i="3"/>
  <c r="B696" i="3"/>
  <c r="C760" i="3"/>
  <c r="B760" i="3"/>
  <c r="H766" i="3"/>
  <c r="H764" i="3"/>
  <c r="H762" i="3"/>
  <c r="H761" i="3"/>
  <c r="C763" i="3"/>
  <c r="B763" i="3"/>
  <c r="C765" i="3"/>
  <c r="B765" i="3"/>
  <c r="C767" i="3"/>
  <c r="B767" i="3"/>
  <c r="C831" i="3"/>
  <c r="B831" i="3"/>
  <c r="H837" i="3"/>
  <c r="H835" i="3"/>
  <c r="H833" i="3"/>
  <c r="H832" i="3"/>
  <c r="C834" i="3"/>
  <c r="B834" i="3"/>
  <c r="C836" i="3"/>
  <c r="B836" i="3"/>
  <c r="C838" i="3"/>
  <c r="B838" i="3"/>
  <c r="C902" i="3"/>
  <c r="B902" i="3"/>
  <c r="H908" i="3"/>
  <c r="H906" i="3"/>
  <c r="H904" i="3"/>
  <c r="H903" i="3"/>
  <c r="C905" i="3"/>
  <c r="B905" i="3"/>
  <c r="C907" i="3"/>
  <c r="B907" i="3"/>
  <c r="C909" i="3"/>
  <c r="B909" i="3"/>
  <c r="C1437" i="3"/>
  <c r="B1437" i="3"/>
  <c r="H1443" i="3"/>
  <c r="H1441" i="3"/>
  <c r="H1439" i="3"/>
  <c r="H1438" i="3"/>
  <c r="C1440" i="3"/>
  <c r="B1440" i="3"/>
  <c r="C1442" i="3"/>
  <c r="B1442" i="3"/>
  <c r="C1444" i="3"/>
  <c r="B1444" i="3"/>
  <c r="C1508" i="3"/>
  <c r="B1508" i="3"/>
  <c r="H1514" i="3"/>
  <c r="H1512" i="3"/>
  <c r="H1510" i="3"/>
  <c r="H1509" i="3"/>
  <c r="C1511" i="3"/>
  <c r="B1511" i="3"/>
  <c r="C1513" i="3"/>
  <c r="B1513" i="3"/>
  <c r="C1515" i="3"/>
  <c r="B1515" i="3"/>
  <c r="C1579" i="3"/>
  <c r="B1579" i="3"/>
  <c r="H1585" i="3"/>
  <c r="H1583" i="3"/>
  <c r="H1581" i="3"/>
  <c r="H1580" i="3"/>
  <c r="C1582" i="3"/>
  <c r="B1582" i="3"/>
  <c r="C1584" i="3"/>
  <c r="B1584" i="3"/>
  <c r="C1586" i="3"/>
  <c r="B1586" i="3"/>
  <c r="C1650" i="3"/>
  <c r="B1650" i="3"/>
  <c r="H1656" i="3"/>
  <c r="H1654" i="3"/>
  <c r="H1652" i="3"/>
  <c r="H1651" i="3"/>
  <c r="C1653" i="3"/>
  <c r="B1653" i="3"/>
  <c r="C1655" i="3"/>
  <c r="B1655" i="3"/>
  <c r="C1657" i="3"/>
  <c r="B1657" i="3"/>
  <c r="C1721" i="3"/>
  <c r="B1721" i="3"/>
  <c r="H1727" i="3"/>
  <c r="H1725" i="3"/>
  <c r="H1723" i="3"/>
  <c r="H1722" i="3"/>
  <c r="C1724" i="3"/>
  <c r="B1724" i="3"/>
  <c r="C1726" i="3"/>
  <c r="B1726" i="3"/>
  <c r="C1728" i="3"/>
  <c r="B1728" i="3"/>
  <c r="C1792" i="3"/>
  <c r="B1792" i="3"/>
  <c r="H1798" i="3"/>
  <c r="H1796" i="3"/>
  <c r="H1794" i="3"/>
  <c r="H1793" i="3"/>
  <c r="C1795" i="3"/>
  <c r="B1795" i="3"/>
  <c r="C1797" i="3"/>
  <c r="B1797" i="3"/>
  <c r="C1799" i="3"/>
  <c r="B1799" i="3"/>
  <c r="C1863" i="3"/>
  <c r="B1863" i="3"/>
  <c r="H1869" i="3"/>
  <c r="H1867" i="3"/>
  <c r="H1865" i="3"/>
  <c r="H1864" i="3"/>
  <c r="C1866" i="3"/>
  <c r="B1866" i="3"/>
  <c r="C1868" i="3"/>
  <c r="B1868" i="3"/>
  <c r="C1870" i="3"/>
  <c r="B1870" i="3"/>
  <c r="C1934" i="3"/>
  <c r="B1934" i="3"/>
  <c r="H1940" i="3"/>
  <c r="H1938" i="3"/>
  <c r="H1936" i="3"/>
  <c r="H1935" i="3"/>
  <c r="C1937" i="3"/>
  <c r="B1937" i="3"/>
  <c r="C1939" i="3"/>
  <c r="B1939" i="3"/>
  <c r="C1941" i="3"/>
  <c r="B1941" i="3"/>
  <c r="C2005" i="3"/>
  <c r="B2005" i="3"/>
  <c r="H2011" i="3"/>
  <c r="H2009" i="3"/>
  <c r="H2007" i="3"/>
  <c r="H2006" i="3"/>
  <c r="C2008" i="3"/>
  <c r="B2008" i="3"/>
  <c r="C2010" i="3"/>
  <c r="B2010" i="3"/>
  <c r="C2012" i="3"/>
  <c r="B2012" i="3"/>
  <c r="C2076" i="3"/>
  <c r="B2076" i="3"/>
  <c r="H2082" i="3"/>
  <c r="H2080" i="3"/>
  <c r="H2078" i="3"/>
  <c r="H2077" i="3"/>
  <c r="C2079" i="3"/>
  <c r="B2079" i="3"/>
  <c r="C2081" i="3"/>
  <c r="B2081" i="3"/>
  <c r="C2083" i="3"/>
  <c r="B2083" i="3"/>
  <c r="C2147" i="3"/>
  <c r="B2147" i="3"/>
  <c r="H2153" i="3"/>
  <c r="H2151" i="3"/>
  <c r="H2149" i="3"/>
  <c r="H2148" i="3"/>
  <c r="C2150" i="3"/>
  <c r="B2150" i="3"/>
  <c r="C2152" i="3"/>
  <c r="B2152" i="3"/>
  <c r="C2154" i="3"/>
  <c r="B2154" i="3"/>
  <c r="C38" i="7"/>
  <c r="D38" i="7" s="1"/>
  <c r="C36" i="7"/>
  <c r="D36" i="7" s="1"/>
  <c r="F238" i="4"/>
  <c r="D238" i="4"/>
  <c r="C2148" i="3" l="1"/>
  <c r="B2148" i="3"/>
  <c r="C2149" i="3"/>
  <c r="B2149" i="3"/>
  <c r="C2151" i="3"/>
  <c r="B2151" i="3"/>
  <c r="C2153" i="3"/>
  <c r="B2153" i="3"/>
  <c r="C2077" i="3"/>
  <c r="B2077" i="3"/>
  <c r="C2078" i="3"/>
  <c r="B2078" i="3"/>
  <c r="C2080" i="3"/>
  <c r="B2080" i="3"/>
  <c r="C2082" i="3"/>
  <c r="B2082" i="3"/>
  <c r="C2006" i="3"/>
  <c r="B2006" i="3"/>
  <c r="C2007" i="3"/>
  <c r="B2007" i="3"/>
  <c r="C2009" i="3"/>
  <c r="B2009" i="3"/>
  <c r="C2011" i="3"/>
  <c r="B2011" i="3"/>
  <c r="C1935" i="3"/>
  <c r="B1935" i="3"/>
  <c r="C1936" i="3"/>
  <c r="B1936" i="3"/>
  <c r="C1938" i="3"/>
  <c r="B1938" i="3"/>
  <c r="C1940" i="3"/>
  <c r="B1940" i="3"/>
  <c r="C1864" i="3"/>
  <c r="B1864" i="3"/>
  <c r="C1865" i="3"/>
  <c r="B1865" i="3"/>
  <c r="C1867" i="3"/>
  <c r="B1867" i="3"/>
  <c r="C1869" i="3"/>
  <c r="B1869" i="3"/>
  <c r="C1793" i="3"/>
  <c r="B1793" i="3"/>
  <c r="C1794" i="3"/>
  <c r="B1794" i="3"/>
  <c r="C1796" i="3"/>
  <c r="B1796" i="3"/>
  <c r="C1798" i="3"/>
  <c r="B1798" i="3"/>
  <c r="C1722" i="3"/>
  <c r="B1722" i="3"/>
  <c r="C1723" i="3"/>
  <c r="B1723" i="3"/>
  <c r="C1725" i="3"/>
  <c r="B1725" i="3"/>
  <c r="C1727" i="3"/>
  <c r="B1727" i="3"/>
  <c r="C1651" i="3"/>
  <c r="B1651" i="3"/>
  <c r="C1652" i="3"/>
  <c r="B1652" i="3"/>
  <c r="C1654" i="3"/>
  <c r="B1654" i="3"/>
  <c r="C1656" i="3"/>
  <c r="B1656" i="3"/>
  <c r="C1580" i="3"/>
  <c r="B1580" i="3"/>
  <c r="C1581" i="3"/>
  <c r="B1581" i="3"/>
  <c r="C1583" i="3"/>
  <c r="B1583" i="3"/>
  <c r="C1585" i="3"/>
  <c r="B1585" i="3"/>
  <c r="C1509" i="3"/>
  <c r="B1509" i="3"/>
  <c r="C1510" i="3"/>
  <c r="B1510" i="3"/>
  <c r="C1512" i="3"/>
  <c r="B1512" i="3"/>
  <c r="C1514" i="3"/>
  <c r="B1514" i="3"/>
  <c r="C1438" i="3"/>
  <c r="B1438" i="3"/>
  <c r="C1439" i="3"/>
  <c r="B1439" i="3"/>
  <c r="C1441" i="3"/>
  <c r="B1441" i="3"/>
  <c r="C1443" i="3"/>
  <c r="B1443" i="3"/>
  <c r="C903" i="3"/>
  <c r="B903" i="3"/>
  <c r="C904" i="3"/>
  <c r="B904" i="3"/>
  <c r="C906" i="3"/>
  <c r="B906" i="3"/>
  <c r="C908" i="3"/>
  <c r="B908" i="3"/>
  <c r="C832" i="3"/>
  <c r="B832" i="3"/>
  <c r="C833" i="3"/>
  <c r="B833" i="3"/>
  <c r="C835" i="3"/>
  <c r="B835" i="3"/>
  <c r="C837" i="3"/>
  <c r="B837" i="3"/>
  <c r="C761" i="3"/>
  <c r="B761" i="3"/>
  <c r="C762" i="3"/>
  <c r="B762" i="3"/>
  <c r="C764" i="3"/>
  <c r="B764" i="3"/>
  <c r="C766" i="3"/>
  <c r="B766" i="3"/>
  <c r="C690" i="3"/>
  <c r="B690" i="3"/>
  <c r="C691" i="3"/>
  <c r="B691" i="3"/>
  <c r="C693" i="3"/>
  <c r="B693" i="3"/>
  <c r="C695" i="3"/>
  <c r="B695" i="3"/>
  <c r="C619" i="3"/>
  <c r="B619" i="3"/>
  <c r="C620" i="3"/>
  <c r="B620" i="3"/>
  <c r="C622" i="3"/>
  <c r="B622" i="3"/>
  <c r="C624" i="3"/>
  <c r="B624" i="3"/>
  <c r="C548" i="3"/>
  <c r="B548" i="3"/>
  <c r="C549" i="3"/>
  <c r="B549" i="3"/>
  <c r="C551" i="3"/>
  <c r="B551" i="3"/>
  <c r="C553" i="3"/>
  <c r="B553" i="3"/>
  <c r="C477" i="3"/>
  <c r="B477" i="3"/>
  <c r="C478" i="3"/>
  <c r="B478" i="3"/>
  <c r="C480" i="3"/>
  <c r="B480" i="3"/>
  <c r="C482" i="3"/>
  <c r="B482" i="3"/>
  <c r="C406" i="3"/>
  <c r="B406" i="3"/>
  <c r="C407" i="3"/>
  <c r="B407" i="3"/>
  <c r="C409" i="3"/>
  <c r="B409" i="3"/>
  <c r="C411" i="3"/>
  <c r="B411" i="3"/>
  <c r="C335" i="3"/>
  <c r="B335" i="3"/>
  <c r="C336" i="3"/>
  <c r="B336" i="3"/>
  <c r="C338" i="3"/>
  <c r="B338" i="3"/>
  <c r="C340" i="3"/>
  <c r="B340" i="3"/>
  <c r="C264" i="3"/>
  <c r="B264" i="3"/>
  <c r="C265" i="3"/>
  <c r="B265" i="3"/>
  <c r="C267" i="3"/>
  <c r="B267" i="3"/>
  <c r="C269" i="3"/>
  <c r="B269" i="3"/>
  <c r="C193" i="3"/>
  <c r="B193" i="3"/>
  <c r="C194" i="3"/>
  <c r="B194" i="3"/>
  <c r="C196" i="3"/>
  <c r="B196" i="3"/>
  <c r="C198" i="3"/>
  <c r="B198" i="3"/>
  <c r="C122" i="3"/>
  <c r="B122" i="3"/>
  <c r="C123" i="3"/>
  <c r="B123" i="3"/>
  <c r="C125" i="3"/>
  <c r="B125" i="3"/>
  <c r="C127" i="3"/>
  <c r="B127" i="3"/>
  <c r="C51" i="3"/>
  <c r="B51" i="3"/>
  <c r="F16" i="7"/>
  <c r="E16" i="7"/>
  <c r="D16" i="7"/>
  <c r="C12" i="7"/>
  <c r="D12" i="7" s="1"/>
  <c r="C11" i="7"/>
  <c r="D11" i="7" s="1"/>
  <c r="C10" i="7"/>
  <c r="D10" i="7" s="1"/>
  <c r="C7" i="7"/>
  <c r="D7" i="7" s="1"/>
  <c r="C6" i="7"/>
  <c r="D6" i="7" s="1"/>
  <c r="C52" i="3"/>
  <c r="B52" i="3"/>
  <c r="C54" i="3"/>
  <c r="B54" i="3"/>
  <c r="C56" i="3"/>
  <c r="B56" i="3"/>
  <c r="C16" i="7"/>
  <c r="C9" i="7"/>
  <c r="D9" i="7" s="1"/>
  <c r="C8" i="7"/>
  <c r="D8" i="7" s="1"/>
  <c r="C5" i="7"/>
  <c r="D5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E154" authorId="0" shapeId="0" xr:uid="{00000000-0006-0000-0300-000001000000}">
      <text>
        <r>
          <rPr>
            <sz val="11"/>
            <color theme="1"/>
            <rFont val="Calibri"/>
          </rPr>
          <t>Recommended artwork bounding box used only to select the smallest suitable full A/B paper code.</t>
        </r>
      </text>
    </comment>
    <comment ref="J154" authorId="0" shapeId="0" xr:uid="{00000000-0006-0000-0300-000002000000}">
      <text>
        <r>
          <rPr>
            <sz val="11"/>
            <color theme="1"/>
            <rFont val="Calibri"/>
          </rPr>
          <t>The search starts at this paper code. All earlier, smaller priority codes are ignored.</t>
        </r>
      </text>
    </comment>
    <comment ref="K154" authorId="0" shapeId="0" xr:uid="{00000000-0006-0000-0300-000003000000}">
      <text>
        <r>
          <rPr>
            <sz val="11"/>
            <color theme="1"/>
            <rFont val="Calibri"/>
          </rPr>
          <t>The first full A/B paper code that fits the artwork target in portrait or rotated orientation.</t>
        </r>
      </text>
    </comment>
    <comment ref="M154" authorId="0" shapeId="0" xr:uid="{00000000-0006-0000-0300-000004000000}">
      <text>
        <r>
          <rPr>
            <sz val="11"/>
            <color theme="1"/>
            <rFont val="Calibri"/>
          </rPr>
          <t>Actual full transfer print width after applying the selected paper orientation.</t>
        </r>
      </text>
    </comment>
    <comment ref="N154" authorId="0" shapeId="0" xr:uid="{00000000-0006-0000-0300-000005000000}">
      <text>
        <r>
          <rPr>
            <sz val="11"/>
            <color theme="1"/>
            <rFont val="Calibri"/>
          </rPr>
          <t>Actual full transfer print height after applying the selected paper orientation.</t>
        </r>
      </text>
    </comment>
  </commentList>
</comments>
</file>

<file path=xl/sharedStrings.xml><?xml version="1.0" encoding="utf-8"?>
<sst xmlns="http://schemas.openxmlformats.org/spreadsheetml/2006/main" count="16191" uniqueCount="2986">
  <si>
    <t>POD Printing Size Strategy - Whole-mm Output</t>
  </si>
  <si>
    <t>A/B paper-size codes are used directly as DTF garment-transfer print sizes; there is no separate DTF code block. All working dimensions, including LCCO2, round down to whole millimetres.</t>
  </si>
  <si>
    <t>What changed</t>
  </si>
  <si>
    <t>Negative sizes removed</t>
  </si>
  <si>
    <t>The fixed 20 mm deduction pattern was replaced by proportional fractions, fitted aspect ratios and minimum-size checks.</t>
  </si>
  <si>
    <t>Process strategy</t>
  </si>
  <si>
    <t>UV and LCCO2 use fixed-bed validation; SINK uses roll-width validation; A/B paper envelopes are the DTF transfer-size codes.</t>
  </si>
  <si>
    <t>Codes preserved</t>
  </si>
  <si>
    <t>A/B, UV, LCCO2, SINK and CT remain. The separate DTF size block has been removed because A/B codes are used for garment transfers.</t>
  </si>
  <si>
    <t>The last 15 codes in every A/B and machine-process block remain manual custom slots. All custom entries must be positive whole millimetres.</t>
  </si>
  <si>
    <t>The last 15 codes in every A/B and machine-process block remain manual custom slots. All custom entries must be whole millimetres.</t>
  </si>
  <si>
    <t>Original retained</t>
  </si>
  <si>
    <t>The original worksheet values are retained in 99-Original Backup for comparison.</t>
  </si>
  <si>
    <t>Code</t>
  </si>
  <si>
    <t>Meaning</t>
  </si>
  <si>
    <t>Sizing rule</t>
  </si>
  <si>
    <t>Width / height meaning</t>
  </si>
  <si>
    <t>Production caution</t>
  </si>
  <si>
    <t>Primary source / basis</t>
  </si>
  <si>
    <t>A0-A12 / B0-B10</t>
  </si>
  <si>
    <t>ISO-style paper envelopes used directly for DTF garment-transfer sizes</t>
  </si>
  <si>
    <t>56 adaptive generated candidates + 15 custom slots; generated sizes round down to whole mm</t>
  </si>
  <si>
    <t>Physical paper/transfer bounding box; rotation allowed when the product permits</t>
  </si>
  <si>
    <t>A11/A12 are geometric continuation codes for compatibility, not claimed as ISO 216 standard sizes</t>
  </si>
  <si>
    <t>https://www.iso.org/standard/36631.html</t>
  </si>
  <si>
    <t>DTF sizing (no separate code block)</t>
  </si>
  <si>
    <t>Select the A/B printing_size code itself</t>
  </si>
  <si>
    <t>Example: A3 Full remains exactly 297 x 420 mm</t>
  </si>
  <si>
    <t>The A/B dimensions are the transfer-print dimensions used on the garment</t>
  </si>
  <si>
    <t>Verify that the selected transfer fits the actual garment and heat-press area</t>
  </si>
  <si>
    <t>UV</t>
  </si>
  <si>
    <t>UV flatbed printing</t>
  </si>
  <si>
    <t>Nominal bed, safe bed and common product starting presets</t>
  </si>
  <si>
    <t>Fixed bed; either orientation may fit</t>
  </si>
  <si>
    <t>Jigs, vacuum zones, rotary attachments and object height reduce usable area</t>
  </si>
  <si>
    <t>https://mimaki.com/product/inkjet/i-flat/ujf-6042mkII-e/specification.html</t>
  </si>
  <si>
    <t>LCCO2</t>
  </si>
  <si>
    <t>CO2 laser cutting/engraving</t>
  </si>
  <si>
    <t>Nominal bed, safe bed, stock and product bounding boxes</t>
  </si>
  <si>
    <t>Kerf, material, clamps and extraction clearance are not represented by width/height alone</t>
  </si>
  <si>
    <t>https://www.troteclaser.com/en-tt/laser-machines/affordable-laser-cutter-r-series</t>
  </si>
  <si>
    <t>SINK</t>
  </si>
  <si>
    <t>Solvent-ink banner/sign printing</t>
  </si>
  <si>
    <t>Common banner panels plus custom slots</t>
  </si>
  <si>
    <t>width_mm = across roll; height_mm = feed length</t>
  </si>
  <si>
    <t>Roll length is variable; finishing, hems and eyelets need separate allowances</t>
  </si>
  <si>
    <t>https://downloadcenter.rolanddg.com/contents/manuals/VG3-640_INS_EN/gxd1623374300487.html</t>
  </si>
  <si>
    <t>CT</t>
  </si>
  <si>
    <t>Custom sizes</t>
  </si>
  <si>
    <t>Manual entries preserved from the original workbook</t>
  </si>
  <si>
    <t>User-defined</t>
  </si>
  <si>
    <t>Enter both dimensions and verify against the chosen process</t>
  </si>
  <si>
    <t>User-provided values</t>
  </si>
  <si>
    <t>Operating rules</t>
  </si>
  <si>
    <t>1. For DTF garment prints, select an A/B code directly. Example: A3 Full = 297 x 420 mm.</t>
  </si>
  <si>
    <t>2. Every calculated size, including LCCO2, is rounded down to a whole millimetre after the size formula is applied.</t>
  </si>
  <si>
    <t>3. All custom-entry cells accept positive whole-millimetre values only. Keep kerf and other sub-millimetre production adjustments in the design or machine file.</t>
  </si>
  <si>
    <t>4. For fixed-bed UV/LCCO2, a size is valid when it fits in either orientation. Nominal edge means it fits the stated bed but not the configured margin.</t>
  </si>
  <si>
    <t>5. For SINK, width_mm is the cross-roll dimension and height_mm is the feed direction. Hems, eyelets and bleed remain separate.</t>
  </si>
  <si>
    <t>6. Filter validation_status in 02-Printing Size before exporting. Do not import ERROR rows.</t>
  </si>
  <si>
    <t>7. In 03-POD Product Guide, apparel positions use a minimum starting paper and select the first full A/B code that fits. For bodysuits the search begins A5 -&gt; B5 -&gt; A4; the selected base code is the full transfer size.</t>
  </si>
  <si>
    <t>Why exact product print areas cannot be universal</t>
  </si>
  <si>
    <t>POD platforms and blank suppliers publish print areas per individual product, placement and sometimes garment size. Use this workbook to control safe, non-negative dimensions, then verify the final template for each SKU.</t>
  </si>
  <si>
    <t>Product-specific dimensions guidance</t>
  </si>
  <si>
    <t>https://help.printify.com/hc/en-us/articles/4483601892497-What-dimensions-should-my-design-be</t>
  </si>
  <si>
    <t>Safe print area guidance</t>
  </si>
  <si>
    <t>https://help.printful.com/hc/en-us/articles/10720620016540-What-is-the-safe-print-area</t>
  </si>
  <si>
    <t>Process Controls</t>
  </si>
  <si>
    <t>Blue/yellow cells are production inputs. A/B paper codes are the DTF transfer sizes. Use whole millimetres for ISO/DTF, UV, LCCO2, SINK and CT.</t>
  </si>
  <si>
    <t>process_code</t>
  </si>
  <si>
    <t>process_name</t>
  </si>
  <si>
    <t>feed_type</t>
  </si>
  <si>
    <t>max_width_mm</t>
  </si>
  <si>
    <t>max_height_mm</t>
  </si>
  <si>
    <t>default_work_length_mm</t>
  </si>
  <si>
    <t>min_practical_dimension_mm</t>
  </si>
  <si>
    <t>safe_edge_margin_each_side_mm</t>
  </si>
  <si>
    <t>rotation_allowed</t>
  </si>
  <si>
    <t>confirmed_against_machine</t>
  </si>
  <si>
    <t>basis / action</t>
  </si>
  <si>
    <t>source_url_1</t>
  </si>
  <si>
    <t>source_url_2</t>
  </si>
  <si>
    <t>ISO</t>
  </si>
  <si>
    <t>A/B paper sizes used for DTF transfers</t>
  </si>
  <si>
    <t>SHEET / TRANSFER</t>
  </si>
  <si>
    <t>Yes</t>
  </si>
  <si>
    <t>Use A/B printing_size codes directly for garment transfers; e.g. A3 Full = 297 x 420 mm. Generated candidates round down to whole millimetres. A11/A12 remain compatibility extensions.</t>
  </si>
  <si>
    <t/>
  </si>
  <si>
    <t>FLATBED</t>
  </si>
  <si>
    <t>No</t>
  </si>
  <si>
    <t>Nominal 600 x 900 mm copied from the original workbook. Confirm printable area, jig and object-height limits. Production dimensions round down to whole millimetres.</t>
  </si>
  <si>
    <t>CO2 laser cut / engrave</t>
  </si>
  <si>
    <t>Nominal 1300 x 900 mm copied from the original workbook. LCCO2 size codes round down to whole millimetres; keep kerf and precise vector geometry in the laser/CAD file.</t>
  </si>
  <si>
    <t>Solvent ink banner / sign</t>
  </si>
  <si>
    <t>ROLL</t>
  </si>
  <si>
    <t>1600 mm is treated as cross-roll printable width. Feed length is variable; 1000 mm is only the default panel. Production dimensions round down to whole millimetres.</t>
  </si>
  <si>
    <t>Custom manual sizes</t>
  </si>
  <si>
    <t>CUSTOM</t>
  </si>
  <si>
    <t>N/A</t>
  </si>
  <si>
    <t>No fixed envelope. Custom sizes are whole millimetres and must be checked against the actual process. Keep any sub-millimetre kerf or tool-path adjustment in the production file.</t>
  </si>
  <si>
    <t>printing_size</t>
  </si>
  <si>
    <t>width_mm</t>
  </si>
  <si>
    <t>height_mm</t>
  </si>
  <si>
    <t>category</t>
  </si>
  <si>
    <t>preset_rule</t>
  </si>
  <si>
    <t>common_use</t>
  </si>
  <si>
    <t>validation_status</t>
  </si>
  <si>
    <t>production_note</t>
  </si>
  <si>
    <t>base_width_mm</t>
  </si>
  <si>
    <t>base_height_mm</t>
  </si>
  <si>
    <t>min_dimension_mm</t>
  </si>
  <si>
    <t>candidate_width_mm</t>
  </si>
  <si>
    <t>candidate_height_mm</t>
  </si>
  <si>
    <t>rule_id</t>
  </si>
  <si>
    <t>cm</t>
  </si>
  <si>
    <t>inche</t>
  </si>
  <si>
    <t>inches</t>
  </si>
  <si>
    <t xml:space="preserve">feet </t>
  </si>
  <si>
    <t>feet</t>
  </si>
  <si>
    <t>m</t>
  </si>
  <si>
    <t>A0</t>
  </si>
  <si>
    <t>A0 paper / DTF variant</t>
  </si>
  <si>
    <t>Full paper size</t>
  </si>
  <si>
    <t>Use the complete paper/transfer width and height.</t>
  </si>
  <si>
    <t>Generated inside the A0 paper/DTF envelope. Generated dimensions round down to whole millimetres; below-minimum or duplicate candidates are skipped.</t>
  </si>
  <si>
    <t>A0-1</t>
  </si>
  <si>
    <t>Half width</t>
  </si>
  <si>
    <t>Half the width; full height.</t>
  </si>
  <si>
    <t>A0-2</t>
  </si>
  <si>
    <t>Third width</t>
  </si>
  <si>
    <t>One-third width; full height.</t>
  </si>
  <si>
    <t>A0-3</t>
  </si>
  <si>
    <t>Quarter width</t>
  </si>
  <si>
    <t>Quarter width; full height.</t>
  </si>
  <si>
    <t>A0-4</t>
  </si>
  <si>
    <t>Two-thirds width</t>
  </si>
  <si>
    <t>Two-thirds width; full height.</t>
  </si>
  <si>
    <t>A0-5</t>
  </si>
  <si>
    <t>Three-quarter width</t>
  </si>
  <si>
    <t>Three-quarter width; full height.</t>
  </si>
  <si>
    <t>A0-6</t>
  </si>
  <si>
    <t>Half height</t>
  </si>
  <si>
    <t>Full width; half height.</t>
  </si>
  <si>
    <t>A0-7</t>
  </si>
  <si>
    <t>Third height</t>
  </si>
  <si>
    <t>Full width; one-third height.</t>
  </si>
  <si>
    <t>A0-8</t>
  </si>
  <si>
    <t>Quarter height</t>
  </si>
  <si>
    <t>Full width; quarter height.</t>
  </si>
  <si>
    <t>A0-9</t>
  </si>
  <si>
    <t>Two-thirds height</t>
  </si>
  <si>
    <t>Full width; two-thirds height.</t>
  </si>
  <si>
    <t>A0-10</t>
  </si>
  <si>
    <t>Three-quarter height</t>
  </si>
  <si>
    <t>Full width; three-quarter height.</t>
  </si>
  <si>
    <t>A0-11</t>
  </si>
  <si>
    <t>Half both</t>
  </si>
  <si>
    <t>Half width and half height.</t>
  </si>
  <si>
    <t>A0-12</t>
  </si>
  <si>
    <t>Third both</t>
  </si>
  <si>
    <t>One-third width and height.</t>
  </si>
  <si>
    <t>A0-13</t>
  </si>
  <si>
    <t>Quarter both</t>
  </si>
  <si>
    <t>Quarter width and height.</t>
  </si>
  <si>
    <t>A0-14</t>
  </si>
  <si>
    <t>Half width x third height</t>
  </si>
  <si>
    <t>Mixed grid cell.</t>
  </si>
  <si>
    <t>A0-15</t>
  </si>
  <si>
    <t>Third width x half height</t>
  </si>
  <si>
    <t>A0-16</t>
  </si>
  <si>
    <t>Half width x quarter height</t>
  </si>
  <si>
    <t>A0-17</t>
  </si>
  <si>
    <t>Quarter width x half height</t>
  </si>
  <si>
    <t>A0-18</t>
  </si>
  <si>
    <t>Two-thirds width x half height</t>
  </si>
  <si>
    <t>A0-19</t>
  </si>
  <si>
    <t>Half width x two-thirds height</t>
  </si>
  <si>
    <t>A0-20</t>
  </si>
  <si>
    <t>Three-quarter width x half height</t>
  </si>
  <si>
    <t>A0-21</t>
  </si>
  <si>
    <t>Half width x three-quarter height</t>
  </si>
  <si>
    <t>A0-22</t>
  </si>
  <si>
    <t>Scale 95%</t>
  </si>
  <si>
    <t>Proportional inset without fixed millimetre subtraction.</t>
  </si>
  <si>
    <t>A0-23</t>
  </si>
  <si>
    <t>Scale 90%</t>
  </si>
  <si>
    <t>Proportional scale.</t>
  </si>
  <si>
    <t>A0-24</t>
  </si>
  <si>
    <t>Scale 85%</t>
  </si>
  <si>
    <t>A0-25</t>
  </si>
  <si>
    <t>Scale 80%</t>
  </si>
  <si>
    <t>A0-26</t>
  </si>
  <si>
    <t>Scale 75%</t>
  </si>
  <si>
    <t>A0-27</t>
  </si>
  <si>
    <t>Scale 70%</t>
  </si>
  <si>
    <t>A0-28</t>
  </si>
  <si>
    <t>Scale 66.67%</t>
  </si>
  <si>
    <t>A0-29</t>
  </si>
  <si>
    <t>Scale 60%</t>
  </si>
  <si>
    <t>A0-30</t>
  </si>
  <si>
    <t>Scale 55%</t>
  </si>
  <si>
    <t>A0-31</t>
  </si>
  <si>
    <t>Scale 45%</t>
  </si>
  <si>
    <t>A0-32</t>
  </si>
  <si>
    <t>Scale 40%</t>
  </si>
  <si>
    <t>A0-33</t>
  </si>
  <si>
    <t>Scale 35%</t>
  </si>
  <si>
    <t>A0-34</t>
  </si>
  <si>
    <t>Scale 30%</t>
  </si>
  <si>
    <t>A0-35</t>
  </si>
  <si>
    <t>Scale 20%</t>
  </si>
  <si>
    <t>A0-36</t>
  </si>
  <si>
    <t>Scale 15%</t>
  </si>
  <si>
    <t>Proportional scale; may be skipped for very small bases.</t>
  </si>
  <si>
    <t>A0-37</t>
  </si>
  <si>
    <t>Square 100%</t>
  </si>
  <si>
    <t>Largest square inside the base.</t>
  </si>
  <si>
    <t>A0-38</t>
  </si>
  <si>
    <t>Square 90%</t>
  </si>
  <si>
    <t>Square based on the shorter side.</t>
  </si>
  <si>
    <t>A0-39</t>
  </si>
  <si>
    <t>Square 80%</t>
  </si>
  <si>
    <t>A0-40</t>
  </si>
  <si>
    <t>Square 75%</t>
  </si>
  <si>
    <t>A0-41</t>
  </si>
  <si>
    <t>Square 66.67%</t>
  </si>
  <si>
    <t>A0-42</t>
  </si>
  <si>
    <t>Square 60%</t>
  </si>
  <si>
    <t>A0-43</t>
  </si>
  <si>
    <t>Square 50%</t>
  </si>
  <si>
    <t>A0-44</t>
  </si>
  <si>
    <t>Square 40%</t>
  </si>
  <si>
    <t>A0-45</t>
  </si>
  <si>
    <t>Square 33.33%</t>
  </si>
  <si>
    <t>A0-46</t>
  </si>
  <si>
    <t>Square 25%</t>
  </si>
  <si>
    <t>A0-47</t>
  </si>
  <si>
    <t>Square 20%</t>
  </si>
  <si>
    <t>A0-48</t>
  </si>
  <si>
    <t>Fit 4:3 landscape</t>
  </si>
  <si>
    <t>Largest 4:3 rectangle inside the base.</t>
  </si>
  <si>
    <t>A0-49</t>
  </si>
  <si>
    <t>Fit 3:4 portrait</t>
  </si>
  <si>
    <t>Largest 3:4 rectangle inside the base.</t>
  </si>
  <si>
    <t>A0-50</t>
  </si>
  <si>
    <t>Fit 3:2 landscape</t>
  </si>
  <si>
    <t>Largest 3:2 rectangle inside the base.</t>
  </si>
  <si>
    <t>A0-51</t>
  </si>
  <si>
    <t>Fit 2:3 portrait</t>
  </si>
  <si>
    <t>Largest 2:3 rectangle inside the base.</t>
  </si>
  <si>
    <t>A0-52</t>
  </si>
  <si>
    <t>Fit 16:9 landscape</t>
  </si>
  <si>
    <t>Largest widescreen rectangle inside the base.</t>
  </si>
  <si>
    <t>A0-53</t>
  </si>
  <si>
    <t>Fit 9:16 portrait</t>
  </si>
  <si>
    <t>Largest portrait widescreen rectangle inside the base.</t>
  </si>
  <si>
    <t>A0-54</t>
  </si>
  <si>
    <t>Fit 2:1 landscape</t>
  </si>
  <si>
    <t>Largest 2:1 rectangle inside the base.</t>
  </si>
  <si>
    <t>A0-55</t>
  </si>
  <si>
    <t>Fit 1:2 portrait</t>
  </si>
  <si>
    <t>Largest 1:2 rectangle inside the base.</t>
  </si>
  <si>
    <t>A0-56</t>
  </si>
  <si>
    <t>ISO-CUSTOM</t>
  </si>
  <si>
    <t>A0 custom paper / DTF slot</t>
  </si>
  <si>
    <t>Manual input</t>
  </si>
  <si>
    <t>User-defined size inside this base envelope</t>
  </si>
  <si>
    <t>Enter both dimensions as whole millimetres. Rotation is allowed for the paper envelope check, but the final garment orientation and press area must still be verified.</t>
  </si>
  <si>
    <t>A0-57</t>
  </si>
  <si>
    <t>A0-58</t>
  </si>
  <si>
    <t>A0-59</t>
  </si>
  <si>
    <t>A0-60</t>
  </si>
  <si>
    <t>A0-61</t>
  </si>
  <si>
    <t>A0-62</t>
  </si>
  <si>
    <t>A0-63</t>
  </si>
  <si>
    <t>A0-64</t>
  </si>
  <si>
    <t>A0-65</t>
  </si>
  <si>
    <t>A0-66</t>
  </si>
  <si>
    <t>A0-67</t>
  </si>
  <si>
    <t>A0-68</t>
  </si>
  <si>
    <t>A0-69</t>
  </si>
  <si>
    <t>A0-70</t>
  </si>
  <si>
    <t>A1</t>
  </si>
  <si>
    <t>A1 paper / DTF variant</t>
  </si>
  <si>
    <t>Generated inside the A1 paper/DTF envelope. Generated dimensions round down to whole millimetres; below-minimum or duplicate candidates are skipped.</t>
  </si>
  <si>
    <t>A1-1</t>
  </si>
  <si>
    <t>A1-2</t>
  </si>
  <si>
    <t>A1-3</t>
  </si>
  <si>
    <t>A1-4</t>
  </si>
  <si>
    <t>A1-5</t>
  </si>
  <si>
    <t>A1-6</t>
  </si>
  <si>
    <t>A1-7</t>
  </si>
  <si>
    <t>A1-8</t>
  </si>
  <si>
    <t>A1-9</t>
  </si>
  <si>
    <t>A1-10</t>
  </si>
  <si>
    <t>A1-11</t>
  </si>
  <si>
    <t>A1-12</t>
  </si>
  <si>
    <t>A1-13</t>
  </si>
  <si>
    <t>A1-14</t>
  </si>
  <si>
    <t>A1-15</t>
  </si>
  <si>
    <t>A1-16</t>
  </si>
  <si>
    <t>A1-17</t>
  </si>
  <si>
    <t>A1-18</t>
  </si>
  <si>
    <t>A1-19</t>
  </si>
  <si>
    <t>A1-20</t>
  </si>
  <si>
    <t>A1-21</t>
  </si>
  <si>
    <t>A1-22</t>
  </si>
  <si>
    <t>A1-23</t>
  </si>
  <si>
    <t>A1-24</t>
  </si>
  <si>
    <t>A1-25</t>
  </si>
  <si>
    <t>A1-26</t>
  </si>
  <si>
    <t>A1-27</t>
  </si>
  <si>
    <t>A1-28</t>
  </si>
  <si>
    <t>A1-29</t>
  </si>
  <si>
    <t>A1-30</t>
  </si>
  <si>
    <t>A1-31</t>
  </si>
  <si>
    <t>A1-32</t>
  </si>
  <si>
    <t>A1-33</t>
  </si>
  <si>
    <t>A1-34</t>
  </si>
  <si>
    <t>A1-35</t>
  </si>
  <si>
    <t>A1-36</t>
  </si>
  <si>
    <t>A1-37</t>
  </si>
  <si>
    <t>A1-38</t>
  </si>
  <si>
    <t>A1-39</t>
  </si>
  <si>
    <t>A1-40</t>
  </si>
  <si>
    <t>A1-41</t>
  </si>
  <si>
    <t>A1-42</t>
  </si>
  <si>
    <t>A1-43</t>
  </si>
  <si>
    <t>A1-44</t>
  </si>
  <si>
    <t>A1-45</t>
  </si>
  <si>
    <t>A1-46</t>
  </si>
  <si>
    <t>A1-47</t>
  </si>
  <si>
    <t>A1-48</t>
  </si>
  <si>
    <t>A1-49</t>
  </si>
  <si>
    <t>A1-50</t>
  </si>
  <si>
    <t>A1-51</t>
  </si>
  <si>
    <t>A1-52</t>
  </si>
  <si>
    <t>A1-53</t>
  </si>
  <si>
    <t>A1-54</t>
  </si>
  <si>
    <t>A1-55</t>
  </si>
  <si>
    <t>A1-56</t>
  </si>
  <si>
    <t>A1 custom paper / DTF slot</t>
  </si>
  <si>
    <t>A1-57</t>
  </si>
  <si>
    <t>A1-58</t>
  </si>
  <si>
    <t>A1-59</t>
  </si>
  <si>
    <t>A1-60</t>
  </si>
  <si>
    <t>A1-61</t>
  </si>
  <si>
    <t>A1-62</t>
  </si>
  <si>
    <t>A1-63</t>
  </si>
  <si>
    <t>A1-64</t>
  </si>
  <si>
    <t>A1-65</t>
  </si>
  <si>
    <t>A1-66</t>
  </si>
  <si>
    <t>A1-67</t>
  </si>
  <si>
    <t>A1-68</t>
  </si>
  <si>
    <t>A1-69</t>
  </si>
  <si>
    <t>A1-70</t>
  </si>
  <si>
    <t>A2</t>
  </si>
  <si>
    <t>A2 paper / DTF variant</t>
  </si>
  <si>
    <t>Generated inside the A2 paper/DTF envelope. Generated dimensions round down to whole millimetres; below-minimum or duplicate candidates are skipped.</t>
  </si>
  <si>
    <t>A2-1</t>
  </si>
  <si>
    <t>A2-2</t>
  </si>
  <si>
    <t>A2-3</t>
  </si>
  <si>
    <t>A2-4</t>
  </si>
  <si>
    <t>A2-5</t>
  </si>
  <si>
    <t>A2-6</t>
  </si>
  <si>
    <t>A2-7</t>
  </si>
  <si>
    <t>A2-8</t>
  </si>
  <si>
    <t>A2-9</t>
  </si>
  <si>
    <t>A2-10</t>
  </si>
  <si>
    <t>A2-11</t>
  </si>
  <si>
    <t>A2-12</t>
  </si>
  <si>
    <t>A2-13</t>
  </si>
  <si>
    <t>A2-14</t>
  </si>
  <si>
    <t>A2-15</t>
  </si>
  <si>
    <t>A2-16</t>
  </si>
  <si>
    <t>A2-17</t>
  </si>
  <si>
    <t>A2-18</t>
  </si>
  <si>
    <t>A2-19</t>
  </si>
  <si>
    <t>A2-20</t>
  </si>
  <si>
    <t>A2-21</t>
  </si>
  <si>
    <t>A2-22</t>
  </si>
  <si>
    <t>A2-23</t>
  </si>
  <si>
    <t>A2-24</t>
  </si>
  <si>
    <t>A2-25</t>
  </si>
  <si>
    <t>A2-26</t>
  </si>
  <si>
    <t>A2-27</t>
  </si>
  <si>
    <t>A2-28</t>
  </si>
  <si>
    <t>A2-29</t>
  </si>
  <si>
    <t>A2-30</t>
  </si>
  <si>
    <t>A2-31</t>
  </si>
  <si>
    <t>A2-32</t>
  </si>
  <si>
    <t>A2-33</t>
  </si>
  <si>
    <t>A2-34</t>
  </si>
  <si>
    <t>A2-35</t>
  </si>
  <si>
    <t>A2-36</t>
  </si>
  <si>
    <t>A2-37</t>
  </si>
  <si>
    <t>A2-38</t>
  </si>
  <si>
    <t>A2-39</t>
  </si>
  <si>
    <t>A2-40</t>
  </si>
  <si>
    <t>A2-41</t>
  </si>
  <si>
    <t>A2-42</t>
  </si>
  <si>
    <t>A2-43</t>
  </si>
  <si>
    <t>A2-44</t>
  </si>
  <si>
    <t>A2-45</t>
  </si>
  <si>
    <t>A2-46</t>
  </si>
  <si>
    <t>A2-47</t>
  </si>
  <si>
    <t>A2-48</t>
  </si>
  <si>
    <t>A2-49</t>
  </si>
  <si>
    <t>A2-50</t>
  </si>
  <si>
    <t>A2-51</t>
  </si>
  <si>
    <t>A2-52</t>
  </si>
  <si>
    <t>A2-53</t>
  </si>
  <si>
    <t>A2-54</t>
  </si>
  <si>
    <t>A2-55</t>
  </si>
  <si>
    <t>A2-56</t>
  </si>
  <si>
    <t>A2 custom paper / DTF slot</t>
  </si>
  <si>
    <t>A2-57</t>
  </si>
  <si>
    <t>A2-58</t>
  </si>
  <si>
    <t>A2-59</t>
  </si>
  <si>
    <t>A2-60</t>
  </si>
  <si>
    <t>A2-61</t>
  </si>
  <si>
    <t>A2-62</t>
  </si>
  <si>
    <t>A2-63</t>
  </si>
  <si>
    <t>A2-64</t>
  </si>
  <si>
    <t>A2-65</t>
  </si>
  <si>
    <t>A2-66</t>
  </si>
  <si>
    <t>A2-67</t>
  </si>
  <si>
    <t>A2-68</t>
  </si>
  <si>
    <t>A2-69</t>
  </si>
  <si>
    <t>A2-70</t>
  </si>
  <si>
    <t>A3</t>
  </si>
  <si>
    <t>A3 paper / DTF variant</t>
  </si>
  <si>
    <t>Generated inside the A3 paper/DTF envelope. Generated dimensions round down to whole millimetres; below-minimum or duplicate candidates are skipped.</t>
  </si>
  <si>
    <t>A3-1</t>
  </si>
  <si>
    <t>A3-2</t>
  </si>
  <si>
    <t>A3-3</t>
  </si>
  <si>
    <t>A3-4</t>
  </si>
  <si>
    <t>A3-5</t>
  </si>
  <si>
    <t>A3-6</t>
  </si>
  <si>
    <t>A3-7</t>
  </si>
  <si>
    <t>A3-8</t>
  </si>
  <si>
    <t>A3-9</t>
  </si>
  <si>
    <t>A3-10</t>
  </si>
  <si>
    <t>A3-11</t>
  </si>
  <si>
    <t>A3-12</t>
  </si>
  <si>
    <t>A3-13</t>
  </si>
  <si>
    <t>A3-14</t>
  </si>
  <si>
    <t>A3-15</t>
  </si>
  <si>
    <t>A3-16</t>
  </si>
  <si>
    <t>A3-17</t>
  </si>
  <si>
    <t>A3-18</t>
  </si>
  <si>
    <t>A3-19</t>
  </si>
  <si>
    <t>A3-20</t>
  </si>
  <si>
    <t>A3-21</t>
  </si>
  <si>
    <t>A3-22</t>
  </si>
  <si>
    <t>A3-23</t>
  </si>
  <si>
    <t>A3-24</t>
  </si>
  <si>
    <t>A3-25</t>
  </si>
  <si>
    <t>A3-26</t>
  </si>
  <si>
    <t>A3-27</t>
  </si>
  <si>
    <t>A3-28</t>
  </si>
  <si>
    <t>A3-29</t>
  </si>
  <si>
    <t>A3-30</t>
  </si>
  <si>
    <t>A3-31</t>
  </si>
  <si>
    <t>A3-32</t>
  </si>
  <si>
    <t>A3-33</t>
  </si>
  <si>
    <t>A3-34</t>
  </si>
  <si>
    <t>A3-35</t>
  </si>
  <si>
    <t>A3-36</t>
  </si>
  <si>
    <t>A3-37</t>
  </si>
  <si>
    <t>A3-38</t>
  </si>
  <si>
    <t>A3-39</t>
  </si>
  <si>
    <t>A3-40</t>
  </si>
  <si>
    <t>A3-41</t>
  </si>
  <si>
    <t>A3-42</t>
  </si>
  <si>
    <t>A3-43</t>
  </si>
  <si>
    <t>A3-44</t>
  </si>
  <si>
    <t>A3-45</t>
  </si>
  <si>
    <t>A3-46</t>
  </si>
  <si>
    <t>A3-47</t>
  </si>
  <si>
    <t>A3-48</t>
  </si>
  <si>
    <t>A3-49</t>
  </si>
  <si>
    <t>A3-50</t>
  </si>
  <si>
    <t>A3-51</t>
  </si>
  <si>
    <t>A3-52</t>
  </si>
  <si>
    <t>A3-53</t>
  </si>
  <si>
    <t>A3-54</t>
  </si>
  <si>
    <t>A3-55</t>
  </si>
  <si>
    <t>A3-56</t>
  </si>
  <si>
    <t>A3 custom paper / DTF slot</t>
  </si>
  <si>
    <t>A3-57</t>
  </si>
  <si>
    <t>A3-58</t>
  </si>
  <si>
    <t>A3-59</t>
  </si>
  <si>
    <t>A3-60</t>
  </si>
  <si>
    <t>A3-61</t>
  </si>
  <si>
    <t>A3-62</t>
  </si>
  <si>
    <t>A3-63</t>
  </si>
  <si>
    <t>A3-64</t>
  </si>
  <si>
    <t>A3-65</t>
  </si>
  <si>
    <t>A3-66</t>
  </si>
  <si>
    <t>A3-67</t>
  </si>
  <si>
    <t>A3-68</t>
  </si>
  <si>
    <t>A3-69</t>
  </si>
  <si>
    <t>A3-70</t>
  </si>
  <si>
    <t>A4</t>
  </si>
  <si>
    <t>A4 paper / DTF variant</t>
  </si>
  <si>
    <t>Generated inside the A4 paper/DTF envelope. Generated dimensions round down to whole millimetres; below-minimum or duplicate candidates are skipped.</t>
  </si>
  <si>
    <t>A4-1</t>
  </si>
  <si>
    <t>A4-2</t>
  </si>
  <si>
    <t>A4-3</t>
  </si>
  <si>
    <t>A4-4</t>
  </si>
  <si>
    <t>A4-5</t>
  </si>
  <si>
    <t>A4-6</t>
  </si>
  <si>
    <t>A4-7</t>
  </si>
  <si>
    <t>A4-8</t>
  </si>
  <si>
    <t>A4-9</t>
  </si>
  <si>
    <t>A4-10</t>
  </si>
  <si>
    <t>A4-11</t>
  </si>
  <si>
    <t>A4-12</t>
  </si>
  <si>
    <t>A4-13</t>
  </si>
  <si>
    <t>A4-14</t>
  </si>
  <si>
    <t>A4-15</t>
  </si>
  <si>
    <t>A4-16</t>
  </si>
  <si>
    <t>A4-17</t>
  </si>
  <si>
    <t>A4-18</t>
  </si>
  <si>
    <t>A4-19</t>
  </si>
  <si>
    <t>A4-20</t>
  </si>
  <si>
    <t>A4-21</t>
  </si>
  <si>
    <t>A4-22</t>
  </si>
  <si>
    <t>A4-23</t>
  </si>
  <si>
    <t>A4-24</t>
  </si>
  <si>
    <t>A4-25</t>
  </si>
  <si>
    <t>A4-26</t>
  </si>
  <si>
    <t>A4-27</t>
  </si>
  <si>
    <t>A4-28</t>
  </si>
  <si>
    <t>A4-29</t>
  </si>
  <si>
    <t>A4-30</t>
  </si>
  <si>
    <t>A4-31</t>
  </si>
  <si>
    <t>A4-32</t>
  </si>
  <si>
    <t>A4-33</t>
  </si>
  <si>
    <t>A4-34</t>
  </si>
  <si>
    <t>A4-35</t>
  </si>
  <si>
    <t>A4-36</t>
  </si>
  <si>
    <t>A4-37</t>
  </si>
  <si>
    <t>A4-38</t>
  </si>
  <si>
    <t>A4-39</t>
  </si>
  <si>
    <t>A4-40</t>
  </si>
  <si>
    <t>A4-41</t>
  </si>
  <si>
    <t>A4-42</t>
  </si>
  <si>
    <t>A4-43</t>
  </si>
  <si>
    <t>A4-44</t>
  </si>
  <si>
    <t>A4-45</t>
  </si>
  <si>
    <t>A4-46</t>
  </si>
  <si>
    <t>A4-47</t>
  </si>
  <si>
    <t>A4-48</t>
  </si>
  <si>
    <t>A4-49</t>
  </si>
  <si>
    <t>A4-50</t>
  </si>
  <si>
    <t>A4-51</t>
  </si>
  <si>
    <t>A4-52</t>
  </si>
  <si>
    <t>A4-53</t>
  </si>
  <si>
    <t>A4-54</t>
  </si>
  <si>
    <t>A4-55</t>
  </si>
  <si>
    <t>A4-56</t>
  </si>
  <si>
    <t>A4 custom paper / DTF slot</t>
  </si>
  <si>
    <t>A4-57</t>
  </si>
  <si>
    <t>A4-58</t>
  </si>
  <si>
    <t>A4-59</t>
  </si>
  <si>
    <t>A4-60</t>
  </si>
  <si>
    <t>A4-61</t>
  </si>
  <si>
    <t>A4-62</t>
  </si>
  <si>
    <t>A4-63</t>
  </si>
  <si>
    <t>A4-64</t>
  </si>
  <si>
    <t>A4-65</t>
  </si>
  <si>
    <t>A4-66</t>
  </si>
  <si>
    <t>A4-67</t>
  </si>
  <si>
    <t>A4-68</t>
  </si>
  <si>
    <t>A4-69</t>
  </si>
  <si>
    <t>A4-70</t>
  </si>
  <si>
    <t>A5</t>
  </si>
  <si>
    <t>A5 paper / DTF variant</t>
  </si>
  <si>
    <t>Generated inside the A5 paper/DTF envelope. Generated dimensions round down to whole millimetres; below-minimum or duplicate candidates are skipped.</t>
  </si>
  <si>
    <t>A5-1</t>
  </si>
  <si>
    <t>A5-2</t>
  </si>
  <si>
    <t>A5-3</t>
  </si>
  <si>
    <t>A5-4</t>
  </si>
  <si>
    <t>A5-5</t>
  </si>
  <si>
    <t>A5-6</t>
  </si>
  <si>
    <t>A5-7</t>
  </si>
  <si>
    <t>A5-8</t>
  </si>
  <si>
    <t>A5-9</t>
  </si>
  <si>
    <t>A5-10</t>
  </si>
  <si>
    <t>A5-11</t>
  </si>
  <si>
    <t>A5-12</t>
  </si>
  <si>
    <t>A5-13</t>
  </si>
  <si>
    <t>A5-14</t>
  </si>
  <si>
    <t>A5-15</t>
  </si>
  <si>
    <t>A5-16</t>
  </si>
  <si>
    <t>A5-17</t>
  </si>
  <si>
    <t>A5-18</t>
  </si>
  <si>
    <t>A5-19</t>
  </si>
  <si>
    <t>A5-20</t>
  </si>
  <si>
    <t>A5-21</t>
  </si>
  <si>
    <t>A5-22</t>
  </si>
  <si>
    <t>A5-23</t>
  </si>
  <si>
    <t>A5-24</t>
  </si>
  <si>
    <t>A5-25</t>
  </si>
  <si>
    <t>A5-26</t>
  </si>
  <si>
    <t>A5-27</t>
  </si>
  <si>
    <t>A5-28</t>
  </si>
  <si>
    <t>A5-29</t>
  </si>
  <si>
    <t>A5-30</t>
  </si>
  <si>
    <t>A5-31</t>
  </si>
  <si>
    <t>A5-32</t>
  </si>
  <si>
    <t>A5-33</t>
  </si>
  <si>
    <t>A5-34</t>
  </si>
  <si>
    <t>A5-35</t>
  </si>
  <si>
    <t>A5-36</t>
  </si>
  <si>
    <t>A5-37</t>
  </si>
  <si>
    <t>A5-38</t>
  </si>
  <si>
    <t>A5-39</t>
  </si>
  <si>
    <t>A5-40</t>
  </si>
  <si>
    <t>A5-41</t>
  </si>
  <si>
    <t>A5-42</t>
  </si>
  <si>
    <t>A5-43</t>
  </si>
  <si>
    <t>A5-44</t>
  </si>
  <si>
    <t>A5-45</t>
  </si>
  <si>
    <t>A5-46</t>
  </si>
  <si>
    <t>A5-47</t>
  </si>
  <si>
    <t>A5-48</t>
  </si>
  <si>
    <t>A5-49</t>
  </si>
  <si>
    <t>A5-50</t>
  </si>
  <si>
    <t>A5-51</t>
  </si>
  <si>
    <t>A5-52</t>
  </si>
  <si>
    <t>A5-53</t>
  </si>
  <si>
    <t>A5-54</t>
  </si>
  <si>
    <t>A5-55</t>
  </si>
  <si>
    <t>A5-56</t>
  </si>
  <si>
    <t>A5 custom paper / DTF slot</t>
  </si>
  <si>
    <t>A5-57</t>
  </si>
  <si>
    <t>A5-58</t>
  </si>
  <si>
    <t>A5-59</t>
  </si>
  <si>
    <t>A5-60</t>
  </si>
  <si>
    <t>A5-61</t>
  </si>
  <si>
    <t>A5-62</t>
  </si>
  <si>
    <t>A5-63</t>
  </si>
  <si>
    <t>A5-64</t>
  </si>
  <si>
    <t>A5-65</t>
  </si>
  <si>
    <t>A5-66</t>
  </si>
  <si>
    <t>A5-67</t>
  </si>
  <si>
    <t>A5-68</t>
  </si>
  <si>
    <t>A5-69</t>
  </si>
  <si>
    <t>A5-70</t>
  </si>
  <si>
    <t>A6</t>
  </si>
  <si>
    <t>A6 paper / DTF variant</t>
  </si>
  <si>
    <t>Generated inside the A6 paper/DTF envelope. Generated dimensions round down to whole millimetres; below-minimum or duplicate candidates are skipped.</t>
  </si>
  <si>
    <t>A6-1</t>
  </si>
  <si>
    <t>A6-2</t>
  </si>
  <si>
    <t>A6-3</t>
  </si>
  <si>
    <t>A6-4</t>
  </si>
  <si>
    <t>A6-5</t>
  </si>
  <si>
    <t>A6-6</t>
  </si>
  <si>
    <t>A6-7</t>
  </si>
  <si>
    <t>A6-8</t>
  </si>
  <si>
    <t>A6-9</t>
  </si>
  <si>
    <t>A6-10</t>
  </si>
  <si>
    <t>A6-11</t>
  </si>
  <si>
    <t>A6-12</t>
  </si>
  <si>
    <t>A6-13</t>
  </si>
  <si>
    <t>A6-14</t>
  </si>
  <si>
    <t>A6-15</t>
  </si>
  <si>
    <t>A6-16</t>
  </si>
  <si>
    <t>A6-17</t>
  </si>
  <si>
    <t>A6-18</t>
  </si>
  <si>
    <t>A6-19</t>
  </si>
  <si>
    <t>A6-20</t>
  </si>
  <si>
    <t>A6-21</t>
  </si>
  <si>
    <t>A6-22</t>
  </si>
  <si>
    <t>A6-23</t>
  </si>
  <si>
    <t>A6-24</t>
  </si>
  <si>
    <t>A6-25</t>
  </si>
  <si>
    <t>A6-26</t>
  </si>
  <si>
    <t>A6-27</t>
  </si>
  <si>
    <t>A6-28</t>
  </si>
  <si>
    <t>A6-29</t>
  </si>
  <si>
    <t>A6-30</t>
  </si>
  <si>
    <t>A6-31</t>
  </si>
  <si>
    <t>A6-32</t>
  </si>
  <si>
    <t>A6-33</t>
  </si>
  <si>
    <t>A6-34</t>
  </si>
  <si>
    <t>A6-35</t>
  </si>
  <si>
    <t>A6-36</t>
  </si>
  <si>
    <t>A6-37</t>
  </si>
  <si>
    <t>A6-38</t>
  </si>
  <si>
    <t>A6-39</t>
  </si>
  <si>
    <t>A6-40</t>
  </si>
  <si>
    <t>A6-41</t>
  </si>
  <si>
    <t>A6-42</t>
  </si>
  <si>
    <t>A6-43</t>
  </si>
  <si>
    <t>A6-44</t>
  </si>
  <si>
    <t>A6-45</t>
  </si>
  <si>
    <t>A6-46</t>
  </si>
  <si>
    <t>A6-47</t>
  </si>
  <si>
    <t>A6-48</t>
  </si>
  <si>
    <t>A6-49</t>
  </si>
  <si>
    <t>A6-50</t>
  </si>
  <si>
    <t>A6-51</t>
  </si>
  <si>
    <t>A6-52</t>
  </si>
  <si>
    <t>A6-53</t>
  </si>
  <si>
    <t>A6-54</t>
  </si>
  <si>
    <t>A6-55</t>
  </si>
  <si>
    <t>A6-56</t>
  </si>
  <si>
    <t>A6 custom paper / DTF slot</t>
  </si>
  <si>
    <t>A6-57</t>
  </si>
  <si>
    <t>A6-58</t>
  </si>
  <si>
    <t>A6-59</t>
  </si>
  <si>
    <t>A6-60</t>
  </si>
  <si>
    <t>A6-61</t>
  </si>
  <si>
    <t>A6-62</t>
  </si>
  <si>
    <t>A6-63</t>
  </si>
  <si>
    <t>A6-64</t>
  </si>
  <si>
    <t>A6-65</t>
  </si>
  <si>
    <t>A6-66</t>
  </si>
  <si>
    <t>A6-67</t>
  </si>
  <si>
    <t>A6-68</t>
  </si>
  <si>
    <t>A6-69</t>
  </si>
  <si>
    <t>A6-70</t>
  </si>
  <si>
    <t>A7</t>
  </si>
  <si>
    <t>A7 paper / DTF variant</t>
  </si>
  <si>
    <t>Generated inside the A7 paper/DTF envelope. Generated dimensions round down to whole millimetres; below-minimum or duplicate candidates are skipped.</t>
  </si>
  <si>
    <t>A7-1</t>
  </si>
  <si>
    <t>A7-2</t>
  </si>
  <si>
    <t>A7-3</t>
  </si>
  <si>
    <t>A7-4</t>
  </si>
  <si>
    <t>A7-5</t>
  </si>
  <si>
    <t>A7-6</t>
  </si>
  <si>
    <t>A7-7</t>
  </si>
  <si>
    <t>A7-8</t>
  </si>
  <si>
    <t>A7-9</t>
  </si>
  <si>
    <t>A7-10</t>
  </si>
  <si>
    <t>A7-11</t>
  </si>
  <si>
    <t>A7-12</t>
  </si>
  <si>
    <t>A7-13</t>
  </si>
  <si>
    <t>A7-14</t>
  </si>
  <si>
    <t>A7-15</t>
  </si>
  <si>
    <t>A7-16</t>
  </si>
  <si>
    <t>A7-17</t>
  </si>
  <si>
    <t>A7-18</t>
  </si>
  <si>
    <t>A7-19</t>
  </si>
  <si>
    <t>A7-20</t>
  </si>
  <si>
    <t>A7-21</t>
  </si>
  <si>
    <t>A7-22</t>
  </si>
  <si>
    <t>A7-23</t>
  </si>
  <si>
    <t>A7-24</t>
  </si>
  <si>
    <t>A7-25</t>
  </si>
  <si>
    <t>A7-26</t>
  </si>
  <si>
    <t>A7-27</t>
  </si>
  <si>
    <t>A7-28</t>
  </si>
  <si>
    <t>A7-29</t>
  </si>
  <si>
    <t>A7-30</t>
  </si>
  <si>
    <t>A7-31</t>
  </si>
  <si>
    <t>A7-32</t>
  </si>
  <si>
    <t>A7-33</t>
  </si>
  <si>
    <t>A7-34</t>
  </si>
  <si>
    <t>A7-35</t>
  </si>
  <si>
    <t>A7-36</t>
  </si>
  <si>
    <t>A7-37</t>
  </si>
  <si>
    <t>A7-38</t>
  </si>
  <si>
    <t>A7-39</t>
  </si>
  <si>
    <t>A7-40</t>
  </si>
  <si>
    <t>A7-41</t>
  </si>
  <si>
    <t>A7-42</t>
  </si>
  <si>
    <t>A7-43</t>
  </si>
  <si>
    <t>A7-44</t>
  </si>
  <si>
    <t>A7-45</t>
  </si>
  <si>
    <t>A7-46</t>
  </si>
  <si>
    <t>A7-47</t>
  </si>
  <si>
    <t>A7-48</t>
  </si>
  <si>
    <t>A7-49</t>
  </si>
  <si>
    <t>A7-50</t>
  </si>
  <si>
    <t>A7-51</t>
  </si>
  <si>
    <t>A7-52</t>
  </si>
  <si>
    <t>A7-53</t>
  </si>
  <si>
    <t>A7-54</t>
  </si>
  <si>
    <t>A7-55</t>
  </si>
  <si>
    <t>A7-56</t>
  </si>
  <si>
    <t>A7 custom paper / DTF slot</t>
  </si>
  <si>
    <t>A7-57</t>
  </si>
  <si>
    <t>A7-58</t>
  </si>
  <si>
    <t>A7-59</t>
  </si>
  <si>
    <t>A7-60</t>
  </si>
  <si>
    <t>A7-61</t>
  </si>
  <si>
    <t>A7-62</t>
  </si>
  <si>
    <t>A7-63</t>
  </si>
  <si>
    <t>A7-64</t>
  </si>
  <si>
    <t>A7-65</t>
  </si>
  <si>
    <t>A7-66</t>
  </si>
  <si>
    <t>A7-67</t>
  </si>
  <si>
    <t>A7-68</t>
  </si>
  <si>
    <t>A7-69</t>
  </si>
  <si>
    <t>A7-70</t>
  </si>
  <si>
    <t>A8</t>
  </si>
  <si>
    <t>A8 paper / DTF variant</t>
  </si>
  <si>
    <t>Generated inside the A8 paper/DTF envelope. Generated dimensions round down to whole millimetres; below-minimum or duplicate candidates are skipped.</t>
  </si>
  <si>
    <t>A8-1</t>
  </si>
  <si>
    <t>A8-2</t>
  </si>
  <si>
    <t>A8-3</t>
  </si>
  <si>
    <t>A8-4</t>
  </si>
  <si>
    <t>A8-5</t>
  </si>
  <si>
    <t>A8-6</t>
  </si>
  <si>
    <t>A8-7</t>
  </si>
  <si>
    <t>A8-8</t>
  </si>
  <si>
    <t>A8-9</t>
  </si>
  <si>
    <t>A8-10</t>
  </si>
  <si>
    <t>A8-11</t>
  </si>
  <si>
    <t>A8-12</t>
  </si>
  <si>
    <t>A8-13</t>
  </si>
  <si>
    <t>A8-14</t>
  </si>
  <si>
    <t>A8-15</t>
  </si>
  <si>
    <t>A8-16</t>
  </si>
  <si>
    <t>A8-17</t>
  </si>
  <si>
    <t>A8-18</t>
  </si>
  <si>
    <t>A8-19</t>
  </si>
  <si>
    <t>A8-20</t>
  </si>
  <si>
    <t>A8-21</t>
  </si>
  <si>
    <t>A8-22</t>
  </si>
  <si>
    <t>A8-23</t>
  </si>
  <si>
    <t>A8-24</t>
  </si>
  <si>
    <t>A8-25</t>
  </si>
  <si>
    <t>A8-26</t>
  </si>
  <si>
    <t>A8-27</t>
  </si>
  <si>
    <t>A8-28</t>
  </si>
  <si>
    <t>A8-29</t>
  </si>
  <si>
    <t>A8-30</t>
  </si>
  <si>
    <t>A8-31</t>
  </si>
  <si>
    <t>A8-32</t>
  </si>
  <si>
    <t>A8-33</t>
  </si>
  <si>
    <t>A8-34</t>
  </si>
  <si>
    <t>A8-35</t>
  </si>
  <si>
    <t>A8-36</t>
  </si>
  <si>
    <t>A8-37</t>
  </si>
  <si>
    <t>A8-38</t>
  </si>
  <si>
    <t>A8-39</t>
  </si>
  <si>
    <t>A8-40</t>
  </si>
  <si>
    <t>A8-41</t>
  </si>
  <si>
    <t>A8-42</t>
  </si>
  <si>
    <t>A8-43</t>
  </si>
  <si>
    <t>A8-44</t>
  </si>
  <si>
    <t>A8-45</t>
  </si>
  <si>
    <t>A8-46</t>
  </si>
  <si>
    <t>A8-47</t>
  </si>
  <si>
    <t>A8-48</t>
  </si>
  <si>
    <t>A8-49</t>
  </si>
  <si>
    <t>A8-50</t>
  </si>
  <si>
    <t>A8-51</t>
  </si>
  <si>
    <t>A8-52</t>
  </si>
  <si>
    <t>A8-53</t>
  </si>
  <si>
    <t>A8-54</t>
  </si>
  <si>
    <t>A8-55</t>
  </si>
  <si>
    <t>A8-56</t>
  </si>
  <si>
    <t>A8 custom paper / DTF slot</t>
  </si>
  <si>
    <t>A8-57</t>
  </si>
  <si>
    <t>A8-58</t>
  </si>
  <si>
    <t>A8-59</t>
  </si>
  <si>
    <t>A8-60</t>
  </si>
  <si>
    <t>A8-61</t>
  </si>
  <si>
    <t>A8-62</t>
  </si>
  <si>
    <t>A8-63</t>
  </si>
  <si>
    <t>A8-64</t>
  </si>
  <si>
    <t>A8-65</t>
  </si>
  <si>
    <t>A8-66</t>
  </si>
  <si>
    <t>A8-67</t>
  </si>
  <si>
    <t>A8-68</t>
  </si>
  <si>
    <t>A8-69</t>
  </si>
  <si>
    <t>A8-70</t>
  </si>
  <si>
    <t>A9</t>
  </si>
  <si>
    <t>A9 paper / DTF variant</t>
  </si>
  <si>
    <t>Generated inside the A9 paper/DTF envelope. Generated dimensions round down to whole millimetres; below-minimum or duplicate candidates are skipped.</t>
  </si>
  <si>
    <t>A9-1</t>
  </si>
  <si>
    <t>A9-2</t>
  </si>
  <si>
    <t>A9-3</t>
  </si>
  <si>
    <t>A9-4</t>
  </si>
  <si>
    <t>A9-5</t>
  </si>
  <si>
    <t>A9-6</t>
  </si>
  <si>
    <t>A9-7</t>
  </si>
  <si>
    <t>A9-8</t>
  </si>
  <si>
    <t>A9-9</t>
  </si>
  <si>
    <t>A9-10</t>
  </si>
  <si>
    <t>A9-11</t>
  </si>
  <si>
    <t>A9-12</t>
  </si>
  <si>
    <t>A9-13</t>
  </si>
  <si>
    <t>A9-14</t>
  </si>
  <si>
    <t>A9-15</t>
  </si>
  <si>
    <t>A9-16</t>
  </si>
  <si>
    <t>A9-17</t>
  </si>
  <si>
    <t>A9-18</t>
  </si>
  <si>
    <t>A9-19</t>
  </si>
  <si>
    <t>A9-20</t>
  </si>
  <si>
    <t>A9-21</t>
  </si>
  <si>
    <t>A9-22</t>
  </si>
  <si>
    <t>A9-23</t>
  </si>
  <si>
    <t>A9-24</t>
  </si>
  <si>
    <t>A9-25</t>
  </si>
  <si>
    <t>A9-26</t>
  </si>
  <si>
    <t>A9-27</t>
  </si>
  <si>
    <t>A9-28</t>
  </si>
  <si>
    <t>A9-29</t>
  </si>
  <si>
    <t>A9-30</t>
  </si>
  <si>
    <t>A9-31</t>
  </si>
  <si>
    <t>A9-32</t>
  </si>
  <si>
    <t>A9-33</t>
  </si>
  <si>
    <t>A9-34</t>
  </si>
  <si>
    <t>A9-35</t>
  </si>
  <si>
    <t>A9-36</t>
  </si>
  <si>
    <t>A9-37</t>
  </si>
  <si>
    <t>A9-38</t>
  </si>
  <si>
    <t>A9-39</t>
  </si>
  <si>
    <t>A9-40</t>
  </si>
  <si>
    <t>A9-41</t>
  </si>
  <si>
    <t>A9-42</t>
  </si>
  <si>
    <t>A9-43</t>
  </si>
  <si>
    <t>A9-44</t>
  </si>
  <si>
    <t>A9-45</t>
  </si>
  <si>
    <t>A9-46</t>
  </si>
  <si>
    <t>A9-47</t>
  </si>
  <si>
    <t>A9-48</t>
  </si>
  <si>
    <t>A9-49</t>
  </si>
  <si>
    <t>A9-50</t>
  </si>
  <si>
    <t>A9-51</t>
  </si>
  <si>
    <t>A9-52</t>
  </si>
  <si>
    <t>A9-53</t>
  </si>
  <si>
    <t>A9-54</t>
  </si>
  <si>
    <t>A9-55</t>
  </si>
  <si>
    <t>A9-56</t>
  </si>
  <si>
    <t>A9 custom paper / DTF slot</t>
  </si>
  <si>
    <t>A9-57</t>
  </si>
  <si>
    <t>A9-58</t>
  </si>
  <si>
    <t>A9-59</t>
  </si>
  <si>
    <t>A9-60</t>
  </si>
  <si>
    <t>A9-61</t>
  </si>
  <si>
    <t>A9-62</t>
  </si>
  <si>
    <t>A9-63</t>
  </si>
  <si>
    <t>A9-64</t>
  </si>
  <si>
    <t>A9-65</t>
  </si>
  <si>
    <t>A9-66</t>
  </si>
  <si>
    <t>A9-67</t>
  </si>
  <si>
    <t>A9-68</t>
  </si>
  <si>
    <t>A9-69</t>
  </si>
  <si>
    <t>A9-70</t>
  </si>
  <si>
    <t>A10</t>
  </si>
  <si>
    <t>A10 paper / DTF variant</t>
  </si>
  <si>
    <t>Generated inside the A10 paper/DTF envelope. Generated dimensions round down to whole millimetres; below-minimum or duplicate candidates are skipped.</t>
  </si>
  <si>
    <t>A10-1</t>
  </si>
  <si>
    <t>A10-2</t>
  </si>
  <si>
    <t>A10-3</t>
  </si>
  <si>
    <t>A10-4</t>
  </si>
  <si>
    <t>A10-5</t>
  </si>
  <si>
    <t>A10-6</t>
  </si>
  <si>
    <t>A10-7</t>
  </si>
  <si>
    <t>A10-8</t>
  </si>
  <si>
    <t>A10-9</t>
  </si>
  <si>
    <t>A10-10</t>
  </si>
  <si>
    <t>A10-11</t>
  </si>
  <si>
    <t>A10-12</t>
  </si>
  <si>
    <t>A10-13</t>
  </si>
  <si>
    <t>A10-14</t>
  </si>
  <si>
    <t>A10-15</t>
  </si>
  <si>
    <t>A10-16</t>
  </si>
  <si>
    <t>A10-17</t>
  </si>
  <si>
    <t>A10-18</t>
  </si>
  <si>
    <t>A10-19</t>
  </si>
  <si>
    <t>A10-20</t>
  </si>
  <si>
    <t>A10-21</t>
  </si>
  <si>
    <t>A10-22</t>
  </si>
  <si>
    <t>A10-23</t>
  </si>
  <si>
    <t>A10-24</t>
  </si>
  <si>
    <t>A10-25</t>
  </si>
  <si>
    <t>A10-26</t>
  </si>
  <si>
    <t>A10-27</t>
  </si>
  <si>
    <t>A10-28</t>
  </si>
  <si>
    <t>A10-29</t>
  </si>
  <si>
    <t>A10-30</t>
  </si>
  <si>
    <t>A10-31</t>
  </si>
  <si>
    <t>A10-32</t>
  </si>
  <si>
    <t>A10-33</t>
  </si>
  <si>
    <t>A10-34</t>
  </si>
  <si>
    <t>A10-35</t>
  </si>
  <si>
    <t>A10-36</t>
  </si>
  <si>
    <t>A10-37</t>
  </si>
  <si>
    <t>A10-38</t>
  </si>
  <si>
    <t>A10-39</t>
  </si>
  <si>
    <t>A10-40</t>
  </si>
  <si>
    <t>A10-41</t>
  </si>
  <si>
    <t>A10-42</t>
  </si>
  <si>
    <t>A10-43</t>
  </si>
  <si>
    <t>A10-44</t>
  </si>
  <si>
    <t>A10-45</t>
  </si>
  <si>
    <t>A10-46</t>
  </si>
  <si>
    <t>A10-47</t>
  </si>
  <si>
    <t>A10-48</t>
  </si>
  <si>
    <t>A10-49</t>
  </si>
  <si>
    <t>A10-50</t>
  </si>
  <si>
    <t>A10-51</t>
  </si>
  <si>
    <t>A10-52</t>
  </si>
  <si>
    <t>A10-53</t>
  </si>
  <si>
    <t>A10-54</t>
  </si>
  <si>
    <t>A10-55</t>
  </si>
  <si>
    <t>A10-56</t>
  </si>
  <si>
    <t>A10 custom paper / DTF slot</t>
  </si>
  <si>
    <t>A10-57</t>
  </si>
  <si>
    <t>A10-58</t>
  </si>
  <si>
    <t>A10-59</t>
  </si>
  <si>
    <t>A10-60</t>
  </si>
  <si>
    <t>A10-61</t>
  </si>
  <si>
    <t>A10-62</t>
  </si>
  <si>
    <t>A10-63</t>
  </si>
  <si>
    <t>A10-64</t>
  </si>
  <si>
    <t>A10-65</t>
  </si>
  <si>
    <t>A10-66</t>
  </si>
  <si>
    <t>A10-67</t>
  </si>
  <si>
    <t>A10-68</t>
  </si>
  <si>
    <t>A10-69</t>
  </si>
  <si>
    <t>A10-70</t>
  </si>
  <si>
    <t>A11</t>
  </si>
  <si>
    <t>A11 paper / DTF variant</t>
  </si>
  <si>
    <t>Generated inside the A11 paper/DTF envelope. Generated dimensions round down to whole millimetres; below-minimum or duplicate candidates are skipped.</t>
  </si>
  <si>
    <t>A11-1</t>
  </si>
  <si>
    <t>A11-2</t>
  </si>
  <si>
    <t>A11-3</t>
  </si>
  <si>
    <t>A11-4</t>
  </si>
  <si>
    <t>A11-5</t>
  </si>
  <si>
    <t>A11-6</t>
  </si>
  <si>
    <t>A11-7</t>
  </si>
  <si>
    <t>A11-8</t>
  </si>
  <si>
    <t>A11-9</t>
  </si>
  <si>
    <t>A11-10</t>
  </si>
  <si>
    <t>A11-11</t>
  </si>
  <si>
    <t>A11-12</t>
  </si>
  <si>
    <t>A11-13</t>
  </si>
  <si>
    <t>A11-14</t>
  </si>
  <si>
    <t>A11-15</t>
  </si>
  <si>
    <t>A11-16</t>
  </si>
  <si>
    <t>A11-17</t>
  </si>
  <si>
    <t>A11-18</t>
  </si>
  <si>
    <t>A11-19</t>
  </si>
  <si>
    <t>A11-20</t>
  </si>
  <si>
    <t>A11-21</t>
  </si>
  <si>
    <t>A11-22</t>
  </si>
  <si>
    <t>A11-23</t>
  </si>
  <si>
    <t>A11-24</t>
  </si>
  <si>
    <t>A11-25</t>
  </si>
  <si>
    <t>A11-26</t>
  </si>
  <si>
    <t>A11-27</t>
  </si>
  <si>
    <t>A11-28</t>
  </si>
  <si>
    <t>A11-29</t>
  </si>
  <si>
    <t>A11-30</t>
  </si>
  <si>
    <t>A11-31</t>
  </si>
  <si>
    <t>A11-32</t>
  </si>
  <si>
    <t>A11-33</t>
  </si>
  <si>
    <t>A11-34</t>
  </si>
  <si>
    <t>A11-35</t>
  </si>
  <si>
    <t>A11-36</t>
  </si>
  <si>
    <t>A11-37</t>
  </si>
  <si>
    <t>A11-38</t>
  </si>
  <si>
    <t>A11-39</t>
  </si>
  <si>
    <t>A11-40</t>
  </si>
  <si>
    <t>A11-41</t>
  </si>
  <si>
    <t>A11-42</t>
  </si>
  <si>
    <t>A11-43</t>
  </si>
  <si>
    <t>A11-44</t>
  </si>
  <si>
    <t>A11-45</t>
  </si>
  <si>
    <t>A11-46</t>
  </si>
  <si>
    <t>A11-47</t>
  </si>
  <si>
    <t>A11-48</t>
  </si>
  <si>
    <t>A11-49</t>
  </si>
  <si>
    <t>A11-50</t>
  </si>
  <si>
    <t>A11-51</t>
  </si>
  <si>
    <t>A11-52</t>
  </si>
  <si>
    <t>A11-53</t>
  </si>
  <si>
    <t>A11-54</t>
  </si>
  <si>
    <t>A11-55</t>
  </si>
  <si>
    <t>A11-56</t>
  </si>
  <si>
    <t>A11 custom paper / DTF slot</t>
  </si>
  <si>
    <t>A11-57</t>
  </si>
  <si>
    <t>A11-58</t>
  </si>
  <si>
    <t>A11-59</t>
  </si>
  <si>
    <t>A11-60</t>
  </si>
  <si>
    <t>A11-61</t>
  </si>
  <si>
    <t>A11-62</t>
  </si>
  <si>
    <t>A11-63</t>
  </si>
  <si>
    <t>A11-64</t>
  </si>
  <si>
    <t>A11-65</t>
  </si>
  <si>
    <t>A11-66</t>
  </si>
  <si>
    <t>A11-67</t>
  </si>
  <si>
    <t>A11-68</t>
  </si>
  <si>
    <t>A11-69</t>
  </si>
  <si>
    <t>A11-70</t>
  </si>
  <si>
    <t>A12</t>
  </si>
  <si>
    <t>A12 paper / DTF variant</t>
  </si>
  <si>
    <t>Generated inside the A12 paper/DTF envelope. Generated dimensions round down to whole millimetres; below-minimum or duplicate candidates are skipped.</t>
  </si>
  <si>
    <t>A12-1</t>
  </si>
  <si>
    <t>A12-2</t>
  </si>
  <si>
    <t>A12-3</t>
  </si>
  <si>
    <t>A12-4</t>
  </si>
  <si>
    <t>A12-5</t>
  </si>
  <si>
    <t>A12-6</t>
  </si>
  <si>
    <t>A12-7</t>
  </si>
  <si>
    <t>A12-8</t>
  </si>
  <si>
    <t>A12-9</t>
  </si>
  <si>
    <t>A12-10</t>
  </si>
  <si>
    <t>A12-11</t>
  </si>
  <si>
    <t>A12-12</t>
  </si>
  <si>
    <t>A12-13</t>
  </si>
  <si>
    <t>A12-14</t>
  </si>
  <si>
    <t>A12-15</t>
  </si>
  <si>
    <t>A12-16</t>
  </si>
  <si>
    <t>A12-17</t>
  </si>
  <si>
    <t>A12-18</t>
  </si>
  <si>
    <t>A12-19</t>
  </si>
  <si>
    <t>A12-20</t>
  </si>
  <si>
    <t>A12-21</t>
  </si>
  <si>
    <t>A12-22</t>
  </si>
  <si>
    <t>A12-23</t>
  </si>
  <si>
    <t>A12-24</t>
  </si>
  <si>
    <t>A12-25</t>
  </si>
  <si>
    <t>A12-26</t>
  </si>
  <si>
    <t>A12-27</t>
  </si>
  <si>
    <t>A12-28</t>
  </si>
  <si>
    <t>A12-29</t>
  </si>
  <si>
    <t>A12-30</t>
  </si>
  <si>
    <t>A12-31</t>
  </si>
  <si>
    <t>A12-32</t>
  </si>
  <si>
    <t>A12-33</t>
  </si>
  <si>
    <t>A12-34</t>
  </si>
  <si>
    <t>A12-35</t>
  </si>
  <si>
    <t>A12-36</t>
  </si>
  <si>
    <t>A12-37</t>
  </si>
  <si>
    <t>A12-38</t>
  </si>
  <si>
    <t>A12-39</t>
  </si>
  <si>
    <t>A12-40</t>
  </si>
  <si>
    <t>A12-41</t>
  </si>
  <si>
    <t>A12-42</t>
  </si>
  <si>
    <t>A12-43</t>
  </si>
  <si>
    <t>A12-44</t>
  </si>
  <si>
    <t>A12-45</t>
  </si>
  <si>
    <t>A12-46</t>
  </si>
  <si>
    <t>A12-47</t>
  </si>
  <si>
    <t>A12-48</t>
  </si>
  <si>
    <t>A12-49</t>
  </si>
  <si>
    <t>A12-50</t>
  </si>
  <si>
    <t>A12-51</t>
  </si>
  <si>
    <t>A12-52</t>
  </si>
  <si>
    <t>A12-53</t>
  </si>
  <si>
    <t>A12-54</t>
  </si>
  <si>
    <t>A12-55</t>
  </si>
  <si>
    <t>A12-56</t>
  </si>
  <si>
    <t>A12 custom paper / DTF slot</t>
  </si>
  <si>
    <t>A12-57</t>
  </si>
  <si>
    <t>A12-58</t>
  </si>
  <si>
    <t>A12-59</t>
  </si>
  <si>
    <t>A12-60</t>
  </si>
  <si>
    <t>A12-61</t>
  </si>
  <si>
    <t>A12-62</t>
  </si>
  <si>
    <t>A12-63</t>
  </si>
  <si>
    <t>A12-64</t>
  </si>
  <si>
    <t>A12-65</t>
  </si>
  <si>
    <t>A12-66</t>
  </si>
  <si>
    <t>A12-67</t>
  </si>
  <si>
    <t>A12-68</t>
  </si>
  <si>
    <t>A12-69</t>
  </si>
  <si>
    <t>A12-70</t>
  </si>
  <si>
    <t>Nominal full bed</t>
  </si>
  <si>
    <t>Machine-derived</t>
  </si>
  <si>
    <t>Flatbed</t>
  </si>
  <si>
    <t>Nominal bed from process controls; fixtures may reduce this.</t>
  </si>
  <si>
    <t>UV-1</t>
  </si>
  <si>
    <t>Safe full bed</t>
  </si>
  <si>
    <t>Configured safety margin applied on all sides.</t>
  </si>
  <si>
    <t>UV-2</t>
  </si>
  <si>
    <t>Half bed</t>
  </si>
  <si>
    <t>Landscape panel</t>
  </si>
  <si>
    <t>Full width and half bed length.</t>
  </si>
  <si>
    <t>UV-3</t>
  </si>
  <si>
    <t>ISO-based</t>
  </si>
  <si>
    <t>Portrait</t>
  </si>
  <si>
    <t>Check actual bed/jig orientation.</t>
  </si>
  <si>
    <t>UV-4</t>
  </si>
  <si>
    <t>Landscape</t>
  </si>
  <si>
    <t>UV-5</t>
  </si>
  <si>
    <t>UV-6</t>
  </si>
  <si>
    <t>UV-7</t>
  </si>
  <si>
    <t>UV-8</t>
  </si>
  <si>
    <t>Rigid panel</t>
  </si>
  <si>
    <t>Shop starting preset</t>
  </si>
  <si>
    <t>Square</t>
  </si>
  <si>
    <t>Measure substrate and jig.</t>
  </si>
  <si>
    <t>UV-9</t>
  </si>
  <si>
    <t>UV-10</t>
  </si>
  <si>
    <t>UV-11</t>
  </si>
  <si>
    <t>UV-12</t>
  </si>
  <si>
    <t>UV-13</t>
  </si>
  <si>
    <t>Small item</t>
  </si>
  <si>
    <t>Check fixture and minimum detail.</t>
  </si>
  <si>
    <t>UV-14</t>
  </si>
  <si>
    <t>Photo block</t>
  </si>
  <si>
    <t>Common blank starting preset</t>
  </si>
  <si>
    <t>Verify exact blank dimensions and printable face.</t>
  </si>
  <si>
    <t>UV-15</t>
  </si>
  <si>
    <t>UV-16</t>
  </si>
  <si>
    <t>UV-17</t>
  </si>
  <si>
    <t>Photo block / panel</t>
  </si>
  <si>
    <t>UV-18</t>
  </si>
  <si>
    <t>Acrylic sign</t>
  </si>
  <si>
    <t>Allow finishing and mounting clearance.</t>
  </si>
  <si>
    <t>UV-19</t>
  </si>
  <si>
    <t>UV-20</t>
  </si>
  <si>
    <t>Name plaque</t>
  </si>
  <si>
    <t>Verify material and jig.</t>
  </si>
  <si>
    <t>UV-21</t>
  </si>
  <si>
    <t>UV-22</t>
  </si>
  <si>
    <t>Keychain</t>
  </si>
  <si>
    <t>Print area is smaller than overall blank when holes/edges are present.</t>
  </si>
  <si>
    <t>UV-23</t>
  </si>
  <si>
    <t>Verify hole and edge clearance.</t>
  </si>
  <si>
    <t>UV-24</t>
  </si>
  <si>
    <t>UV-25</t>
  </si>
  <si>
    <t>UV-26</t>
  </si>
  <si>
    <t>Coaster</t>
  </si>
  <si>
    <t>Verify exact coaster and bleed.</t>
  </si>
  <si>
    <t>UV-27</t>
  </si>
  <si>
    <t>UV-28</t>
  </si>
  <si>
    <t>Phone case</t>
  </si>
  <si>
    <t>Use the exact case template; camera cut-out changes print area.</t>
  </si>
  <si>
    <t>UV-29</t>
  </si>
  <si>
    <t>Card</t>
  </si>
  <si>
    <t>Common physical format</t>
  </si>
  <si>
    <t>Allow for bleed and rounded corners if used.</t>
  </si>
  <si>
    <t>UV-30</t>
  </si>
  <si>
    <t>11 oz mug wrap starting point</t>
  </si>
  <si>
    <t>Cylindrical / UV-DTF / rotary</t>
  </si>
  <si>
    <t>Rotary attachment or UV-DTF/sublimation workflow required; verify the blank template.</t>
  </si>
  <si>
    <t>UV-31</t>
  </si>
  <si>
    <t>Bottle print starting point</t>
  </si>
  <si>
    <t>Cylindrical / rotary</t>
  </si>
  <si>
    <t>Verify printable circumference, taper and rotary limits.</t>
  </si>
  <si>
    <t>UV-32</t>
  </si>
  <si>
    <t>Sticker / label sheet</t>
  </si>
  <si>
    <t>May require separate cutting/finishing.</t>
  </si>
  <si>
    <t>UV-33</t>
  </si>
  <si>
    <t>UV-34</t>
  </si>
  <si>
    <t>Long strip</t>
  </si>
  <si>
    <t>Nominal full width; likely edge-margin caution.</t>
  </si>
  <si>
    <t>UV-35</t>
  </si>
  <si>
    <t>Wide panel</t>
  </si>
  <si>
    <t>UV-36</t>
  </si>
  <si>
    <t>UV custom slot</t>
  </si>
  <si>
    <t>User-defined process size</t>
  </si>
  <si>
    <t>Enter both dimensions. Confirm the final blank, jig, material and finishing allowances.</t>
  </si>
  <si>
    <t>UV-37</t>
  </si>
  <si>
    <t>UV-38</t>
  </si>
  <si>
    <t>UV-39</t>
  </si>
  <si>
    <t>UV-40</t>
  </si>
  <si>
    <t>UV-41</t>
  </si>
  <si>
    <t>UV-42</t>
  </si>
  <si>
    <t>UV-43</t>
  </si>
  <si>
    <t>UV-44</t>
  </si>
  <si>
    <t>UV-45</t>
  </si>
  <si>
    <t>UV-46</t>
  </si>
  <si>
    <t>UV-47</t>
  </si>
  <si>
    <t>UV-48</t>
  </si>
  <si>
    <t>UV-49</t>
  </si>
  <si>
    <t>UV-50</t>
  </si>
  <si>
    <t>Nominal working bed.</t>
  </si>
  <si>
    <t>LCCO2-1</t>
  </si>
  <si>
    <t>Configured safety margin applied.</t>
  </si>
  <si>
    <t>LCCO2-2</t>
  </si>
  <si>
    <t>Stock sheet</t>
  </si>
  <si>
    <t>Common stock starting preset</t>
  </si>
  <si>
    <t>Verify actual material sheet and bed clearance.</t>
  </si>
  <si>
    <t>LCCO2-3</t>
  </si>
  <si>
    <t>LCCO2-4</t>
  </si>
  <si>
    <t>LCCO2-5</t>
  </si>
  <si>
    <t>LCCO2-6</t>
  </si>
  <si>
    <t>LCCO2-7</t>
  </si>
  <si>
    <t>LCCO2-8</t>
  </si>
  <si>
    <t>LCCO2-9</t>
  </si>
  <si>
    <t>Bounding box only.</t>
  </si>
  <si>
    <t>LCCO2-10</t>
  </si>
  <si>
    <t>LCCO2-11</t>
  </si>
  <si>
    <t>LCCO2-12</t>
  </si>
  <si>
    <t>Panel</t>
  </si>
  <si>
    <t>Kerf and clamp clearance not included.</t>
  </si>
  <si>
    <t>LCCO2-13</t>
  </si>
  <si>
    <t>LCCO2-14</t>
  </si>
  <si>
    <t>LCCO2-15</t>
  </si>
  <si>
    <t>LCCO2-16</t>
  </si>
  <si>
    <t>LCCO2-17</t>
  </si>
  <si>
    <t>LCCO2-18</t>
  </si>
  <si>
    <t>LCCO2-19</t>
  </si>
  <si>
    <t>Allow hole and edge clearance.</t>
  </si>
  <si>
    <t>LCCO2-20</t>
  </si>
  <si>
    <t>LCCO2-21</t>
  </si>
  <si>
    <t>LCCO2-22</t>
  </si>
  <si>
    <t>LCCO2-23</t>
  </si>
  <si>
    <t>Adjust for kerf and finishing.</t>
  </si>
  <si>
    <t>LCCO2-24</t>
  </si>
  <si>
    <t>LCCO2-25</t>
  </si>
  <si>
    <t>Ornament</t>
  </si>
  <si>
    <t>Square / round bounding box</t>
  </si>
  <si>
    <t>Bounding box only; add hanger-hole clearance.</t>
  </si>
  <si>
    <t>LCCO2-26</t>
  </si>
  <si>
    <t>LCCO2-27</t>
  </si>
  <si>
    <t>LCCO2-28</t>
  </si>
  <si>
    <t>LCCO2-29</t>
  </si>
  <si>
    <t>Sign</t>
  </si>
  <si>
    <t>LCCO2-30</t>
  </si>
  <si>
    <t>LCCO2-31</t>
  </si>
  <si>
    <t>Cake topper</t>
  </si>
  <si>
    <t>Square bounding box</t>
  </si>
  <si>
    <t>Thin stems and features require material-specific checks.</t>
  </si>
  <si>
    <t>LCCO2-32</t>
  </si>
  <si>
    <t>LCCO2-33</t>
  </si>
  <si>
    <t>Tag</t>
  </si>
  <si>
    <t>Add hole and kerf clearance.</t>
  </si>
  <si>
    <t>LCCO2-34</t>
  </si>
  <si>
    <t>Bookmark</t>
  </si>
  <si>
    <t>Check material strength.</t>
  </si>
  <si>
    <t>LCCO2-35</t>
  </si>
  <si>
    <t>Check bed position and material bow.</t>
  </si>
  <si>
    <t>LCCO2-36</t>
  </si>
  <si>
    <t>LCCO2 custom slot</t>
  </si>
  <si>
    <t>Whole mm only. Verify blank/jig; keep kerf in the laser/CAD file.</t>
  </si>
  <si>
    <t>LCCO2-37</t>
  </si>
  <si>
    <t>LCCO2-38</t>
  </si>
  <si>
    <t>LCCO2-39</t>
  </si>
  <si>
    <t>LCCO2-40</t>
  </si>
  <si>
    <t>LCCO2-41</t>
  </si>
  <si>
    <t>LCCO2-42</t>
  </si>
  <si>
    <t>LCCO2-43</t>
  </si>
  <si>
    <t>LCCO2-44</t>
  </si>
  <si>
    <t>LCCO2-45</t>
  </si>
  <si>
    <t>LCCO2-46</t>
  </si>
  <si>
    <t>LCCO2-47</t>
  </si>
  <si>
    <t>LCCO2-48</t>
  </si>
  <si>
    <t>LCCO2-49</t>
  </si>
  <si>
    <t>LCCO2-50</t>
  </si>
  <si>
    <t>CT-1</t>
  </si>
  <si>
    <t>Custom legacy size</t>
  </si>
  <si>
    <t>Preserved from the original workbook</t>
  </si>
  <si>
    <t>Enter whole-millimetre dimensions and assign the actual production process separately. Keep any sub-millimetre production adjustment in the design, RIP or laser file.</t>
  </si>
  <si>
    <t>CT-2</t>
  </si>
  <si>
    <t>CT-3</t>
  </si>
  <si>
    <t>CT-4</t>
  </si>
  <si>
    <t>CT-5</t>
  </si>
  <si>
    <t>CT-6</t>
  </si>
  <si>
    <t>CT-7</t>
  </si>
  <si>
    <t>CT-8</t>
  </si>
  <si>
    <t>CT-9</t>
  </si>
  <si>
    <t>CT-10</t>
  </si>
  <si>
    <t>CT-11</t>
  </si>
  <si>
    <t>CT-12</t>
  </si>
  <si>
    <t>CT-13</t>
  </si>
  <si>
    <t>CT-14</t>
  </si>
  <si>
    <t>Available custom slot</t>
  </si>
  <si>
    <t>CT-15</t>
  </si>
  <si>
    <t>CT-16</t>
  </si>
  <si>
    <t>CT-17</t>
  </si>
  <si>
    <t>CT-18</t>
  </si>
  <si>
    <t>CT-19</t>
  </si>
  <si>
    <t>CT-20</t>
  </si>
  <si>
    <t>CT-21</t>
  </si>
  <si>
    <t>CT-22</t>
  </si>
  <si>
    <t>CT-23</t>
  </si>
  <si>
    <t>CT-24</t>
  </si>
  <si>
    <t>CT-25</t>
  </si>
  <si>
    <t>CT-26</t>
  </si>
  <si>
    <t>CT-27</t>
  </si>
  <si>
    <t>CT-28</t>
  </si>
  <si>
    <t>CT-29</t>
  </si>
  <si>
    <t>CT-30</t>
  </si>
  <si>
    <t>CT-31</t>
  </si>
  <si>
    <t>CT-32</t>
  </si>
  <si>
    <t>CT-33</t>
  </si>
  <si>
    <t>CT-34</t>
  </si>
  <si>
    <t>CT-35</t>
  </si>
  <si>
    <t>CT-36</t>
  </si>
  <si>
    <t>CT-37</t>
  </si>
  <si>
    <t>CT-38</t>
  </si>
  <si>
    <t>CT-39</t>
  </si>
  <si>
    <t>CT-40</t>
  </si>
  <si>
    <t>CT-41</t>
  </si>
  <si>
    <t>CT-42</t>
  </si>
  <si>
    <t>CT-43</t>
  </si>
  <si>
    <t>CT-44</t>
  </si>
  <si>
    <t>CT-45</t>
  </si>
  <si>
    <t>CT-46</t>
  </si>
  <si>
    <t>CT-47</t>
  </si>
  <si>
    <t>CT-48</t>
  </si>
  <si>
    <t>CT-49</t>
  </si>
  <si>
    <t>CT-50</t>
  </si>
  <si>
    <t>Default full-width panel</t>
  </si>
  <si>
    <t>Banner / roll panel</t>
  </si>
  <si>
    <t>Full configured roll width and default panel length.</t>
  </si>
  <si>
    <t>SINK-1</t>
  </si>
  <si>
    <t>Safe default panel</t>
  </si>
  <si>
    <t>Safety margin applied to the default panel.</t>
  </si>
  <si>
    <t>SINK-2</t>
  </si>
  <si>
    <t>Small banner</t>
  </si>
  <si>
    <t>Add hems, eyelets and finishing allowances separately.</t>
  </si>
  <si>
    <t>SINK-3</t>
  </si>
  <si>
    <t>Pull-up / small banner</t>
  </si>
  <si>
    <t>Confirm hardware visible area.</t>
  </si>
  <si>
    <t>SINK-4</t>
  </si>
  <si>
    <t>Tall banner</t>
  </si>
  <si>
    <t>Confirm finishing and hardware.</t>
  </si>
  <si>
    <t>SINK-5</t>
  </si>
  <si>
    <t>Banner</t>
  </si>
  <si>
    <t>Add hems/eyelets separately.</t>
  </si>
  <si>
    <t>SINK-6</t>
  </si>
  <si>
    <t>SINK-7</t>
  </si>
  <si>
    <t>SINK-8</t>
  </si>
  <si>
    <t>Square banner</t>
  </si>
  <si>
    <t>SINK-9</t>
  </si>
  <si>
    <t>SINK-10</t>
  </si>
  <si>
    <t>SINK-11</t>
  </si>
  <si>
    <t>SINK-12</t>
  </si>
  <si>
    <t>SINK-13</t>
  </si>
  <si>
    <t>SINK-14</t>
  </si>
  <si>
    <t>SINK-15</t>
  </si>
  <si>
    <t>SINK-16</t>
  </si>
  <si>
    <t>SINK-17</t>
  </si>
  <si>
    <t>Wide banner</t>
  </si>
  <si>
    <t>SINK-18</t>
  </si>
  <si>
    <t>SINK-19</t>
  </si>
  <si>
    <t>SINK-20</t>
  </si>
  <si>
    <t>SINK-21</t>
  </si>
  <si>
    <t>Full-width banner</t>
  </si>
  <si>
    <t>Uses nominal full width; review edge margin and finishing.</t>
  </si>
  <si>
    <t>SINK-22</t>
  </si>
  <si>
    <t>SINK-23</t>
  </si>
  <si>
    <t>SINK-24</t>
  </si>
  <si>
    <t>SINK-25</t>
  </si>
  <si>
    <t>Narrow strip</t>
  </si>
  <si>
    <t>Useful for directional signs or decals.</t>
  </si>
  <si>
    <t>SINK-26</t>
  </si>
  <si>
    <t>SINK-27</t>
  </si>
  <si>
    <t>Narrow banner</t>
  </si>
  <si>
    <t>Add finishing allowances.</t>
  </si>
  <si>
    <t>SINK-28</t>
  </si>
  <si>
    <t>SINK-29</t>
  </si>
  <si>
    <t>SINK-30</t>
  </si>
  <si>
    <t>SINK-31</t>
  </si>
  <si>
    <t>SINK-32</t>
  </si>
  <si>
    <t>SINK-33</t>
  </si>
  <si>
    <t>SINK-34</t>
  </si>
  <si>
    <t>SINK-35</t>
  </si>
  <si>
    <t>Maximum-width long banner</t>
  </si>
  <si>
    <t>Length is a shop preset, not a machine maximum. Review RIP, take-up and finishing.</t>
  </si>
  <si>
    <t>SINK-36</t>
  </si>
  <si>
    <t>SINK-37</t>
  </si>
  <si>
    <t>SINK-38</t>
  </si>
  <si>
    <t>SINK-39</t>
  </si>
  <si>
    <t>SINK-40</t>
  </si>
  <si>
    <t>SINK-41</t>
  </si>
  <si>
    <t>SINK-42</t>
  </si>
  <si>
    <t>SINK-43</t>
  </si>
  <si>
    <t>SINK-44</t>
  </si>
  <si>
    <t>SINK-45</t>
  </si>
  <si>
    <t>SINK-46</t>
  </si>
  <si>
    <t>SINK-47</t>
  </si>
  <si>
    <t>SINK-48</t>
  </si>
  <si>
    <t>SINK-49</t>
  </si>
  <si>
    <t>SINK-50</t>
  </si>
  <si>
    <t>SINK-51</t>
  </si>
  <si>
    <t>Long banner</t>
  </si>
  <si>
    <t>SINK-52</t>
  </si>
  <si>
    <t>SINK-53</t>
  </si>
  <si>
    <t>SINK-54</t>
  </si>
  <si>
    <t>SINK-55</t>
  </si>
  <si>
    <t>Maximum-length 1 ft banner</t>
  </si>
  <si>
    <t>SINK-56</t>
  </si>
  <si>
    <t>SINK-57</t>
  </si>
  <si>
    <t>SINK-58</t>
  </si>
  <si>
    <t>SINK-59</t>
  </si>
  <si>
    <t>SINK-60</t>
  </si>
  <si>
    <t>SINK-61</t>
  </si>
  <si>
    <t>SINK-62</t>
  </si>
  <si>
    <t>SINK-63</t>
  </si>
  <si>
    <t>SINK-64</t>
  </si>
  <si>
    <t>SINK-65</t>
  </si>
  <si>
    <t>SINK-66</t>
  </si>
  <si>
    <t>SINK-67</t>
  </si>
  <si>
    <t>SINK-68</t>
  </si>
  <si>
    <t>SINK-69</t>
  </si>
  <si>
    <t>SINK-70</t>
  </si>
  <si>
    <t>SINK-71</t>
  </si>
  <si>
    <t>SINK-72</t>
  </si>
  <si>
    <t>SINK-73</t>
  </si>
  <si>
    <t>SINK-74</t>
  </si>
  <si>
    <t>SINK-75</t>
  </si>
  <si>
    <t>SINK-76</t>
  </si>
  <si>
    <t>SINK-77</t>
  </si>
  <si>
    <t>SINK-78</t>
  </si>
  <si>
    <t>SINK-79</t>
  </si>
  <si>
    <t>SINK-80</t>
  </si>
  <si>
    <t>SINK-81</t>
  </si>
  <si>
    <t>SINK-82</t>
  </si>
  <si>
    <t>SINK-83</t>
  </si>
  <si>
    <t>SINK-84</t>
  </si>
  <si>
    <t>SINK-85</t>
  </si>
  <si>
    <t>SINK-86</t>
  </si>
  <si>
    <t>SINK-87</t>
  </si>
  <si>
    <t>SINK-88</t>
  </si>
  <si>
    <t>SINK-89</t>
  </si>
  <si>
    <t>SINK-90</t>
  </si>
  <si>
    <t>SINK-91</t>
  </si>
  <si>
    <t>SINK-92</t>
  </si>
  <si>
    <t>SINK-93</t>
  </si>
  <si>
    <t>SINK-94</t>
  </si>
  <si>
    <t>SINK-95</t>
  </si>
  <si>
    <t>SINK-96</t>
  </si>
  <si>
    <t>SINK-97</t>
  </si>
  <si>
    <t>SINK-98</t>
  </si>
  <si>
    <t>SINK-99</t>
  </si>
  <si>
    <t>SINK-100</t>
  </si>
  <si>
    <t>SINK-101</t>
  </si>
  <si>
    <t>SINK-102</t>
  </si>
  <si>
    <t>SINK-103</t>
  </si>
  <si>
    <t>SINK-104</t>
  </si>
  <si>
    <t>SINK-105</t>
  </si>
  <si>
    <t>SINK-106</t>
  </si>
  <si>
    <t>SINK-107</t>
  </si>
  <si>
    <t>SINK-108</t>
  </si>
  <si>
    <t>SINK-109</t>
  </si>
  <si>
    <t>SINK-110</t>
  </si>
  <si>
    <t>SINK-111</t>
  </si>
  <si>
    <t>SINK-112</t>
  </si>
  <si>
    <t>SINK-113</t>
  </si>
  <si>
    <t>SINK-114</t>
  </si>
  <si>
    <t>SINK-115</t>
  </si>
  <si>
    <t>SINK-116</t>
  </si>
  <si>
    <t>SINK-117</t>
  </si>
  <si>
    <t>SINK-118</t>
  </si>
  <si>
    <t>SINK-119</t>
  </si>
  <si>
    <t>SINK-120</t>
  </si>
  <si>
    <t>SINK-121</t>
  </si>
  <si>
    <t>SINK-122</t>
  </si>
  <si>
    <t>SINK-123</t>
  </si>
  <si>
    <t>SINK-124</t>
  </si>
  <si>
    <t>SINK-125</t>
  </si>
  <si>
    <t>SINK-126</t>
  </si>
  <si>
    <t>SINK-127</t>
  </si>
  <si>
    <t>SINK-128</t>
  </si>
  <si>
    <t>SINK-129</t>
  </si>
  <si>
    <t>SINK-130</t>
  </si>
  <si>
    <t>SINK-131</t>
  </si>
  <si>
    <t>SINK-132</t>
  </si>
  <si>
    <t>SINK-133</t>
  </si>
  <si>
    <t>SINK-134</t>
  </si>
  <si>
    <t>SINK-135</t>
  </si>
  <si>
    <t>SINK-136</t>
  </si>
  <si>
    <t>SINK-137</t>
  </si>
  <si>
    <t>SINK-138</t>
  </si>
  <si>
    <t>SINK-139</t>
  </si>
  <si>
    <t>SINK-140</t>
  </si>
  <si>
    <t>SINK-141</t>
  </si>
  <si>
    <t>SINK-142</t>
  </si>
  <si>
    <t>SINK-143</t>
  </si>
  <si>
    <t>SINK-144</t>
  </si>
  <si>
    <t>SINK-145</t>
  </si>
  <si>
    <t>SINK-146</t>
  </si>
  <si>
    <t>SINK-147</t>
  </si>
  <si>
    <t>SINK-148</t>
  </si>
  <si>
    <t>SINK-149</t>
  </si>
  <si>
    <t>SINK-150</t>
  </si>
  <si>
    <t>SINK-151</t>
  </si>
  <si>
    <t>SINK-152</t>
  </si>
  <si>
    <t>SINK-153</t>
  </si>
  <si>
    <t>SINK-154</t>
  </si>
  <si>
    <t>SINK-155</t>
  </si>
  <si>
    <t>SINK-156</t>
  </si>
  <si>
    <t>SINK-157</t>
  </si>
  <si>
    <t>SINK-158</t>
  </si>
  <si>
    <t>SINK-159</t>
  </si>
  <si>
    <t>SINK-160</t>
  </si>
  <si>
    <t>SINK-161</t>
  </si>
  <si>
    <t>SINK-162</t>
  </si>
  <si>
    <t>SINK-163</t>
  </si>
  <si>
    <t>SINK-164</t>
  </si>
  <si>
    <t>SINK-165</t>
  </si>
  <si>
    <t>SINK-166</t>
  </si>
  <si>
    <t>SINK-167</t>
  </si>
  <si>
    <t>SINK-168</t>
  </si>
  <si>
    <t>SINK-169</t>
  </si>
  <si>
    <t>SINK-170</t>
  </si>
  <si>
    <t>SINK-171</t>
  </si>
  <si>
    <t>SINK-172</t>
  </si>
  <si>
    <t>SINK-173</t>
  </si>
  <si>
    <t>SINK-174</t>
  </si>
  <si>
    <t>SINK-175</t>
  </si>
  <si>
    <t>SINK-176</t>
  </si>
  <si>
    <t>SINK-177</t>
  </si>
  <si>
    <t>SINK-178</t>
  </si>
  <si>
    <t>SINK-179</t>
  </si>
  <si>
    <t>SINK-180</t>
  </si>
  <si>
    <t>SINK-181</t>
  </si>
  <si>
    <t>SINK-182</t>
  </si>
  <si>
    <t>SINK-183</t>
  </si>
  <si>
    <t>SINK-184</t>
  </si>
  <si>
    <t>SINK-185</t>
  </si>
  <si>
    <t>SINK-186</t>
  </si>
  <si>
    <t>SINK-187</t>
  </si>
  <si>
    <t>SINK-188</t>
  </si>
  <si>
    <t>SINK-189</t>
  </si>
  <si>
    <t>SINK-190</t>
  </si>
  <si>
    <t>SINK-191</t>
  </si>
  <si>
    <t>SINK-192</t>
  </si>
  <si>
    <t>SINK-193</t>
  </si>
  <si>
    <t>SINK-194</t>
  </si>
  <si>
    <t>SINK-195</t>
  </si>
  <si>
    <t>SINK-196</t>
  </si>
  <si>
    <t>SINK-197</t>
  </si>
  <si>
    <t>SINK-198</t>
  </si>
  <si>
    <t>SINK-199</t>
  </si>
  <si>
    <t>SINK-200</t>
  </si>
  <si>
    <t>SINK-201</t>
  </si>
  <si>
    <t>SINK-202</t>
  </si>
  <si>
    <t>SINK-203</t>
  </si>
  <si>
    <t>SINK-204</t>
  </si>
  <si>
    <t>SINK-205</t>
  </si>
  <si>
    <t>SINK-206</t>
  </si>
  <si>
    <t>SINK-207</t>
  </si>
  <si>
    <t>SINK-208</t>
  </si>
  <si>
    <t>SINK-209</t>
  </si>
  <si>
    <t>SINK-210</t>
  </si>
  <si>
    <t>SINK-211</t>
  </si>
  <si>
    <t>SINK-212</t>
  </si>
  <si>
    <t>SINK-213</t>
  </si>
  <si>
    <t>SINK-214</t>
  </si>
  <si>
    <t>SINK-215</t>
  </si>
  <si>
    <t>SINK-216</t>
  </si>
  <si>
    <t>SINK-217</t>
  </si>
  <si>
    <t>SINK-218</t>
  </si>
  <si>
    <t>SINK-219</t>
  </si>
  <si>
    <t>SINK-220</t>
  </si>
  <si>
    <t>SINK-221</t>
  </si>
  <si>
    <t>SINK-222</t>
  </si>
  <si>
    <t>SINK-223</t>
  </si>
  <si>
    <t>SINK-224</t>
  </si>
  <si>
    <t>SINK-225</t>
  </si>
  <si>
    <t>SINK-226</t>
  </si>
  <si>
    <t>SINK-227</t>
  </si>
  <si>
    <t>SINK-228</t>
  </si>
  <si>
    <t>SINK-229</t>
  </si>
  <si>
    <t>SINK-230</t>
  </si>
  <si>
    <t>SINK-231</t>
  </si>
  <si>
    <t>SINK-232</t>
  </si>
  <si>
    <t>SINK-233</t>
  </si>
  <si>
    <t>SINK-234</t>
  </si>
  <si>
    <t>SINK-235</t>
  </si>
  <si>
    <t>SINK-236</t>
  </si>
  <si>
    <t>SINK-237</t>
  </si>
  <si>
    <t>SINK-238</t>
  </si>
  <si>
    <t>SINK-239</t>
  </si>
  <si>
    <t>SINK-240</t>
  </si>
  <si>
    <t>SINK-241</t>
  </si>
  <si>
    <t>SINK-242</t>
  </si>
  <si>
    <t>SINK-243</t>
  </si>
  <si>
    <t>SINK-244</t>
  </si>
  <si>
    <t>SINK-245</t>
  </si>
  <si>
    <t>SINK-246</t>
  </si>
  <si>
    <t>SINK-247</t>
  </si>
  <si>
    <t>SINK-248</t>
  </si>
  <si>
    <t>SINK-249</t>
  </si>
  <si>
    <t>SINK-250</t>
  </si>
  <si>
    <t>SINK-251</t>
  </si>
  <si>
    <t>SINK-252</t>
  </si>
  <si>
    <t>SINK-253</t>
  </si>
  <si>
    <t>SINK-254</t>
  </si>
  <si>
    <t>SINK-255</t>
  </si>
  <si>
    <t>SINK-256</t>
  </si>
  <si>
    <t>SINK-257</t>
  </si>
  <si>
    <t>SINK-258</t>
  </si>
  <si>
    <t>SINK-259</t>
  </si>
  <si>
    <t>SINK-260</t>
  </si>
  <si>
    <t>B0</t>
  </si>
  <si>
    <t>B0 paper / DTF variant</t>
  </si>
  <si>
    <t>Generated inside the B0 paper/DTF envelope. Generated dimensions round down to whole millimetres; below-minimum or duplicate candidates are skipped.</t>
  </si>
  <si>
    <t>B0-1</t>
  </si>
  <si>
    <t>B0-2</t>
  </si>
  <si>
    <t>B0-3</t>
  </si>
  <si>
    <t>B0-4</t>
  </si>
  <si>
    <t>B0-5</t>
  </si>
  <si>
    <t>B0-6</t>
  </si>
  <si>
    <t>B0-7</t>
  </si>
  <si>
    <t>B0-8</t>
  </si>
  <si>
    <t>B0-9</t>
  </si>
  <si>
    <t>B0-10</t>
  </si>
  <si>
    <t>B0-11</t>
  </si>
  <si>
    <t>B0-12</t>
  </si>
  <si>
    <t>B0-13</t>
  </si>
  <si>
    <t>B0-14</t>
  </si>
  <si>
    <t>B0-15</t>
  </si>
  <si>
    <t>B0-16</t>
  </si>
  <si>
    <t>B0-17</t>
  </si>
  <si>
    <t>B0-18</t>
  </si>
  <si>
    <t>B0-19</t>
  </si>
  <si>
    <t>B0-20</t>
  </si>
  <si>
    <t>B0-21</t>
  </si>
  <si>
    <t>B0-22</t>
  </si>
  <si>
    <t>B0-23</t>
  </si>
  <si>
    <t>B0-24</t>
  </si>
  <si>
    <t>B0-25</t>
  </si>
  <si>
    <t>B0-26</t>
  </si>
  <si>
    <t>B0-27</t>
  </si>
  <si>
    <t>B0-28</t>
  </si>
  <si>
    <t>B0-29</t>
  </si>
  <si>
    <t>B0-30</t>
  </si>
  <si>
    <t>B0-31</t>
  </si>
  <si>
    <t>B0-32</t>
  </si>
  <si>
    <t>B0-33</t>
  </si>
  <si>
    <t>B0-34</t>
  </si>
  <si>
    <t>B0-35</t>
  </si>
  <si>
    <t>B0-36</t>
  </si>
  <si>
    <t>B0-37</t>
  </si>
  <si>
    <t>B0-38</t>
  </si>
  <si>
    <t>B0-39</t>
  </si>
  <si>
    <t>B0-40</t>
  </si>
  <si>
    <t>B0-41</t>
  </si>
  <si>
    <t>B0-42</t>
  </si>
  <si>
    <t>B0-43</t>
  </si>
  <si>
    <t>B0-44</t>
  </si>
  <si>
    <t>B0-45</t>
  </si>
  <si>
    <t>B0-46</t>
  </si>
  <si>
    <t>B0-47</t>
  </si>
  <si>
    <t>B0-48</t>
  </si>
  <si>
    <t>B0-49</t>
  </si>
  <si>
    <t>B0-50</t>
  </si>
  <si>
    <t>B0-51</t>
  </si>
  <si>
    <t>B0-52</t>
  </si>
  <si>
    <t>B0-53</t>
  </si>
  <si>
    <t>B0-54</t>
  </si>
  <si>
    <t>B0-55</t>
  </si>
  <si>
    <t>B0-56</t>
  </si>
  <si>
    <t>B0 custom paper / DTF slot</t>
  </si>
  <si>
    <t>B0-57</t>
  </si>
  <si>
    <t>B0-58</t>
  </si>
  <si>
    <t>B0-59</t>
  </si>
  <si>
    <t>B0-60</t>
  </si>
  <si>
    <t>B0-61</t>
  </si>
  <si>
    <t>B0-62</t>
  </si>
  <si>
    <t>B0-63</t>
  </si>
  <si>
    <t>B0-64</t>
  </si>
  <si>
    <t>B0-65</t>
  </si>
  <si>
    <t>B0-66</t>
  </si>
  <si>
    <t>B0-67</t>
  </si>
  <si>
    <t>B0-68</t>
  </si>
  <si>
    <t>B0-69</t>
  </si>
  <si>
    <t>B0-70</t>
  </si>
  <si>
    <t>B1</t>
  </si>
  <si>
    <t>B1 paper / DTF variant</t>
  </si>
  <si>
    <t>Generated inside the B1 paper/DTF envelope. Generated dimensions round down to whole millimetres; below-minimum or duplicate candidates are skipped.</t>
  </si>
  <si>
    <t>B1-1</t>
  </si>
  <si>
    <t>B1-2</t>
  </si>
  <si>
    <t>B1-3</t>
  </si>
  <si>
    <t>B1-4</t>
  </si>
  <si>
    <t>B1-5</t>
  </si>
  <si>
    <t>B1-6</t>
  </si>
  <si>
    <t>B1-7</t>
  </si>
  <si>
    <t>B1-8</t>
  </si>
  <si>
    <t>B1-9</t>
  </si>
  <si>
    <t>B1-10</t>
  </si>
  <si>
    <t>B1-11</t>
  </si>
  <si>
    <t>B1-12</t>
  </si>
  <si>
    <t>B1-13</t>
  </si>
  <si>
    <t>B1-14</t>
  </si>
  <si>
    <t>B1-15</t>
  </si>
  <si>
    <t>B1-16</t>
  </si>
  <si>
    <t>B1-17</t>
  </si>
  <si>
    <t>B1-18</t>
  </si>
  <si>
    <t>B1-19</t>
  </si>
  <si>
    <t>B1-20</t>
  </si>
  <si>
    <t>B1-21</t>
  </si>
  <si>
    <t>B1-22</t>
  </si>
  <si>
    <t>B1-23</t>
  </si>
  <si>
    <t>B1-24</t>
  </si>
  <si>
    <t>B1-25</t>
  </si>
  <si>
    <t>B1-26</t>
  </si>
  <si>
    <t>B1-27</t>
  </si>
  <si>
    <t>B1-28</t>
  </si>
  <si>
    <t>B1-29</t>
  </si>
  <si>
    <t>B1-30</t>
  </si>
  <si>
    <t>B1-31</t>
  </si>
  <si>
    <t>B1-32</t>
  </si>
  <si>
    <t>B1-33</t>
  </si>
  <si>
    <t>B1-34</t>
  </si>
  <si>
    <t>B1-35</t>
  </si>
  <si>
    <t>B1-36</t>
  </si>
  <si>
    <t>B1-37</t>
  </si>
  <si>
    <t>B1-38</t>
  </si>
  <si>
    <t>B1-39</t>
  </si>
  <si>
    <t>B1-40</t>
  </si>
  <si>
    <t>B1-41</t>
  </si>
  <si>
    <t>B1-42</t>
  </si>
  <si>
    <t>B1-43</t>
  </si>
  <si>
    <t>B1-44</t>
  </si>
  <si>
    <t>B1-45</t>
  </si>
  <si>
    <t>B1-46</t>
  </si>
  <si>
    <t>B1-47</t>
  </si>
  <si>
    <t>B1-48</t>
  </si>
  <si>
    <t>B1-49</t>
  </si>
  <si>
    <t>B1-50</t>
  </si>
  <si>
    <t>B1-51</t>
  </si>
  <si>
    <t>B1-52</t>
  </si>
  <si>
    <t>B1-53</t>
  </si>
  <si>
    <t>B1-54</t>
  </si>
  <si>
    <t>B1-55</t>
  </si>
  <si>
    <t>B1-56</t>
  </si>
  <si>
    <t>B1 custom paper / DTF slot</t>
  </si>
  <si>
    <t>B1-57</t>
  </si>
  <si>
    <t>B1-58</t>
  </si>
  <si>
    <t>B1-59</t>
  </si>
  <si>
    <t>B1-60</t>
  </si>
  <si>
    <t>B1-61</t>
  </si>
  <si>
    <t>B1-62</t>
  </si>
  <si>
    <t>B1-63</t>
  </si>
  <si>
    <t>B1-64</t>
  </si>
  <si>
    <t>B1-65</t>
  </si>
  <si>
    <t>B1-66</t>
  </si>
  <si>
    <t>B1-67</t>
  </si>
  <si>
    <t>B1-68</t>
  </si>
  <si>
    <t>B1-69</t>
  </si>
  <si>
    <t>B1-70</t>
  </si>
  <si>
    <t>B2</t>
  </si>
  <si>
    <t>B2 paper / DTF variant</t>
  </si>
  <si>
    <t>Generated inside the B2 paper/DTF envelope. Generated dimensions round down to whole millimetres; below-minimum or duplicate candidates are skipped.</t>
  </si>
  <si>
    <t>B2-1</t>
  </si>
  <si>
    <t>B2-2</t>
  </si>
  <si>
    <t>B2-3</t>
  </si>
  <si>
    <t>B2-4</t>
  </si>
  <si>
    <t>B2-5</t>
  </si>
  <si>
    <t>B2-6</t>
  </si>
  <si>
    <t>B2-7</t>
  </si>
  <si>
    <t>B2-8</t>
  </si>
  <si>
    <t>B2-9</t>
  </si>
  <si>
    <t>B2-10</t>
  </si>
  <si>
    <t>B2-11</t>
  </si>
  <si>
    <t>B2-12</t>
  </si>
  <si>
    <t>B2-13</t>
  </si>
  <si>
    <t>B2-14</t>
  </si>
  <si>
    <t>B2-15</t>
  </si>
  <si>
    <t>B2-16</t>
  </si>
  <si>
    <t>B2-17</t>
  </si>
  <si>
    <t>B2-18</t>
  </si>
  <si>
    <t>B2-19</t>
  </si>
  <si>
    <t>B2-20</t>
  </si>
  <si>
    <t>B2-21</t>
  </si>
  <si>
    <t>B2-22</t>
  </si>
  <si>
    <t>B2-23</t>
  </si>
  <si>
    <t>B2-24</t>
  </si>
  <si>
    <t>B2-25</t>
  </si>
  <si>
    <t>B2-26</t>
  </si>
  <si>
    <t>B2-27</t>
  </si>
  <si>
    <t>B2-28</t>
  </si>
  <si>
    <t>B2-29</t>
  </si>
  <si>
    <t>B2-30</t>
  </si>
  <si>
    <t>B2-31</t>
  </si>
  <si>
    <t>B2-32</t>
  </si>
  <si>
    <t>B2-33</t>
  </si>
  <si>
    <t>B2-34</t>
  </si>
  <si>
    <t>B2-35</t>
  </si>
  <si>
    <t>B2-36</t>
  </si>
  <si>
    <t>B2-37</t>
  </si>
  <si>
    <t>B2-38</t>
  </si>
  <si>
    <t>B2-39</t>
  </si>
  <si>
    <t>B2-40</t>
  </si>
  <si>
    <t>B2-41</t>
  </si>
  <si>
    <t>B2-42</t>
  </si>
  <si>
    <t>B2-43</t>
  </si>
  <si>
    <t>B2-44</t>
  </si>
  <si>
    <t>B2-45</t>
  </si>
  <si>
    <t>B2-46</t>
  </si>
  <si>
    <t>B2-47</t>
  </si>
  <si>
    <t>B2-48</t>
  </si>
  <si>
    <t>B2-49</t>
  </si>
  <si>
    <t>B2-50</t>
  </si>
  <si>
    <t>B2-51</t>
  </si>
  <si>
    <t>B2-52</t>
  </si>
  <si>
    <t>B2-53</t>
  </si>
  <si>
    <t>B2-54</t>
  </si>
  <si>
    <t>B2-55</t>
  </si>
  <si>
    <t>B2-56</t>
  </si>
  <si>
    <t>B2 custom paper / DTF slot</t>
  </si>
  <si>
    <t>B2-57</t>
  </si>
  <si>
    <t>B2-58</t>
  </si>
  <si>
    <t>B2-59</t>
  </si>
  <si>
    <t>B2-60</t>
  </si>
  <si>
    <t>B2-61</t>
  </si>
  <si>
    <t>B2-62</t>
  </si>
  <si>
    <t>B2-63</t>
  </si>
  <si>
    <t>B2-64</t>
  </si>
  <si>
    <t>B2-65</t>
  </si>
  <si>
    <t>B2-66</t>
  </si>
  <si>
    <t>B2-67</t>
  </si>
  <si>
    <t>B2-68</t>
  </si>
  <si>
    <t>B2-69</t>
  </si>
  <si>
    <t>B2-70</t>
  </si>
  <si>
    <t>B3</t>
  </si>
  <si>
    <t>B3 paper / DTF variant</t>
  </si>
  <si>
    <t>Generated inside the B3 paper/DTF envelope. Generated dimensions round down to whole millimetres; below-minimum or duplicate candidates are skipped.</t>
  </si>
  <si>
    <t>B3-1</t>
  </si>
  <si>
    <t>B3-2</t>
  </si>
  <si>
    <t>B3-3</t>
  </si>
  <si>
    <t>B3-4</t>
  </si>
  <si>
    <t>B3-5</t>
  </si>
  <si>
    <t>B3-6</t>
  </si>
  <si>
    <t>B3-7</t>
  </si>
  <si>
    <t>B3-8</t>
  </si>
  <si>
    <t>B3-9</t>
  </si>
  <si>
    <t>B3-10</t>
  </si>
  <si>
    <t>B3-11</t>
  </si>
  <si>
    <t>B3-12</t>
  </si>
  <si>
    <t>B3-13</t>
  </si>
  <si>
    <t>B3-14</t>
  </si>
  <si>
    <t>B3-15</t>
  </si>
  <si>
    <t>B3-16</t>
  </si>
  <si>
    <t>B3-17</t>
  </si>
  <si>
    <t>B3-18</t>
  </si>
  <si>
    <t>B3-19</t>
  </si>
  <si>
    <t>B3-20</t>
  </si>
  <si>
    <t>B3-21</t>
  </si>
  <si>
    <t>B3-22</t>
  </si>
  <si>
    <t>B3-23</t>
  </si>
  <si>
    <t>B3-24</t>
  </si>
  <si>
    <t>B3-25</t>
  </si>
  <si>
    <t>B3-26</t>
  </si>
  <si>
    <t>B3-27</t>
  </si>
  <si>
    <t>B3-28</t>
  </si>
  <si>
    <t>B3-29</t>
  </si>
  <si>
    <t>B3-30</t>
  </si>
  <si>
    <t>B3-31</t>
  </si>
  <si>
    <t>B3-32</t>
  </si>
  <si>
    <t>B3-33</t>
  </si>
  <si>
    <t>B3-34</t>
  </si>
  <si>
    <t>B3-35</t>
  </si>
  <si>
    <t>B3-36</t>
  </si>
  <si>
    <t>B3-37</t>
  </si>
  <si>
    <t>B3-38</t>
  </si>
  <si>
    <t>B3-39</t>
  </si>
  <si>
    <t>B3-40</t>
  </si>
  <si>
    <t>B3-41</t>
  </si>
  <si>
    <t>B3-42</t>
  </si>
  <si>
    <t>B3-43</t>
  </si>
  <si>
    <t>B3-44</t>
  </si>
  <si>
    <t>B3-45</t>
  </si>
  <si>
    <t>B3-46</t>
  </si>
  <si>
    <t>B3-47</t>
  </si>
  <si>
    <t>B3-48</t>
  </si>
  <si>
    <t>B3-49</t>
  </si>
  <si>
    <t>B3-50</t>
  </si>
  <si>
    <t>B3-51</t>
  </si>
  <si>
    <t>B3-52</t>
  </si>
  <si>
    <t>B3-53</t>
  </si>
  <si>
    <t>B3-54</t>
  </si>
  <si>
    <t>B3-55</t>
  </si>
  <si>
    <t>B3-56</t>
  </si>
  <si>
    <t>B3 custom paper / DTF slot</t>
  </si>
  <si>
    <t>B3-57</t>
  </si>
  <si>
    <t>B3-58</t>
  </si>
  <si>
    <t>B3-59</t>
  </si>
  <si>
    <t>B3-60</t>
  </si>
  <si>
    <t>B3-61</t>
  </si>
  <si>
    <t>B3-62</t>
  </si>
  <si>
    <t>B3-63</t>
  </si>
  <si>
    <t>B3-64</t>
  </si>
  <si>
    <t>B3-65</t>
  </si>
  <si>
    <t>B3-66</t>
  </si>
  <si>
    <t>B3-67</t>
  </si>
  <si>
    <t>B3-68</t>
  </si>
  <si>
    <t>B3-69</t>
  </si>
  <si>
    <t>B3-70</t>
  </si>
  <si>
    <t>B4</t>
  </si>
  <si>
    <t>B4 paper / DTF variant</t>
  </si>
  <si>
    <t>Generated inside the B4 paper/DTF envelope. Generated dimensions round down to whole millimetres; below-minimum or duplicate candidates are skipped.</t>
  </si>
  <si>
    <t>B4-1</t>
  </si>
  <si>
    <t>B4-2</t>
  </si>
  <si>
    <t>B4-3</t>
  </si>
  <si>
    <t>B4-4</t>
  </si>
  <si>
    <t>B4-5</t>
  </si>
  <si>
    <t>B4-6</t>
  </si>
  <si>
    <t>B4-7</t>
  </si>
  <si>
    <t>B4-8</t>
  </si>
  <si>
    <t>B4-9</t>
  </si>
  <si>
    <t>B4-10</t>
  </si>
  <si>
    <t>B4-11</t>
  </si>
  <si>
    <t>B4-12</t>
  </si>
  <si>
    <t>B4-13</t>
  </si>
  <si>
    <t>B4-14</t>
  </si>
  <si>
    <t>B4-15</t>
  </si>
  <si>
    <t>B4-16</t>
  </si>
  <si>
    <t>B4-17</t>
  </si>
  <si>
    <t>B4-18</t>
  </si>
  <si>
    <t>B4-19</t>
  </si>
  <si>
    <t>B4-20</t>
  </si>
  <si>
    <t>B4-21</t>
  </si>
  <si>
    <t>B4-22</t>
  </si>
  <si>
    <t>B4-23</t>
  </si>
  <si>
    <t>B4-24</t>
  </si>
  <si>
    <t>B4-25</t>
  </si>
  <si>
    <t>B4-26</t>
  </si>
  <si>
    <t>B4-27</t>
  </si>
  <si>
    <t>B4-28</t>
  </si>
  <si>
    <t>B4-29</t>
  </si>
  <si>
    <t>B4-30</t>
  </si>
  <si>
    <t>B4-31</t>
  </si>
  <si>
    <t>B4-32</t>
  </si>
  <si>
    <t>B4-33</t>
  </si>
  <si>
    <t>B4-34</t>
  </si>
  <si>
    <t>B4-35</t>
  </si>
  <si>
    <t>B4-36</t>
  </si>
  <si>
    <t>B4-37</t>
  </si>
  <si>
    <t>B4-38</t>
  </si>
  <si>
    <t>B4-39</t>
  </si>
  <si>
    <t>B4-40</t>
  </si>
  <si>
    <t>B4-41</t>
  </si>
  <si>
    <t>B4-42</t>
  </si>
  <si>
    <t>B4-43</t>
  </si>
  <si>
    <t>B4-44</t>
  </si>
  <si>
    <t>B4-45</t>
  </si>
  <si>
    <t>B4-46</t>
  </si>
  <si>
    <t>B4-47</t>
  </si>
  <si>
    <t>B4-48</t>
  </si>
  <si>
    <t>B4-49</t>
  </si>
  <si>
    <t>B4-50</t>
  </si>
  <si>
    <t>B4-51</t>
  </si>
  <si>
    <t>B4-52</t>
  </si>
  <si>
    <t>B4-53</t>
  </si>
  <si>
    <t>B4-54</t>
  </si>
  <si>
    <t>B4-55</t>
  </si>
  <si>
    <t>B4-56</t>
  </si>
  <si>
    <t>B4 custom paper / DTF slot</t>
  </si>
  <si>
    <t>B4-57</t>
  </si>
  <si>
    <t>B4-58</t>
  </si>
  <si>
    <t>B4-59</t>
  </si>
  <si>
    <t>B4-60</t>
  </si>
  <si>
    <t>B4-61</t>
  </si>
  <si>
    <t>B4-62</t>
  </si>
  <si>
    <t>B4-63</t>
  </si>
  <si>
    <t>B4-64</t>
  </si>
  <si>
    <t>B4-65</t>
  </si>
  <si>
    <t>B4-66</t>
  </si>
  <si>
    <t>B4-67</t>
  </si>
  <si>
    <t>B4-68</t>
  </si>
  <si>
    <t>B4-69</t>
  </si>
  <si>
    <t>B4-70</t>
  </si>
  <si>
    <t>B5</t>
  </si>
  <si>
    <t>B5 paper / DTF variant</t>
  </si>
  <si>
    <t>Generated inside the B5 paper/DTF envelope. Generated dimensions round down to whole millimetres; below-minimum or duplicate candidates are skipped.</t>
  </si>
  <si>
    <t>B5-1</t>
  </si>
  <si>
    <t>B5-2</t>
  </si>
  <si>
    <t>B5-3</t>
  </si>
  <si>
    <t>B5-4</t>
  </si>
  <si>
    <t>B5-5</t>
  </si>
  <si>
    <t>B5-6</t>
  </si>
  <si>
    <t>B5-7</t>
  </si>
  <si>
    <t>B5-8</t>
  </si>
  <si>
    <t>B5-9</t>
  </si>
  <si>
    <t>B5-10</t>
  </si>
  <si>
    <t>B5-11</t>
  </si>
  <si>
    <t>B5-12</t>
  </si>
  <si>
    <t>B5-13</t>
  </si>
  <si>
    <t>B5-14</t>
  </si>
  <si>
    <t>B5-15</t>
  </si>
  <si>
    <t>B5-16</t>
  </si>
  <si>
    <t>B5-17</t>
  </si>
  <si>
    <t>B5-18</t>
  </si>
  <si>
    <t>B5-19</t>
  </si>
  <si>
    <t>B5-20</t>
  </si>
  <si>
    <t>B5-21</t>
  </si>
  <si>
    <t>B5-22</t>
  </si>
  <si>
    <t>B5-23</t>
  </si>
  <si>
    <t>B5-24</t>
  </si>
  <si>
    <t>B5-25</t>
  </si>
  <si>
    <t>B5-26</t>
  </si>
  <si>
    <t>B5-27</t>
  </si>
  <si>
    <t>B5-28</t>
  </si>
  <si>
    <t>B5-29</t>
  </si>
  <si>
    <t>B5-30</t>
  </si>
  <si>
    <t>B5-31</t>
  </si>
  <si>
    <t>B5-32</t>
  </si>
  <si>
    <t>B5-33</t>
  </si>
  <si>
    <t>B5-34</t>
  </si>
  <si>
    <t>B5-35</t>
  </si>
  <si>
    <t>B5-36</t>
  </si>
  <si>
    <t>B5-37</t>
  </si>
  <si>
    <t>B5-38</t>
  </si>
  <si>
    <t>B5-39</t>
  </si>
  <si>
    <t>B5-40</t>
  </si>
  <si>
    <t>B5-41</t>
  </si>
  <si>
    <t>B5-42</t>
  </si>
  <si>
    <t>B5-43</t>
  </si>
  <si>
    <t>B5-44</t>
  </si>
  <si>
    <t>B5-45</t>
  </si>
  <si>
    <t>B5-46</t>
  </si>
  <si>
    <t>B5-47</t>
  </si>
  <si>
    <t>B5-48</t>
  </si>
  <si>
    <t>B5-49</t>
  </si>
  <si>
    <t>B5-50</t>
  </si>
  <si>
    <t>B5-51</t>
  </si>
  <si>
    <t>B5-52</t>
  </si>
  <si>
    <t>B5-53</t>
  </si>
  <si>
    <t>B5-54</t>
  </si>
  <si>
    <t>B5-55</t>
  </si>
  <si>
    <t>B5-56</t>
  </si>
  <si>
    <t>B5 custom paper / DTF slot</t>
  </si>
  <si>
    <t>B5-57</t>
  </si>
  <si>
    <t>B5-58</t>
  </si>
  <si>
    <t>B5-59</t>
  </si>
  <si>
    <t>B5-60</t>
  </si>
  <si>
    <t>B5-61</t>
  </si>
  <si>
    <t>B5-62</t>
  </si>
  <si>
    <t>B5-63</t>
  </si>
  <si>
    <t>B5-64</t>
  </si>
  <si>
    <t>B5-65</t>
  </si>
  <si>
    <t>B5-66</t>
  </si>
  <si>
    <t>B5-67</t>
  </si>
  <si>
    <t>B5-68</t>
  </si>
  <si>
    <t>B5-69</t>
  </si>
  <si>
    <t>B5-70</t>
  </si>
  <si>
    <t>B6</t>
  </si>
  <si>
    <t>B6 paper / DTF variant</t>
  </si>
  <si>
    <t>Generated inside the B6 paper/DTF envelope. Generated dimensions round down to whole millimetres; below-minimum or duplicate candidates are skipped.</t>
  </si>
  <si>
    <t>B6-1</t>
  </si>
  <si>
    <t>B6-2</t>
  </si>
  <si>
    <t>B6-3</t>
  </si>
  <si>
    <t>B6-4</t>
  </si>
  <si>
    <t>B6-5</t>
  </si>
  <si>
    <t>B6-6</t>
  </si>
  <si>
    <t>B6-7</t>
  </si>
  <si>
    <t>B6-8</t>
  </si>
  <si>
    <t>B6-9</t>
  </si>
  <si>
    <t>B6-10</t>
  </si>
  <si>
    <t>B6-11</t>
  </si>
  <si>
    <t>B6-12</t>
  </si>
  <si>
    <t>B6-13</t>
  </si>
  <si>
    <t>B6-14</t>
  </si>
  <si>
    <t>B6-15</t>
  </si>
  <si>
    <t>B6-16</t>
  </si>
  <si>
    <t>B6-17</t>
  </si>
  <si>
    <t>B6-18</t>
  </si>
  <si>
    <t>B6-19</t>
  </si>
  <si>
    <t>B6-20</t>
  </si>
  <si>
    <t>B6-21</t>
  </si>
  <si>
    <t>B6-22</t>
  </si>
  <si>
    <t>B6-23</t>
  </si>
  <si>
    <t>B6-24</t>
  </si>
  <si>
    <t>B6-25</t>
  </si>
  <si>
    <t>B6-26</t>
  </si>
  <si>
    <t>B6-27</t>
  </si>
  <si>
    <t>B6-28</t>
  </si>
  <si>
    <t>B6-29</t>
  </si>
  <si>
    <t>B6-30</t>
  </si>
  <si>
    <t>B6-31</t>
  </si>
  <si>
    <t>B6-32</t>
  </si>
  <si>
    <t>B6-33</t>
  </si>
  <si>
    <t>B6-34</t>
  </si>
  <si>
    <t>B6-35</t>
  </si>
  <si>
    <t>B6-36</t>
  </si>
  <si>
    <t>B6-37</t>
  </si>
  <si>
    <t>B6-38</t>
  </si>
  <si>
    <t>B6-39</t>
  </si>
  <si>
    <t>B6-40</t>
  </si>
  <si>
    <t>B6-41</t>
  </si>
  <si>
    <t>B6-42</t>
  </si>
  <si>
    <t>B6-43</t>
  </si>
  <si>
    <t>B6-44</t>
  </si>
  <si>
    <t>B6-45</t>
  </si>
  <si>
    <t>B6-46</t>
  </si>
  <si>
    <t>B6-47</t>
  </si>
  <si>
    <t>B6-48</t>
  </si>
  <si>
    <t>B6-49</t>
  </si>
  <si>
    <t>B6-50</t>
  </si>
  <si>
    <t>B6-51</t>
  </si>
  <si>
    <t>B6-52</t>
  </si>
  <si>
    <t>B6-53</t>
  </si>
  <si>
    <t>B6-54</t>
  </si>
  <si>
    <t>B6-55</t>
  </si>
  <si>
    <t>B6-56</t>
  </si>
  <si>
    <t>B6 custom paper / DTF slot</t>
  </si>
  <si>
    <t>B6-57</t>
  </si>
  <si>
    <t>B6-58</t>
  </si>
  <si>
    <t>B6-59</t>
  </si>
  <si>
    <t>B6-60</t>
  </si>
  <si>
    <t>B6-61</t>
  </si>
  <si>
    <t>B6-62</t>
  </si>
  <si>
    <t>B6-63</t>
  </si>
  <si>
    <t>B6-64</t>
  </si>
  <si>
    <t>B6-65</t>
  </si>
  <si>
    <t>B6-66</t>
  </si>
  <si>
    <t>B6-67</t>
  </si>
  <si>
    <t>B6-68</t>
  </si>
  <si>
    <t>B6-69</t>
  </si>
  <si>
    <t>B6-70</t>
  </si>
  <si>
    <t>B7</t>
  </si>
  <si>
    <t>B7 paper / DTF variant</t>
  </si>
  <si>
    <t>Generated inside the B7 paper/DTF envelope. Generated dimensions round down to whole millimetres; below-minimum or duplicate candidates are skipped.</t>
  </si>
  <si>
    <t>B7-1</t>
  </si>
  <si>
    <t>B7-2</t>
  </si>
  <si>
    <t>B7-3</t>
  </si>
  <si>
    <t>B7-4</t>
  </si>
  <si>
    <t>B7-5</t>
  </si>
  <si>
    <t>B7-6</t>
  </si>
  <si>
    <t>B7-7</t>
  </si>
  <si>
    <t>B7-8</t>
  </si>
  <si>
    <t>B7-9</t>
  </si>
  <si>
    <t>B7-10</t>
  </si>
  <si>
    <t>B7-11</t>
  </si>
  <si>
    <t>B7-12</t>
  </si>
  <si>
    <t>B7-13</t>
  </si>
  <si>
    <t>B7-14</t>
  </si>
  <si>
    <t>B7-15</t>
  </si>
  <si>
    <t>B7-16</t>
  </si>
  <si>
    <t>B7-17</t>
  </si>
  <si>
    <t>B7-18</t>
  </si>
  <si>
    <t>B7-19</t>
  </si>
  <si>
    <t>B7-20</t>
  </si>
  <si>
    <t>B7-21</t>
  </si>
  <si>
    <t>B7-22</t>
  </si>
  <si>
    <t>B7-23</t>
  </si>
  <si>
    <t>B7-24</t>
  </si>
  <si>
    <t>B7-25</t>
  </si>
  <si>
    <t>B7-26</t>
  </si>
  <si>
    <t>B7-27</t>
  </si>
  <si>
    <t>B7-28</t>
  </si>
  <si>
    <t>B7-29</t>
  </si>
  <si>
    <t>B7-30</t>
  </si>
  <si>
    <t>B7-31</t>
  </si>
  <si>
    <t>B7-32</t>
  </si>
  <si>
    <t>B7-33</t>
  </si>
  <si>
    <t>B7-34</t>
  </si>
  <si>
    <t>B7-35</t>
  </si>
  <si>
    <t>B7-36</t>
  </si>
  <si>
    <t>B7-37</t>
  </si>
  <si>
    <t>B7-38</t>
  </si>
  <si>
    <t>B7-39</t>
  </si>
  <si>
    <t>B7-40</t>
  </si>
  <si>
    <t>B7-41</t>
  </si>
  <si>
    <t>B7-42</t>
  </si>
  <si>
    <t>B7-43</t>
  </si>
  <si>
    <t>B7-44</t>
  </si>
  <si>
    <t>B7-45</t>
  </si>
  <si>
    <t>B7-46</t>
  </si>
  <si>
    <t>B7-47</t>
  </si>
  <si>
    <t>B7-48</t>
  </si>
  <si>
    <t>B7-49</t>
  </si>
  <si>
    <t>B7-50</t>
  </si>
  <si>
    <t>B7-51</t>
  </si>
  <si>
    <t>B7-52</t>
  </si>
  <si>
    <t>B7-53</t>
  </si>
  <si>
    <t>B7-54</t>
  </si>
  <si>
    <t>B7-55</t>
  </si>
  <si>
    <t>B7-56</t>
  </si>
  <si>
    <t>B7 custom paper / DTF slot</t>
  </si>
  <si>
    <t>B7-57</t>
  </si>
  <si>
    <t>B7-58</t>
  </si>
  <si>
    <t>B7-59</t>
  </si>
  <si>
    <t>B7-60</t>
  </si>
  <si>
    <t>B7-61</t>
  </si>
  <si>
    <t>B7-62</t>
  </si>
  <si>
    <t>B7-63</t>
  </si>
  <si>
    <t>B7-64</t>
  </si>
  <si>
    <t>B7-65</t>
  </si>
  <si>
    <t>B7-66</t>
  </si>
  <si>
    <t>B7-67</t>
  </si>
  <si>
    <t>B7-68</t>
  </si>
  <si>
    <t>B7-69</t>
  </si>
  <si>
    <t>B7-70</t>
  </si>
  <si>
    <t>B8</t>
  </si>
  <si>
    <t>B8 paper / DTF variant</t>
  </si>
  <si>
    <t>Generated inside the B8 paper/DTF envelope. Generated dimensions round down to whole millimetres; below-minimum or duplicate candidates are skipped.</t>
  </si>
  <si>
    <t>B8-1</t>
  </si>
  <si>
    <t>B8-2</t>
  </si>
  <si>
    <t>B8-3</t>
  </si>
  <si>
    <t>B8-4</t>
  </si>
  <si>
    <t>B8-5</t>
  </si>
  <si>
    <t>B8-6</t>
  </si>
  <si>
    <t>B8-7</t>
  </si>
  <si>
    <t>B8-8</t>
  </si>
  <si>
    <t>B8-9</t>
  </si>
  <si>
    <t>B8-10</t>
  </si>
  <si>
    <t>B8-11</t>
  </si>
  <si>
    <t>B8-12</t>
  </si>
  <si>
    <t>B8-13</t>
  </si>
  <si>
    <t>B8-14</t>
  </si>
  <si>
    <t>B8-15</t>
  </si>
  <si>
    <t>B8-16</t>
  </si>
  <si>
    <t>B8-17</t>
  </si>
  <si>
    <t>B8-18</t>
  </si>
  <si>
    <t>B8-19</t>
  </si>
  <si>
    <t>B8-20</t>
  </si>
  <si>
    <t>B8-21</t>
  </si>
  <si>
    <t>B8-22</t>
  </si>
  <si>
    <t>B8-23</t>
  </si>
  <si>
    <t>B8-24</t>
  </si>
  <si>
    <t>B8-25</t>
  </si>
  <si>
    <t>B8-26</t>
  </si>
  <si>
    <t>B8-27</t>
  </si>
  <si>
    <t>B8-28</t>
  </si>
  <si>
    <t>B8-29</t>
  </si>
  <si>
    <t>B8-30</t>
  </si>
  <si>
    <t>B8-31</t>
  </si>
  <si>
    <t>B8-32</t>
  </si>
  <si>
    <t>B8-33</t>
  </si>
  <si>
    <t>B8-34</t>
  </si>
  <si>
    <t>B8-35</t>
  </si>
  <si>
    <t>B8-36</t>
  </si>
  <si>
    <t>B8-37</t>
  </si>
  <si>
    <t>B8-38</t>
  </si>
  <si>
    <t>B8-39</t>
  </si>
  <si>
    <t>B8-40</t>
  </si>
  <si>
    <t>B8-41</t>
  </si>
  <si>
    <t>B8-42</t>
  </si>
  <si>
    <t>B8-43</t>
  </si>
  <si>
    <t>B8-44</t>
  </si>
  <si>
    <t>B8-45</t>
  </si>
  <si>
    <t>B8-46</t>
  </si>
  <si>
    <t>B8-47</t>
  </si>
  <si>
    <t>B8-48</t>
  </si>
  <si>
    <t>B8-49</t>
  </si>
  <si>
    <t>B8-50</t>
  </si>
  <si>
    <t>B8-51</t>
  </si>
  <si>
    <t>B8-52</t>
  </si>
  <si>
    <t>B8-53</t>
  </si>
  <si>
    <t>B8-54</t>
  </si>
  <si>
    <t>B8-55</t>
  </si>
  <si>
    <t>B8-56</t>
  </si>
  <si>
    <t>B8 custom paper / DTF slot</t>
  </si>
  <si>
    <t>B8-57</t>
  </si>
  <si>
    <t>B8-58</t>
  </si>
  <si>
    <t>B8-59</t>
  </si>
  <si>
    <t>B8-60</t>
  </si>
  <si>
    <t>B8-61</t>
  </si>
  <si>
    <t>B8-62</t>
  </si>
  <si>
    <t>B8-63</t>
  </si>
  <si>
    <t>B8-64</t>
  </si>
  <si>
    <t>B8-65</t>
  </si>
  <si>
    <t>B8-66</t>
  </si>
  <si>
    <t>B8-67</t>
  </si>
  <si>
    <t>B8-68</t>
  </si>
  <si>
    <t>B8-69</t>
  </si>
  <si>
    <t>B8-70</t>
  </si>
  <si>
    <t>B9</t>
  </si>
  <si>
    <t>B9 paper / DTF variant</t>
  </si>
  <si>
    <t>Generated inside the B9 paper/DTF envelope. Generated dimensions round down to whole millimetres; below-minimum or duplicate candidates are skipped.</t>
  </si>
  <si>
    <t>B9-1</t>
  </si>
  <si>
    <t>B9-2</t>
  </si>
  <si>
    <t>B9-3</t>
  </si>
  <si>
    <t>B9-4</t>
  </si>
  <si>
    <t>B9-5</t>
  </si>
  <si>
    <t>B9-6</t>
  </si>
  <si>
    <t>B9-7</t>
  </si>
  <si>
    <t>B9-8</t>
  </si>
  <si>
    <t>B9-9</t>
  </si>
  <si>
    <t>B9-10</t>
  </si>
  <si>
    <t>B9-11</t>
  </si>
  <si>
    <t>B9-12</t>
  </si>
  <si>
    <t>B9-13</t>
  </si>
  <si>
    <t>B9-14</t>
  </si>
  <si>
    <t>B9-15</t>
  </si>
  <si>
    <t>B9-16</t>
  </si>
  <si>
    <t>B9-17</t>
  </si>
  <si>
    <t>B9-18</t>
  </si>
  <si>
    <t>B9-19</t>
  </si>
  <si>
    <t>B9-20</t>
  </si>
  <si>
    <t>B9-21</t>
  </si>
  <si>
    <t>B9-22</t>
  </si>
  <si>
    <t>B9-23</t>
  </si>
  <si>
    <t>B9-24</t>
  </si>
  <si>
    <t>B9-25</t>
  </si>
  <si>
    <t>B9-26</t>
  </si>
  <si>
    <t>B9-27</t>
  </si>
  <si>
    <t>B9-28</t>
  </si>
  <si>
    <t>B9-29</t>
  </si>
  <si>
    <t>B9-30</t>
  </si>
  <si>
    <t>B9-31</t>
  </si>
  <si>
    <t>B9-32</t>
  </si>
  <si>
    <t>B9-33</t>
  </si>
  <si>
    <t>B9-34</t>
  </si>
  <si>
    <t>B9-35</t>
  </si>
  <si>
    <t>B9-36</t>
  </si>
  <si>
    <t>B9-37</t>
  </si>
  <si>
    <t>B9-38</t>
  </si>
  <si>
    <t>B9-39</t>
  </si>
  <si>
    <t>B9-40</t>
  </si>
  <si>
    <t>B9-41</t>
  </si>
  <si>
    <t>B9-42</t>
  </si>
  <si>
    <t>B9-43</t>
  </si>
  <si>
    <t>B9-44</t>
  </si>
  <si>
    <t>B9-45</t>
  </si>
  <si>
    <t>B9-46</t>
  </si>
  <si>
    <t>B9-47</t>
  </si>
  <si>
    <t>B9-48</t>
  </si>
  <si>
    <t>B9-49</t>
  </si>
  <si>
    <t>B9-50</t>
  </si>
  <si>
    <t>B9-51</t>
  </si>
  <si>
    <t>B9-52</t>
  </si>
  <si>
    <t>B9-53</t>
  </si>
  <si>
    <t>B9-54</t>
  </si>
  <si>
    <t>B9-55</t>
  </si>
  <si>
    <t>B9-56</t>
  </si>
  <si>
    <t>B9 custom paper / DTF slot</t>
  </si>
  <si>
    <t>B9-57</t>
  </si>
  <si>
    <t>B9-58</t>
  </si>
  <si>
    <t>B9-59</t>
  </si>
  <si>
    <t>B9-60</t>
  </si>
  <si>
    <t>B9-61</t>
  </si>
  <si>
    <t>B9-62</t>
  </si>
  <si>
    <t>B9-63</t>
  </si>
  <si>
    <t>B9-64</t>
  </si>
  <si>
    <t>B9-65</t>
  </si>
  <si>
    <t>B9-66</t>
  </si>
  <si>
    <t>B9-67</t>
  </si>
  <si>
    <t>B9-68</t>
  </si>
  <si>
    <t>B9-69</t>
  </si>
  <si>
    <t>B9-70</t>
  </si>
  <si>
    <t>B10</t>
  </si>
  <si>
    <t>B10 paper / DTF variant</t>
  </si>
  <si>
    <t>Generated inside the B10 paper/DTF envelope. Generated dimensions round down to whole millimetres; below-minimum or duplicate candidates are skipped.</t>
  </si>
  <si>
    <t>B10-1</t>
  </si>
  <si>
    <t>B10-2</t>
  </si>
  <si>
    <t>B10-3</t>
  </si>
  <si>
    <t>B10-4</t>
  </si>
  <si>
    <t>B10-5</t>
  </si>
  <si>
    <t>B10-6</t>
  </si>
  <si>
    <t>B10-7</t>
  </si>
  <si>
    <t>B10-8</t>
  </si>
  <si>
    <t>B10-9</t>
  </si>
  <si>
    <t>B10-10</t>
  </si>
  <si>
    <t>B10-11</t>
  </si>
  <si>
    <t>B10-12</t>
  </si>
  <si>
    <t>B10-13</t>
  </si>
  <si>
    <t>B10-14</t>
  </si>
  <si>
    <t>B10-15</t>
  </si>
  <si>
    <t>B10-16</t>
  </si>
  <si>
    <t>B10-17</t>
  </si>
  <si>
    <t>B10-18</t>
  </si>
  <si>
    <t>B10-19</t>
  </si>
  <si>
    <t>B10-20</t>
  </si>
  <si>
    <t>B10-21</t>
  </si>
  <si>
    <t>B10-22</t>
  </si>
  <si>
    <t>B10-23</t>
  </si>
  <si>
    <t>B10-24</t>
  </si>
  <si>
    <t>B10-25</t>
  </si>
  <si>
    <t>B10-26</t>
  </si>
  <si>
    <t>B10-27</t>
  </si>
  <si>
    <t>B10-28</t>
  </si>
  <si>
    <t>B10-29</t>
  </si>
  <si>
    <t>B10-30</t>
  </si>
  <si>
    <t>B10-31</t>
  </si>
  <si>
    <t>B10-32</t>
  </si>
  <si>
    <t>B10-33</t>
  </si>
  <si>
    <t>B10-34</t>
  </si>
  <si>
    <t>B10-35</t>
  </si>
  <si>
    <t>B10-36</t>
  </si>
  <si>
    <t>B10-37</t>
  </si>
  <si>
    <t>B10-38</t>
  </si>
  <si>
    <t>B10-39</t>
  </si>
  <si>
    <t>B10-40</t>
  </si>
  <si>
    <t>B10-41</t>
  </si>
  <si>
    <t>B10-42</t>
  </si>
  <si>
    <t>B10-43</t>
  </si>
  <si>
    <t>B10-44</t>
  </si>
  <si>
    <t>B10-45</t>
  </si>
  <si>
    <t>B10-46</t>
  </si>
  <si>
    <t>B10-47</t>
  </si>
  <si>
    <t>B10-48</t>
  </si>
  <si>
    <t>B10-49</t>
  </si>
  <si>
    <t>B10-50</t>
  </si>
  <si>
    <t>B10-51</t>
  </si>
  <si>
    <t>B10-52</t>
  </si>
  <si>
    <t>B10-53</t>
  </si>
  <si>
    <t>B10-54</t>
  </si>
  <si>
    <t>B10-55</t>
  </si>
  <si>
    <t>B10-56</t>
  </si>
  <si>
    <t>B10 custom paper / DTF slot</t>
  </si>
  <si>
    <t>B10-57</t>
  </si>
  <si>
    <t>B10-58</t>
  </si>
  <si>
    <t>B10-59</t>
  </si>
  <si>
    <t>B10-60</t>
  </si>
  <si>
    <t>B10-61</t>
  </si>
  <si>
    <t>B10-62</t>
  </si>
  <si>
    <t>B10-63</t>
  </si>
  <si>
    <t>B10-64</t>
  </si>
  <si>
    <t>B10-65</t>
  </si>
  <si>
    <t>B10-66</t>
  </si>
  <si>
    <t>B10-67</t>
  </si>
  <si>
    <t>B10-68</t>
  </si>
  <si>
    <t>B10-69</t>
  </si>
  <si>
    <t>B10-70</t>
  </si>
  <si>
    <t>POD Product, Machine and Apparel Presets - A/B Codes Used for DTF</t>
  </si>
  <si>
    <t>DTF garment prints use the A/B entries in 02-Printing Size directly. All dimensions, including LCCO2, round down to whole millimetres. The apparel section below chooses the lowest full A/B paper code that fits each target position after applying a minimum starting code. Verify every final SKU with the supplier template, actual garment and heat-press setup.</t>
  </si>
  <si>
    <t>DTF rule: select the A/B base printing_size code itself. The base code is the full transfer size; for example A3 = A3 Full = 297 x 420 mm. Artwork may sit within the paper canvas and does not have to touch every edge.</t>
  </si>
  <si>
    <t>preset_code</t>
  </si>
  <si>
    <t>product_or_use</t>
  </si>
  <si>
    <t>placement_or_shape</t>
  </si>
  <si>
    <t>preset_basis</t>
  </si>
  <si>
    <t>source_url</t>
  </si>
  <si>
    <t>verify_before_production</t>
  </si>
  <si>
    <t>YES</t>
  </si>
  <si>
    <t>POD Apparel Position Presets - Lowest-Fitting Full A/B Paper Reference</t>
  </si>
  <si>
    <t>E:F are recommended artwork/placement envelopes used to choose a paper code. M:N are the actual full-paper transfer dimensions to print. These are production starting presets, not universal supplier limits; the specific POD product template and a measured sample garment always override the guide.</t>
  </si>
  <si>
    <t>Lowest-paper rule: the search follows 07-Paper Priority and begins at column J. Bodysuit front/back rows begin at A5, producing the requested sequence A5 -&gt; B5 -&gt; A4 -&gt; B4 -&gt; A3 and onward. Rotation is allowed when it produces the first valid fit.</t>
  </si>
  <si>
    <t>apparel_code</t>
  </si>
  <si>
    <t>garment</t>
  </si>
  <si>
    <t>audience_gender</t>
  </si>
  <si>
    <t>garment_size</t>
  </si>
  <si>
    <t>art_target_width_mm</t>
  </si>
  <si>
    <t>art_target_height_mm</t>
  </si>
  <si>
    <t>placement</t>
  </si>
  <si>
    <t>minimum_start_paper</t>
  </si>
  <si>
    <t>lowest_paper_code</t>
  </si>
  <si>
    <t>orientation</t>
  </si>
  <si>
    <t>paper_print_width_mm</t>
  </si>
  <si>
    <t>paper_print_height_mm</t>
  </si>
  <si>
    <t>spare_width_mm</t>
  </si>
  <si>
    <t>spare_height_mm</t>
  </si>
  <si>
    <t>fit_rank_A10</t>
  </si>
  <si>
    <t>fit_rank_B10</t>
  </si>
  <si>
    <t>fit_rank_A9</t>
  </si>
  <si>
    <t>fit_rank_B9</t>
  </si>
  <si>
    <t>fit_rank_A8</t>
  </si>
  <si>
    <t>fit_rank_B8</t>
  </si>
  <si>
    <t>fit_rank_A7</t>
  </si>
  <si>
    <t>fit_rank_B7</t>
  </si>
  <si>
    <t>fit_rank_A6</t>
  </si>
  <si>
    <t>fit_rank_B6</t>
  </si>
  <si>
    <t>fit_rank_A5</t>
  </si>
  <si>
    <t>fit_rank_B5</t>
  </si>
  <si>
    <t>fit_rank_A4</t>
  </si>
  <si>
    <t>fit_rank_B4</t>
  </si>
  <si>
    <t>fit_rank_A3</t>
  </si>
  <si>
    <t>fit_rank_B3</t>
  </si>
  <si>
    <t>fit_rank_A2</t>
  </si>
  <si>
    <t>fit_rank_B2</t>
  </si>
  <si>
    <t>fit_rank_A1</t>
  </si>
  <si>
    <t>fit_rank_B1</t>
  </si>
  <si>
    <t>fit_rank_A0</t>
  </si>
  <si>
    <t>fit_rank_B0</t>
  </si>
  <si>
    <t>TSH-001</t>
  </si>
  <si>
    <t>T-shirt</t>
  </si>
  <si>
    <t>Adult - all genders</t>
  </si>
  <si>
    <t>XS-5XL</t>
  </si>
  <si>
    <t>Left chest / heart</t>
  </si>
  <si>
    <t>Place proportionally between collar and sleeve; verify on XS and fitted cuts.</t>
  </si>
  <si>
    <t>https://printify.com/blog/t-shirt-design-size/</t>
  </si>
  <si>
    <t>Official placement range representative</t>
  </si>
  <si>
    <t>TSH-002</t>
  </si>
  <si>
    <t>Right chest</t>
  </si>
  <si>
    <t>Use only where garment seams, buttons or pockets allow.</t>
  </si>
  <si>
    <t>https://printify.com/blog/t-shirt-design-placement-guide/</t>
  </si>
  <si>
    <t>Mirrored left-chest starting preset</t>
  </si>
  <si>
    <t>TSH-003</t>
  </si>
  <si>
    <t>Centre chest</t>
  </si>
  <si>
    <t>Start below collar; keep design visually centred.</t>
  </si>
  <si>
    <t>Official centre-chest common size</t>
  </si>
  <si>
    <t>TSH-004</t>
  </si>
  <si>
    <t>S-3XL</t>
  </si>
  <si>
    <t>Standard full front</t>
  </si>
  <si>
    <t>Full-paper A3 reference; verify width on small and fitted garments.</t>
  </si>
  <si>
    <t>https://www.transferexpress.com/design-sizes</t>
  </si>
  <si>
    <t>Adult standard / max apparel range</t>
  </si>
  <si>
    <t>TSH-005</t>
  </si>
  <si>
    <t>L-5XL</t>
  </si>
  <si>
    <t>Large / jumbo front</t>
  </si>
  <si>
    <t>Use only when garment body and platen support the full B3 reference.</t>
  </si>
  <si>
    <t>Adult jumbo apparel range</t>
  </si>
  <si>
    <t>TSH-006</t>
  </si>
  <si>
    <t>Wide front / slogan</t>
  </si>
  <si>
    <t>Wide, shallow artwork; keep clear of side seams.</t>
  </si>
  <si>
    <t>Wide shallow front-art starting preset</t>
  </si>
  <si>
    <t>TSH-007</t>
  </si>
  <si>
    <t>Standard full back</t>
  </si>
  <si>
    <t>Start below collar and check garment width.</t>
  </si>
  <si>
    <t>Official full-back range representative</t>
  </si>
  <si>
    <t>TSH-008</t>
  </si>
  <si>
    <t>Large / jumbo back</t>
  </si>
  <si>
    <t>Verify shoulder width, collar offset and heat-press platen.</t>
  </si>
  <si>
    <t>Large back starting envelope</t>
  </si>
  <si>
    <t>TSH-009</t>
  </si>
  <si>
    <t>Upper back / yoke</t>
  </si>
  <si>
    <t>Keep below collar seam; A4 is used rotated.</t>
  </si>
  <si>
    <t>Common upper-back branding preset</t>
  </si>
  <si>
    <t>TSH-010</t>
  </si>
  <si>
    <t>Outside back neck</t>
  </si>
  <si>
    <t>Use a simple logo and verify collar seam clearance.</t>
  </si>
  <si>
    <t>Official 1-3 inch neck-area range</t>
  </si>
  <si>
    <t>TSH-011</t>
  </si>
  <si>
    <t>Adult - tear-away label</t>
  </si>
  <si>
    <t>Inside neck label</t>
  </si>
  <si>
    <t>Include required garment information where applicable.</t>
  </si>
  <si>
    <t>https://help.printful.com/hc/en-us/articles/5582030932764-How-do-I-customize-inside-labels</t>
  </si>
  <si>
    <t>Within official 3 x 3 inch maximum</t>
  </si>
  <si>
    <t>TSH-012</t>
  </si>
  <si>
    <t>Adult - pocket garment</t>
  </si>
  <si>
    <t>Pocket / over-pocket</t>
  </si>
  <si>
    <t>Measure the actual pocket; do not press over thick seams.</t>
  </si>
  <si>
    <t>Official pocket reference</t>
  </si>
  <si>
    <t>TSH-013</t>
  </si>
  <si>
    <t>Short sleeve logo</t>
  </si>
  <si>
    <t>Check sleeve circumference and seam position.</t>
  </si>
  <si>
    <t>Official short-sleeve range representative</t>
  </si>
  <si>
    <t>TSH-014</t>
  </si>
  <si>
    <t>S-5XL</t>
  </si>
  <si>
    <t>Long sleeve vertical</t>
  </si>
  <si>
    <t>Use A4 full; keep clear of cuff and sleeve seam.</t>
  </si>
  <si>
    <t>Official sleeve / transfer guide representative</t>
  </si>
  <si>
    <t>TSH-015</t>
  </si>
  <si>
    <t>Cuff / wrist</t>
  </si>
  <si>
    <t>Use a small simple design; press with a sleeve platen where possible.</t>
  </si>
  <si>
    <t>Small sleeve/cuff starting preset</t>
  </si>
  <si>
    <t>TSH-016</t>
  </si>
  <si>
    <t>Lower front / hem logo</t>
  </si>
  <si>
    <t>Keep above hem stitching and away from side seam.</t>
  </si>
  <si>
    <t>Shop starting preset from small-logo ranges</t>
  </si>
  <si>
    <t>TSH-017</t>
  </si>
  <si>
    <t>Side chest vertical</t>
  </si>
  <si>
    <t>Verify armhole and side-seam clearance.</t>
  </si>
  <si>
    <t>TSH-018</t>
  </si>
  <si>
    <t>Women fitted</t>
  </si>
  <si>
    <t>XS-S</t>
  </si>
  <si>
    <t>Small front</t>
  </si>
  <si>
    <t>Use A4 full; verify fitted body width and bust position.</t>
  </si>
  <si>
    <t>Scaled full-front starting preset</t>
  </si>
  <si>
    <t>TSH-019</t>
  </si>
  <si>
    <t>M-2XL</t>
  </si>
  <si>
    <t>Standard front</t>
  </si>
  <si>
    <t>Use B4 full; verify each blank and size.</t>
  </si>
  <si>
    <t>TSH-020</t>
  </si>
  <si>
    <t>Standard back</t>
  </si>
  <si>
    <t>Check shoulder and collar spacing.</t>
  </si>
  <si>
    <t>Scaled full-back starting preset</t>
  </si>
  <si>
    <t>TSH-021</t>
  </si>
  <si>
    <t>Youth - all genders</t>
  </si>
  <si>
    <t>Front</t>
  </si>
  <si>
    <t>A4 is the lowest paper that holds the target; verify actual youth blank.</t>
  </si>
  <si>
    <t>Scaled youth starting preset</t>
  </si>
  <si>
    <t>TSH-022</t>
  </si>
  <si>
    <t>M-L</t>
  </si>
  <si>
    <t>B4 gives more width than A4.</t>
  </si>
  <si>
    <t>Youth medium/large starting preset</t>
  </si>
  <si>
    <t>TSH-023</t>
  </si>
  <si>
    <t>XL</t>
  </si>
  <si>
    <t>Front / back large</t>
  </si>
  <si>
    <t>Use A3 full and check garment width.</t>
  </si>
  <si>
    <t>Official youth medium/large maximum reference</t>
  </si>
  <si>
    <t>TSH-024</t>
  </si>
  <si>
    <t>XS-XL</t>
  </si>
  <si>
    <t>Back</t>
  </si>
  <si>
    <t>Check collar offset.</t>
  </si>
  <si>
    <t>TSH-025</t>
  </si>
  <si>
    <t>Left chest</t>
  </si>
  <si>
    <t>Keep proportional to smaller chest width.</t>
  </si>
  <si>
    <t>Scaled chest-logo starting preset</t>
  </si>
  <si>
    <t>TSH-026</t>
  </si>
  <si>
    <t>Short sleeve</t>
  </si>
  <si>
    <t>Check sleeve circumference.</t>
  </si>
  <si>
    <t>Scaled sleeve-logo starting preset</t>
  </si>
  <si>
    <t>TSH-027</t>
  </si>
  <si>
    <t>M-XL</t>
  </si>
  <si>
    <t>Use B5 full; check cuff clearance.</t>
  </si>
  <si>
    <t>Scaled long-sleeve starting preset</t>
  </si>
  <si>
    <t>TSH-028</t>
  </si>
  <si>
    <t>Kids - all genders</t>
  </si>
  <si>
    <t>5-10 years</t>
  </si>
  <si>
    <t>A4 is the lowest fit because B5 is too narrow.</t>
  </si>
  <si>
    <t>Scaled kids front preset</t>
  </si>
  <si>
    <t>TSH-029</t>
  </si>
  <si>
    <t>Verify garment body length.</t>
  </si>
  <si>
    <t>Scaled kids back preset</t>
  </si>
  <si>
    <t>TSH-030</t>
  </si>
  <si>
    <t>Use A5 full and verify proportional placement.</t>
  </si>
  <si>
    <t>Scaled centre-chest preset</t>
  </si>
  <si>
    <t>TSH-031</t>
  </si>
  <si>
    <t>Toddler - all genders</t>
  </si>
  <si>
    <t>2T-5T</t>
  </si>
  <si>
    <t>A5 is the garment minimum in this strategy.</t>
  </si>
  <si>
    <t>Official toddler 5.5 x 5.5 inch reference</t>
  </si>
  <si>
    <t>TSH-032</t>
  </si>
  <si>
    <t>Check neck and hem clearance.</t>
  </si>
  <si>
    <t>Official toddler size reference</t>
  </si>
  <si>
    <t>TSH-033</t>
  </si>
  <si>
    <t>Use a simple design and verify placement.</t>
  </si>
  <si>
    <t>Scaled small-logo preset</t>
  </si>
  <si>
    <t>TSH-034</t>
  </si>
  <si>
    <t>Baby tee - unisex</t>
  </si>
  <si>
    <t>0-24 months</t>
  </si>
  <si>
    <t>A5 is the minimum garment sheet in this strategy.</t>
  </si>
  <si>
    <t>Infant starting envelope</t>
  </si>
  <si>
    <t>TSH-035</t>
  </si>
  <si>
    <t>Avoid neck and bottom seams.</t>
  </si>
  <si>
    <t>HOD-001</t>
  </si>
  <si>
    <t>Hoodie / pullover</t>
  </si>
  <si>
    <t>Avoid drawstrings and thick seams.</t>
  </si>
  <si>
    <t>Official small chest-logo range</t>
  </si>
  <si>
    <t>HOD-002</t>
  </si>
  <si>
    <t>Verify pocket and drawstring position.</t>
  </si>
  <si>
    <t>Mirrored chest-logo preset</t>
  </si>
  <si>
    <t>HOD-003</t>
  </si>
  <si>
    <t>Centre chest above pocket</t>
  </si>
  <si>
    <t>Keep clear of hood opening and kangaroo pocket.</t>
  </si>
  <si>
    <t>Centre-chest starting preset</t>
  </si>
  <si>
    <t>HOD-004</t>
  </si>
  <si>
    <t>M-5XL</t>
  </si>
  <si>
    <t>Full front above pocket</t>
  </si>
  <si>
    <t>A3 full; verify available height above pocket.</t>
  </si>
  <si>
    <t>Hoodie front print-area representative</t>
  </si>
  <si>
    <t>HOD-005</t>
  </si>
  <si>
    <t>Hoodie / zip</t>
  </si>
  <si>
    <t>Left front panel</t>
  </si>
  <si>
    <t>Use one side of zip only; keep clear of zipper teeth.</t>
  </si>
  <si>
    <t>Zip-panel starting preset</t>
  </si>
  <si>
    <t>HOD-006</t>
  </si>
  <si>
    <t>Right front panel</t>
  </si>
  <si>
    <t>Mirror placement and verify zipper clearance.</t>
  </si>
  <si>
    <t>HOD-007</t>
  </si>
  <si>
    <t>Full back</t>
  </si>
  <si>
    <t>Allow for hood overlap; B3 full.</t>
  </si>
  <si>
    <t>Large back starting preset</t>
  </si>
  <si>
    <t>HOD-008</t>
  </si>
  <si>
    <t>Upper back</t>
  </si>
  <si>
    <t>A4 rotated; place below hood overlap.</t>
  </si>
  <si>
    <t>Upper-back branding preset</t>
  </si>
  <si>
    <t>HOD-009</t>
  </si>
  <si>
    <t>Hoodie</t>
  </si>
  <si>
    <t>Hood side</t>
  </si>
  <si>
    <t>Use only on flat, pressable hood panels.</t>
  </si>
  <si>
    <t>Small hood-logo starting preset</t>
  </si>
  <si>
    <t>HOD-010</t>
  </si>
  <si>
    <t>Hood top / centre</t>
  </si>
  <si>
    <t>Confirm panel seam and pressability.</t>
  </si>
  <si>
    <t>Hood-centre starting preset</t>
  </si>
  <si>
    <t>HOD-011</t>
  </si>
  <si>
    <t>Kangaroo pocket</t>
  </si>
  <si>
    <t>Do not press over thick pocket seams.</t>
  </si>
  <si>
    <t>Pocket-area starting preset</t>
  </si>
  <si>
    <t>HOD-012</t>
  </si>
  <si>
    <t>Use A4 full; check cuff and seam clearance.</t>
  </si>
  <si>
    <t>Long-sleeve starting preset</t>
  </si>
  <si>
    <t>HOD-013</t>
  </si>
  <si>
    <t>Use a sleeve platen and simple artwork.</t>
  </si>
  <si>
    <t>Small cuff starting preset</t>
  </si>
  <si>
    <t>HOD-014</t>
  </si>
  <si>
    <t>Confirm label eligibility and legal information.</t>
  </si>
  <si>
    <t>Within official label maximum</t>
  </si>
  <si>
    <t>HOD-015</t>
  </si>
  <si>
    <t>Keep below hood seam.</t>
  </si>
  <si>
    <t>Small neck-branding preset</t>
  </si>
  <si>
    <t>HOD-016</t>
  </si>
  <si>
    <t>XS-2XL</t>
  </si>
  <si>
    <t>Front above pocket</t>
  </si>
  <si>
    <t>Verify fitted body width and pocket height.</t>
  </si>
  <si>
    <t>Scaled hoodie front preset</t>
  </si>
  <si>
    <t>HOD-017</t>
  </si>
  <si>
    <t>B4 full; verify pocket and hood opening.</t>
  </si>
  <si>
    <t>Scaled youth hoodie preset</t>
  </si>
  <si>
    <t>HOD-018</t>
  </si>
  <si>
    <t>Allow hood overlap.</t>
  </si>
  <si>
    <t>Scaled youth hoodie back</t>
  </si>
  <si>
    <t>HOD-019</t>
  </si>
  <si>
    <t>A4 full; confirm usable area above pocket.</t>
  </si>
  <si>
    <t>Scaled kids hoodie front</t>
  </si>
  <si>
    <t>HOD-020</t>
  </si>
  <si>
    <t>Check body length and hood overlap.</t>
  </si>
  <si>
    <t>Scaled kids hoodie back</t>
  </si>
  <si>
    <t>SWT-001</t>
  </si>
  <si>
    <t>Sweatshirt / crewneck</t>
  </si>
  <si>
    <t>Check fleece thickness and seam position.</t>
  </si>
  <si>
    <t>Official chest-logo range representative</t>
  </si>
  <si>
    <t>SWT-002</t>
  </si>
  <si>
    <t>Verify on fitted and small sizes.</t>
  </si>
  <si>
    <t>SWT-003</t>
  </si>
  <si>
    <t>Place below collar ribbing.</t>
  </si>
  <si>
    <t>SWT-004</t>
  </si>
  <si>
    <t>A3 full; verify body width and ribbing.</t>
  </si>
  <si>
    <t>Adult full-front starting preset</t>
  </si>
  <si>
    <t>SWT-005</t>
  </si>
  <si>
    <t>Large front</t>
  </si>
  <si>
    <t>B3 full; verify platen and garment width.</t>
  </si>
  <si>
    <t>Large apparel starting preset</t>
  </si>
  <si>
    <t>SWT-006</t>
  </si>
  <si>
    <t>Check collar offset and garment width.</t>
  </si>
  <si>
    <t>SWT-007</t>
  </si>
  <si>
    <t>Use A4 rotated.</t>
  </si>
  <si>
    <t>SWT-008</t>
  </si>
  <si>
    <t>Use A4 full; keep clear of cuff.</t>
  </si>
  <si>
    <t>SWT-009</t>
  </si>
  <si>
    <t>Use simple artwork and a sleeve platen.</t>
  </si>
  <si>
    <t>SWT-010</t>
  </si>
  <si>
    <t>Confirm tear-away label and required information.</t>
  </si>
  <si>
    <t>SWT-011</t>
  </si>
  <si>
    <t>B4 full; verify each size.</t>
  </si>
  <si>
    <t>Scaled fitted-sweatshirt preset</t>
  </si>
  <si>
    <t>SWT-012</t>
  </si>
  <si>
    <t>B4 full.</t>
  </si>
  <si>
    <t>Scaled youth front preset</t>
  </si>
  <si>
    <t>SWT-013</t>
  </si>
  <si>
    <t>Scaled youth back preset</t>
  </si>
  <si>
    <t>SWT-014</t>
  </si>
  <si>
    <t>A4 full.</t>
  </si>
  <si>
    <t>SWT-015</t>
  </si>
  <si>
    <t>Verify body length.</t>
  </si>
  <si>
    <t>BOD-001</t>
  </si>
  <si>
    <t>Baby bodysuit</t>
  </si>
  <si>
    <t>Infant - unisex</t>
  </si>
  <si>
    <t>0-6 months</t>
  </si>
  <si>
    <t>Front centre</t>
  </si>
  <si>
    <t>Search starts at A5; avoid snaps, lap-shoulder seams and leg binding.</t>
  </si>
  <si>
    <t>https://printify.com/app/products/568/gerber-childrenswear/baby-short-sleeve-onesie</t>
  </si>
  <si>
    <t>Infant bodysuit priority tier 1</t>
  </si>
  <si>
    <t>BOD-002</t>
  </si>
  <si>
    <t>6-12 months</t>
  </si>
  <si>
    <t>A5 is checked first, then B5; B5 is the lowest fit for this target.</t>
  </si>
  <si>
    <t>Infant bodysuit priority tier 2</t>
  </si>
  <si>
    <t>BOD-003</t>
  </si>
  <si>
    <t>12-24 months</t>
  </si>
  <si>
    <t>A5, then B5, then A4; A4 is the lowest fit for this target.</t>
  </si>
  <si>
    <t>Infant bodysuit priority tier 3</t>
  </si>
  <si>
    <t>BOD-004</t>
  </si>
  <si>
    <t>Back centre</t>
  </si>
  <si>
    <t>Search starts at A5; keep clear of neck and leg openings.</t>
  </si>
  <si>
    <t>Infant back starting preset</t>
  </si>
  <si>
    <t>BOD-005</t>
  </si>
  <si>
    <t>B5 is the lowest fit after checking A5.</t>
  </si>
  <si>
    <t>BOD-006</t>
  </si>
  <si>
    <t>A4 is the lowest fit after A5 and B5.</t>
  </si>
  <si>
    <t>BOD-007</t>
  </si>
  <si>
    <t>Small chest logo</t>
  </si>
  <si>
    <t>Keep well clear of lap-shoulder overlap.</t>
  </si>
  <si>
    <t>BOD-008</t>
  </si>
  <si>
    <t>Confirm sleeve circumference and pressability.</t>
  </si>
  <si>
    <t>Small sleeve preset</t>
  </si>
  <si>
    <t>BOD-009</t>
  </si>
  <si>
    <t>Use B6 full; check cuff and seam clearance.</t>
  </si>
  <si>
    <t>Scaled long-sleeve preset</t>
  </si>
  <si>
    <t>BOD-010</t>
  </si>
  <si>
    <t>Infant - tear-away label</t>
  </si>
  <si>
    <t>Confirm product supports inner neck printing.</t>
  </si>
  <si>
    <t>Small label preset within official maximum</t>
  </si>
  <si>
    <t>BOD-011</t>
  </si>
  <si>
    <t>Keep below neck binding.</t>
  </si>
  <si>
    <t>Apparel preset summary</t>
  </si>
  <si>
    <t>Total presets</t>
  </si>
  <si>
    <t>Valid</t>
  </si>
  <si>
    <t>Review / error</t>
  </si>
  <si>
    <t>Sweatshirt</t>
  </si>
  <si>
    <t>Bodysuit</t>
  </si>
  <si>
    <t>A/B Full-Paper Priority for POD Garment Transfers</t>
  </si>
  <si>
    <t>The apparel guide checks full A/B paper codes in this exact order. Each apparel row starts at its minimum_start_paper, ignores all earlier/smaller codes, and selects the first code that fits the target art envelope in portrait or rotated orientation.</t>
  </si>
  <si>
    <t>Example: bodysuit rows start at A5, so the check order is A5 -&gt; B5 -&gt; A4 -&gt; B4 -&gt; A3 -&gt; B3 and onward. The selected base code means the full paper/transfer size; for example A3 = A3 Full = 297 x 420 mm.</t>
  </si>
  <si>
    <t>priority_rank</t>
  </si>
  <si>
    <t>paper_code</t>
  </si>
  <si>
    <t>area_mm2</t>
  </si>
  <si>
    <t>standard_status</t>
  </si>
  <si>
    <t>next_priority_code</t>
  </si>
  <si>
    <t>apparel_presets_using_code</t>
  </si>
  <si>
    <t>Adaptive A/B Paper and DTF Variant Rules</t>
  </si>
  <si>
    <t>These rules replace fixed 20 mm deductions. Each A/B candidate is rounded down to a whole millimetre, then positive-, minimum-, envelope- and duplicate-checked before appearing in the export table.</t>
  </si>
  <si>
    <t>rule_name</t>
  </si>
  <si>
    <t>rule_type</t>
  </si>
  <si>
    <t>parameter_1</t>
  </si>
  <si>
    <t>parameter_2</t>
  </si>
  <si>
    <t>description</t>
  </si>
  <si>
    <t>FULL</t>
  </si>
  <si>
    <t>WIDTH_FRAC</t>
  </si>
  <si>
    <t>HEIGHT_FRAC</t>
  </si>
  <si>
    <t>BOTH_FRAC</t>
  </si>
  <si>
    <t>SQUARE</t>
  </si>
  <si>
    <t>ASPECT_FIT</t>
  </si>
  <si>
    <t>ISO A/B Paper Reference Used for DTF Transfer Sizes</t>
  </si>
  <si>
    <t>A/B dimensions are used directly as garment-transfer print sizes in this workbook. A0-A10 and B0-B10 are the standard reference set; A11/A12 remain compatibility extensions.</t>
  </si>
  <si>
    <t>base_code</t>
  </si>
  <si>
    <t>ISO reference</t>
  </si>
  <si>
    <t>Large posters / plans</t>
  </si>
  <si>
    <t>Use only when the chosen process can physically accept the sheet.</t>
  </si>
  <si>
    <t>Posters / technical drawings</t>
  </si>
  <si>
    <t>Calendars / medium posters</t>
  </si>
  <si>
    <t>Presentation sheets / small posters</t>
  </si>
  <si>
    <t>Common office / transfer sheet</t>
  </si>
  <si>
    <t>Flyers / small prints</t>
  </si>
  <si>
    <t>Postcards / labels</t>
  </si>
  <si>
    <t>Tickets / small labels</t>
  </si>
  <si>
    <t>Business-card scale</t>
  </si>
  <si>
    <t>Micro labels / tags</t>
  </si>
  <si>
    <t>Very small labels</t>
  </si>
  <si>
    <t>Extended compatibility code</t>
  </si>
  <si>
    <t>Micro component label</t>
  </si>
  <si>
    <t>Geometric continuation only; not claimed as an ISO 216 standard size.</t>
  </si>
  <si>
    <t>Large-format sheet</t>
  </si>
  <si>
    <t>Large advertising sheet</t>
  </si>
  <si>
    <t>POS poster / rigid panel</t>
  </si>
  <si>
    <t>Art print / brochure sheet</t>
  </si>
  <si>
    <t>Folder / sheet</t>
  </si>
  <si>
    <t>Book / magazine scale</t>
  </si>
  <si>
    <t>Booklet / organiser scale</t>
  </si>
  <si>
    <t>Passport scale</t>
  </si>
  <si>
    <t>Card / tag scale</t>
  </si>
  <si>
    <t>Micro voucher / label</t>
  </si>
  <si>
    <t>Tiny label</t>
  </si>
  <si>
    <t>Workbook Audit</t>
  </si>
  <si>
    <t>Formula-driven checks for non-positive sizes, validation errors, active rows, skipped candidates, custom capacity, whole-mm output, removal of separate DTF codes and lowest-paper apparel selection.</t>
  </si>
  <si>
    <t>Metric</t>
  </si>
  <si>
    <t>Original workbook</t>
  </si>
  <si>
    <t>Revised workbook</t>
  </si>
  <si>
    <t>Result</t>
  </si>
  <si>
    <t>Negative dimension cells</t>
  </si>
  <si>
    <t>Rows with any negative dimension</t>
  </si>
  <si>
    <t>Validation error rows</t>
  </si>
  <si>
    <t>Not available</t>
  </si>
  <si>
    <t>Active dimension rows</t>
  </si>
  <si>
    <t>Blank dimension rows</t>
  </si>
  <si>
    <t>Skipped generated candidates</t>
  </si>
  <si>
    <t>Custom blank slots</t>
  </si>
  <si>
    <t>Duplicate custom-size warnings</t>
  </si>
  <si>
    <t>Original CT had duplicates</t>
  </si>
  <si>
    <t>Separate DTF code rows</t>
  </si>
  <si>
    <t>Removed by user strategy</t>
  </si>
  <si>
    <t>Rounding policy</t>
  </si>
  <si>
    <t>Whole mm for all processes</t>
  </si>
  <si>
    <t>Round down applied at control, preset and output level</t>
  </si>
  <si>
    <t>INFO</t>
  </si>
  <si>
    <t>Process / group</t>
  </si>
  <si>
    <t>Rows</t>
  </si>
  <si>
    <t>Active sizes</t>
  </si>
  <si>
    <t>Valid rows</t>
  </si>
  <si>
    <t>Errors</t>
  </si>
  <si>
    <t>Custom blanks</t>
  </si>
  <si>
    <t>A/B paper-size rows are the DTF garment-transfer sizes.</t>
  </si>
  <si>
    <t>DTF</t>
  </si>
  <si>
    <t>Expected to remain zero; use A/B codes instead.</t>
  </si>
  <si>
    <t>Production assumptions requiring confirmation</t>
  </si>
  <si>
    <t>default_length_mm</t>
  </si>
  <si>
    <t>safety_margin_mm</t>
  </si>
  <si>
    <t>confirmed?</t>
  </si>
  <si>
    <t>action</t>
  </si>
  <si>
    <t>source / basis</t>
  </si>
  <si>
    <t>A/B for DTF</t>
  </si>
  <si>
    <t>Use A/B code</t>
  </si>
  <si>
    <t>Example A3: 297 x 420</t>
  </si>
  <si>
    <t>No separate DTF panel</t>
  </si>
  <si>
    <t>Whole mm</t>
  </si>
  <si>
    <t>Select A/B printing_size codes directly for garment transfers.</t>
  </si>
  <si>
    <t>Confirm against machine manual, RIP printable area, jig and shop test.</t>
  </si>
  <si>
    <t>Apparel lowest-paper audit</t>
  </si>
  <si>
    <t>Expected</t>
  </si>
  <si>
    <t>Actual</t>
  </si>
  <si>
    <t>Note</t>
  </si>
  <si>
    <t>Apparel presets</t>
  </si>
  <si>
    <t>All requested garment/position presets are present.</t>
  </si>
  <si>
    <t>Valid lowest-paper selections</t>
  </si>
  <si>
    <t>Every apparel row should resolve to an existing A/B base code.</t>
  </si>
  <si>
    <t>Bodysuit front A5/B5/A4 outputs</t>
  </si>
  <si>
    <t>Confirms the user-requested bodysuit priority example.</t>
  </si>
  <si>
    <t>No-fit or missing-code rows</t>
  </si>
  <si>
    <t>Should remain zero after formula recalculation.</t>
  </si>
  <si>
    <t>Common Uses</t>
  </si>
  <si>
    <t>Large posters, architectural plans</t>
  </si>
  <si>
    <t>Posters, flipcharts, technical drawings</t>
  </si>
  <si>
    <t>Calendars, medium posters</t>
  </si>
  <si>
    <t>Diagrams, presentations, large spreadsheets</t>
  </si>
  <si>
    <t>Standard letters, office printing, school notebooks</t>
  </si>
  <si>
    <t>Small notebooks, flyers, menus</t>
  </si>
  <si>
    <t>Postcards, flyers, pocket diaries</t>
  </si>
  <si>
    <t>Pocket timetables, large tickets</t>
  </si>
  <si>
    <t>Business cards, labels</t>
  </si>
  <si>
    <t>Tiny coupons, price tags</t>
  </si>
  <si>
    <t>Smallest standard stamps, micro-labels</t>
  </si>
  <si>
    <t>Industry-scale posters, maps</t>
  </si>
  <si>
    <t>Large advertising posters</t>
  </si>
  <si>
    <t>Retail point-of-sale poster frames</t>
  </si>
  <si>
    <t>Specialized art prints, brochures</t>
  </si>
  <si>
    <t>Newspapers, music sheets, large folders</t>
  </si>
  <si>
    <t>Paperback novels, trade books, magazines</t>
  </si>
  <si>
    <t>Small books, booklets, personal organizers</t>
  </si>
  <si>
    <t>Official international passports</t>
  </si>
  <si>
    <t>Playing cards, trading cards</t>
  </si>
  <si>
    <t>Micro-vouchers, industrial labels</t>
  </si>
  <si>
    <t>Tiny price stickers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</si>
</sst>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</font>
    <font>
      <sz val="12"/>
      <color theme="0"/>
      <name val="Calibri"/>
    </font>
    <font>
      <b/>
      <sz val="16"/>
      <color rgb="FFFFFFFF"/>
      <name val="Calibri"/>
    </font>
    <font>
      <i/>
      <sz val="10"/>
      <color rgb="FF666666"/>
      <name val="Calibri"/>
    </font>
    <font>
      <b/>
      <sz val="11"/>
      <color rgb="FFFFFFFF"/>
      <name val="Calibri"/>
    </font>
    <font>
      <b/>
      <sz val="11"/>
      <color rgb="FF002060"/>
      <name val="Calibri"/>
    </font>
    <font>
      <sz val="12"/>
      <color theme="10"/>
      <name val="Calibri"/>
    </font>
    <font>
      <sz val="11"/>
      <color rgb="FF008000"/>
      <name val="Calibri"/>
    </font>
    <font>
      <sz val="11"/>
      <color rgb="FF0000FF"/>
      <name val="Calibri"/>
    </font>
    <font>
      <sz val="11"/>
      <color rgb="FF666666"/>
      <name val="Calibri"/>
    </font>
    <font>
      <sz val="11"/>
      <color rgb="FF000000"/>
      <name val="Calibri"/>
    </font>
    <font>
      <b/>
      <sz val="10"/>
      <color rgb="FF1F4E78"/>
      <name val="Calibri"/>
    </font>
    <font>
      <sz val="10"/>
      <color rgb="FF666666"/>
      <name val="Calibri"/>
    </font>
    <font>
      <b/>
      <sz val="10"/>
      <color rgb="FFFFFFFF"/>
      <name val="Calibri"/>
    </font>
    <font>
      <sz val="10"/>
      <color rgb="FF404040"/>
      <name val="Calibri"/>
    </font>
    <font>
      <sz val="10"/>
      <color rgb="FF000000"/>
      <name val="Calibri"/>
    </font>
    <font>
      <sz val="10"/>
      <color rgb="FF008000"/>
      <name val="Calibri"/>
    </font>
    <font>
      <b/>
      <sz val="13"/>
      <color rgb="FFFFFFFF"/>
      <name val="Calibri"/>
    </font>
    <font>
      <sz val="10"/>
      <color rgb="FF0000FF"/>
      <name val="Calibri"/>
    </font>
    <font>
      <b/>
      <sz val="10"/>
      <color rgb="FF404040"/>
      <name val="Calibri"/>
    </font>
    <font>
      <b/>
      <sz val="10"/>
      <color rgb="FF0000FF"/>
      <name val="Calibri"/>
    </font>
    <font>
      <b/>
      <sz val="10"/>
      <color rgb="FF008000"/>
      <name val="Calibri"/>
    </font>
    <font>
      <b/>
      <sz val="10"/>
      <color rgb="FF000000"/>
      <name val="Calibri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rgb="FF17365D"/>
      </patternFill>
    </fill>
    <fill>
      <patternFill patternType="solid">
        <fgColor rgb="FF002060"/>
      </patternFill>
    </fill>
    <fill>
      <patternFill patternType="solid">
        <fgColor rgb="FFDDEBF7"/>
      </patternFill>
    </fill>
    <fill>
      <patternFill patternType="solid">
        <fgColor rgb="FF7030A0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2060"/>
      </bottom>
      <diagonal/>
    </border>
    <border>
      <left/>
      <right/>
      <top style="medium">
        <color rgb="FF002060"/>
      </top>
      <bottom/>
      <diagonal/>
    </border>
    <border>
      <left/>
      <right/>
      <top/>
      <bottom style="thin">
        <color rgb="FFD9E1F2"/>
      </bottom>
      <diagonal/>
    </border>
    <border>
      <left/>
      <right/>
      <top style="medium">
        <color rgb="FF002060"/>
      </top>
      <bottom style="thin">
        <color rgb="FFD9E1F2"/>
      </bottom>
      <diagonal/>
    </border>
  </borders>
  <cellStyleXfs count="2">
    <xf numFmtId="0" fontId="0" fillId="0" borderId="0"/>
    <xf numFmtId="0" fontId="6" fillId="0" borderId="0"/>
  </cellStyleXfs>
  <cellXfs count="86">
    <xf numFmtId="0" fontId="0" fillId="0" borderId="0" xfId="0"/>
    <xf numFmtId="2" fontId="0" fillId="0" borderId="0" xfId="0" applyNumberFormat="1" applyAlignment="1">
      <alignment horizontal="left"/>
    </xf>
    <xf numFmtId="2" fontId="0" fillId="2" borderId="0" xfId="0" applyNumberFormat="1" applyFill="1" applyAlignment="1">
      <alignment horizontal="left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5" fillId="0" borderId="0" xfId="0" applyFont="1"/>
    <xf numFmtId="0" fontId="0" fillId="0" borderId="0" xfId="0" applyAlignment="1">
      <alignment vertical="top" wrapText="1"/>
    </xf>
    <xf numFmtId="0" fontId="7" fillId="0" borderId="0" xfId="1" applyFont="1"/>
    <xf numFmtId="2" fontId="10" fillId="0" borderId="0" xfId="0" applyNumberFormat="1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1" fontId="10" fillId="0" borderId="0" xfId="0" applyNumberFormat="1" applyFont="1" applyAlignment="1">
      <alignment horizontal="left" vertical="top"/>
    </xf>
    <xf numFmtId="0" fontId="13" fillId="4" borderId="0" xfId="0" applyFont="1" applyFill="1" applyAlignment="1">
      <alignment horizontal="center" vertical="center" wrapText="1"/>
    </xf>
    <xf numFmtId="0" fontId="13" fillId="6" borderId="0" xfId="0" applyFont="1" applyFill="1" applyAlignment="1">
      <alignment horizontal="center" vertical="center"/>
    </xf>
    <xf numFmtId="0" fontId="19" fillId="7" borderId="4" xfId="0" applyFont="1" applyFill="1" applyBorder="1" applyAlignment="1">
      <alignment vertical="top" wrapText="1"/>
    </xf>
    <xf numFmtId="1" fontId="20" fillId="8" borderId="4" xfId="0" applyNumberFormat="1" applyFont="1" applyFill="1" applyBorder="1" applyAlignment="1">
      <alignment vertical="top" wrapText="1"/>
    </xf>
    <xf numFmtId="0" fontId="21" fillId="0" borderId="4" xfId="0" applyFont="1" applyBorder="1" applyAlignment="1">
      <alignment vertical="top" wrapText="1"/>
    </xf>
    <xf numFmtId="0" fontId="20" fillId="8" borderId="4" xfId="0" applyFont="1" applyFill="1" applyBorder="1" applyAlignment="1">
      <alignment vertical="top" wrapText="1"/>
    </xf>
    <xf numFmtId="0" fontId="22" fillId="9" borderId="4" xfId="0" applyFont="1" applyFill="1" applyBorder="1" applyAlignment="1">
      <alignment vertical="top" wrapText="1"/>
    </xf>
    <xf numFmtId="1" fontId="22" fillId="9" borderId="4" xfId="0" applyNumberFormat="1" applyFont="1" applyFill="1" applyBorder="1" applyAlignment="1">
      <alignment vertical="top" wrapText="1"/>
    </xf>
    <xf numFmtId="0" fontId="22" fillId="0" borderId="4" xfId="0" applyFont="1" applyBorder="1" applyAlignment="1">
      <alignment vertical="top" wrapText="1"/>
    </xf>
    <xf numFmtId="0" fontId="14" fillId="7" borderId="3" xfId="0" applyFont="1" applyFill="1" applyBorder="1" applyAlignment="1">
      <alignment vertical="top" wrapText="1"/>
    </xf>
    <xf numFmtId="1" fontId="18" fillId="8" borderId="3" xfId="0" applyNumberFormat="1" applyFont="1" applyFill="1" applyBorder="1" applyAlignment="1">
      <alignment vertical="top" wrapText="1"/>
    </xf>
    <xf numFmtId="0" fontId="16" fillId="0" borderId="3" xfId="0" applyFont="1" applyBorder="1" applyAlignment="1">
      <alignment vertical="top" wrapText="1"/>
    </xf>
    <xf numFmtId="0" fontId="18" fillId="8" borderId="3" xfId="0" applyFont="1" applyFill="1" applyBorder="1" applyAlignment="1">
      <alignment vertical="top" wrapText="1"/>
    </xf>
    <xf numFmtId="0" fontId="15" fillId="9" borderId="3" xfId="0" applyFont="1" applyFill="1" applyBorder="1" applyAlignment="1">
      <alignment vertical="top" wrapText="1"/>
    </xf>
    <xf numFmtId="1" fontId="15" fillId="9" borderId="3" xfId="0" applyNumberFormat="1" applyFont="1" applyFill="1" applyBorder="1" applyAlignment="1">
      <alignment vertical="top" wrapText="1"/>
    </xf>
    <xf numFmtId="0" fontId="15" fillId="0" borderId="3" xfId="0" applyFont="1" applyBorder="1" applyAlignment="1">
      <alignment vertical="top" wrapText="1"/>
    </xf>
    <xf numFmtId="0" fontId="19" fillId="9" borderId="4" xfId="0" applyFont="1" applyFill="1" applyBorder="1" applyAlignment="1">
      <alignment vertical="top" wrapText="1"/>
    </xf>
    <xf numFmtId="0" fontId="14" fillId="9" borderId="3" xfId="0" applyFont="1" applyFill="1" applyBorder="1" applyAlignment="1">
      <alignment vertical="top" wrapText="1"/>
    </xf>
    <xf numFmtId="0" fontId="19" fillId="8" borderId="4" xfId="0" applyFont="1" applyFill="1" applyBorder="1" applyAlignment="1">
      <alignment vertical="top" wrapText="1"/>
    </xf>
    <xf numFmtId="0" fontId="14" fillId="8" borderId="3" xfId="0" applyFont="1" applyFill="1" applyBorder="1" applyAlignment="1">
      <alignment vertical="top" wrapText="1"/>
    </xf>
    <xf numFmtId="0" fontId="19" fillId="10" borderId="4" xfId="0" applyFont="1" applyFill="1" applyBorder="1" applyAlignment="1">
      <alignment vertical="top" wrapText="1"/>
    </xf>
    <xf numFmtId="0" fontId="14" fillId="10" borderId="3" xfId="0" applyFont="1" applyFill="1" applyBorder="1" applyAlignment="1">
      <alignment vertical="top" wrapText="1"/>
    </xf>
    <xf numFmtId="0" fontId="15" fillId="9" borderId="3" xfId="0" applyFont="1" applyFill="1" applyBorder="1" applyAlignment="1">
      <alignment horizontal="center" vertical="center" wrapText="1"/>
    </xf>
    <xf numFmtId="1" fontId="14" fillId="0" borderId="3" xfId="0" applyNumberFormat="1" applyFont="1" applyBorder="1" applyAlignment="1">
      <alignment vertical="top" wrapText="1"/>
    </xf>
    <xf numFmtId="1" fontId="15" fillId="0" borderId="3" xfId="0" applyNumberFormat="1" applyFont="1" applyBorder="1" applyAlignment="1">
      <alignment vertical="top" wrapText="1"/>
    </xf>
    <xf numFmtId="0" fontId="14" fillId="0" borderId="3" xfId="0" applyFont="1" applyBorder="1" applyAlignment="1">
      <alignment vertical="top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vertical="top" wrapText="1"/>
    </xf>
    <xf numFmtId="1" fontId="8" fillId="8" borderId="3" xfId="0" applyNumberFormat="1" applyFont="1" applyFill="1" applyBorder="1" applyAlignment="1">
      <alignment vertical="top" wrapText="1"/>
    </xf>
    <xf numFmtId="0" fontId="8" fillId="8" borderId="3" xfId="0" applyFont="1" applyFill="1" applyBorder="1" applyAlignment="1">
      <alignment vertical="top" wrapText="1"/>
    </xf>
    <xf numFmtId="0" fontId="7" fillId="0" borderId="3" xfId="1" applyFont="1" applyBorder="1"/>
    <xf numFmtId="0" fontId="5" fillId="7" borderId="2" xfId="0" applyFont="1" applyFill="1" applyBorder="1" applyAlignment="1">
      <alignment horizontal="left" vertical="top"/>
    </xf>
    <xf numFmtId="1" fontId="10" fillId="7" borderId="2" xfId="0" applyNumberFormat="1" applyFont="1" applyFill="1" applyBorder="1" applyAlignment="1">
      <alignment horizontal="left" vertical="top"/>
    </xf>
    <xf numFmtId="0" fontId="5" fillId="7" borderId="2" xfId="0" applyFont="1" applyFill="1" applyBorder="1" applyAlignment="1">
      <alignment horizontal="left" vertical="top" wrapText="1"/>
    </xf>
    <xf numFmtId="0" fontId="10" fillId="7" borderId="2" xfId="0" applyFont="1" applyFill="1" applyBorder="1" applyAlignment="1">
      <alignment horizontal="left" vertical="top" wrapText="1"/>
    </xf>
    <xf numFmtId="1" fontId="8" fillId="8" borderId="0" xfId="0" applyNumberFormat="1" applyFont="1" applyFill="1" applyAlignment="1">
      <alignment horizontal="left" vertical="top"/>
    </xf>
    <xf numFmtId="2" fontId="7" fillId="7" borderId="2" xfId="0" applyNumberFormat="1" applyFont="1" applyFill="1" applyBorder="1" applyAlignment="1">
      <alignment horizontal="left" vertical="top"/>
    </xf>
    <xf numFmtId="2" fontId="7" fillId="0" borderId="0" xfId="0" applyNumberFormat="1" applyFont="1" applyAlignment="1">
      <alignment horizontal="left" vertical="top"/>
    </xf>
    <xf numFmtId="2" fontId="8" fillId="8" borderId="0" xfId="0" applyNumberFormat="1" applyFont="1" applyFill="1" applyAlignment="1">
      <alignment horizontal="left" vertical="top"/>
    </xf>
    <xf numFmtId="1" fontId="7" fillId="7" borderId="2" xfId="0" applyNumberFormat="1" applyFont="1" applyFill="1" applyBorder="1" applyAlignment="1">
      <alignment horizontal="left" vertical="top"/>
    </xf>
    <xf numFmtId="1" fontId="7" fillId="0" borderId="0" xfId="0" applyNumberFormat="1" applyFont="1" applyAlignment="1">
      <alignment horizontal="left" vertical="top"/>
    </xf>
    <xf numFmtId="1" fontId="5" fillId="7" borderId="2" xfId="0" applyNumberFormat="1" applyFont="1" applyFill="1" applyBorder="1" applyAlignment="1">
      <alignment horizontal="left" vertical="top"/>
    </xf>
    <xf numFmtId="0" fontId="5" fillId="7" borderId="3" xfId="0" applyFont="1" applyFill="1" applyBorder="1" applyAlignment="1">
      <alignment vertical="top" wrapText="1"/>
    </xf>
    <xf numFmtId="0" fontId="5" fillId="7" borderId="3" xfId="1" applyFont="1" applyFill="1" applyBorder="1"/>
    <xf numFmtId="0" fontId="0" fillId="10" borderId="3" xfId="0" applyFill="1" applyBorder="1" applyAlignment="1">
      <alignment vertical="top" wrapText="1"/>
    </xf>
    <xf numFmtId="1" fontId="5" fillId="7" borderId="3" xfId="0" applyNumberFormat="1" applyFont="1" applyFill="1" applyBorder="1" applyAlignment="1">
      <alignment vertical="top" wrapText="1"/>
    </xf>
    <xf numFmtId="1" fontId="0" fillId="0" borderId="3" xfId="0" applyNumberFormat="1" applyBorder="1" applyAlignment="1">
      <alignment vertical="top" wrapText="1"/>
    </xf>
    <xf numFmtId="0" fontId="11" fillId="5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top" wrapText="1"/>
    </xf>
    <xf numFmtId="1" fontId="0" fillId="10" borderId="3" xfId="0" applyNumberFormat="1" applyFill="1" applyBorder="1" applyAlignment="1">
      <alignment vertical="top" wrapText="1"/>
    </xf>
    <xf numFmtId="0" fontId="0" fillId="0" borderId="3" xfId="0" applyBorder="1"/>
    <xf numFmtId="0" fontId="4" fillId="4" borderId="3" xfId="0" applyFont="1" applyFill="1" applyBorder="1" applyAlignment="1">
      <alignment horizontal="left" vertical="center" wrapText="1"/>
    </xf>
    <xf numFmtId="0" fontId="11" fillId="0" borderId="3" xfId="0" applyFont="1" applyBorder="1" applyAlignment="1">
      <alignment vertical="top" wrapText="1"/>
    </xf>
    <xf numFmtId="2" fontId="1" fillId="4" borderId="0" xfId="0" applyNumberFormat="1" applyFont="1" applyFill="1" applyAlignment="1">
      <alignment horizontal="left"/>
    </xf>
    <xf numFmtId="1" fontId="0" fillId="11" borderId="0" xfId="0" applyNumberFormat="1" applyFill="1" applyAlignment="1">
      <alignment horizontal="left" vertical="top"/>
    </xf>
    <xf numFmtId="1" fontId="0" fillId="11" borderId="0" xfId="0" applyNumberFormat="1" applyFill="1" applyAlignment="1">
      <alignment horizontal="left"/>
    </xf>
    <xf numFmtId="1" fontId="0" fillId="0" borderId="0" xfId="0" applyNumberFormat="1"/>
    <xf numFmtId="0" fontId="0" fillId="0" borderId="0" xfId="0" applyAlignment="1">
      <alignment vertical="top" wrapText="1"/>
    </xf>
    <xf numFmtId="0" fontId="2" fillId="4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/>
    </xf>
    <xf numFmtId="0" fontId="2" fillId="4" borderId="0" xfId="0" applyFont="1" applyFill="1" applyAlignment="1">
      <alignment vertical="center" wrapText="1"/>
    </xf>
    <xf numFmtId="0" fontId="17" fillId="4" borderId="0" xfId="0" applyFont="1" applyFill="1" applyAlignment="1">
      <alignment vertical="center"/>
    </xf>
    <xf numFmtId="0" fontId="11" fillId="5" borderId="0" xfId="0" applyFont="1" applyFill="1" applyAlignment="1">
      <alignment vertical="center" wrapText="1"/>
    </xf>
    <xf numFmtId="0" fontId="12" fillId="0" borderId="0" xfId="0" applyFont="1" applyAlignment="1">
      <alignment vertical="top" wrapText="1"/>
    </xf>
    <xf numFmtId="0" fontId="17" fillId="4" borderId="0" xfId="0" applyFont="1" applyFill="1" applyAlignment="1">
      <alignment horizontal="left" vertical="center"/>
    </xf>
    <xf numFmtId="0" fontId="5" fillId="10" borderId="3" xfId="0" applyFont="1" applyFill="1" applyBorder="1" applyAlignment="1">
      <alignment vertical="center"/>
    </xf>
    <xf numFmtId="0" fontId="0" fillId="0" borderId="0" xfId="0" applyAlignment="1"/>
    <xf numFmtId="0" fontId="4" fillId="3" borderId="0" xfId="0" applyFont="1" applyFill="1" applyAlignment="1"/>
    <xf numFmtId="0" fontId="5" fillId="10" borderId="0" xfId="0" applyFont="1" applyFill="1" applyAlignment="1"/>
    <xf numFmtId="0" fontId="7" fillId="0" borderId="0" xfId="1" applyFont="1" applyAlignment="1"/>
    <xf numFmtId="0" fontId="5" fillId="10" borderId="3" xfId="0" applyFont="1" applyFill="1" applyBorder="1" applyAlignment="1"/>
    <xf numFmtId="0" fontId="0" fillId="0" borderId="3" xfId="0" applyBorder="1" applyAlignment="1"/>
  </cellXfs>
  <cellStyles count="2">
    <cellStyle name="Hyperlink" xfId="1" xr:uid="{00000000-0005-0000-0000-000001000000}"/>
    <cellStyle name="Normal" xfId="0" builtinId="0"/>
  </cellStyles>
  <dxfs count="20">
    <dxf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ont>
        <b/>
        <color rgb="FF9C0006"/>
      </font>
      <fill>
        <patternFill>
          <bgColor rgb="FFF4CCCC"/>
        </patternFill>
      </fill>
    </dxf>
    <dxf>
      <font>
        <b/>
        <color rgb="FF9C6500"/>
      </font>
      <fill>
        <patternFill>
          <bgColor rgb="FFFFF2CC"/>
        </patternFill>
      </fill>
    </dxf>
    <dxf>
      <font>
        <b/>
        <color rgb="FF006100"/>
      </font>
      <fill>
        <patternFill>
          <bgColor rgb="FFE2F0D9"/>
        </patternFill>
      </fill>
    </dxf>
    <dxf>
      <fill>
        <patternFill>
          <bgColor rgb="FFF4CCCC"/>
        </patternFill>
      </fill>
    </dxf>
    <dxf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4CCCC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showGridLines="0" workbookViewId="0"/>
  </sheetViews>
  <sheetFormatPr defaultRowHeight="15"/>
  <cols>
    <col min="1" max="1" width="24" customWidth="1"/>
    <col min="2" max="2" width="28" customWidth="1"/>
    <col min="3" max="3" width="31" customWidth="1"/>
    <col min="4" max="4" width="24" customWidth="1"/>
    <col min="5" max="5" width="50" customWidth="1"/>
    <col min="6" max="6" width="54" customWidth="1"/>
  </cols>
  <sheetData>
    <row r="1" spans="1:6" ht="26.1" customHeight="1">
      <c r="A1" s="71" t="s">
        <v>0</v>
      </c>
      <c r="B1" s="80"/>
      <c r="C1" s="80"/>
      <c r="D1" s="80"/>
      <c r="E1" s="80"/>
      <c r="F1" s="80"/>
    </row>
    <row r="2" spans="1:6" ht="32.1" customHeight="1">
      <c r="A2" s="73" t="s">
        <v>1</v>
      </c>
      <c r="B2" s="80"/>
      <c r="C2" s="80"/>
      <c r="D2" s="80"/>
      <c r="E2" s="80"/>
      <c r="F2" s="80"/>
    </row>
    <row r="4" spans="1:6">
      <c r="A4" s="81" t="s">
        <v>2</v>
      </c>
      <c r="B4" s="80"/>
      <c r="C4" s="80"/>
      <c r="D4" s="80"/>
      <c r="E4" s="80"/>
      <c r="F4" s="80"/>
    </row>
    <row r="5" spans="1:6">
      <c r="A5" s="5" t="s">
        <v>3</v>
      </c>
      <c r="B5" s="70" t="s">
        <v>4</v>
      </c>
      <c r="C5" s="80"/>
      <c r="D5" s="80"/>
      <c r="E5" s="80"/>
      <c r="F5" s="80"/>
    </row>
    <row r="6" spans="1:6">
      <c r="A6" s="5" t="s">
        <v>5</v>
      </c>
      <c r="B6" s="70" t="s">
        <v>6</v>
      </c>
      <c r="C6" s="80"/>
      <c r="D6" s="80"/>
      <c r="E6" s="80"/>
      <c r="F6" s="80"/>
    </row>
    <row r="7" spans="1:6">
      <c r="A7" s="5" t="s">
        <v>7</v>
      </c>
      <c r="B7" s="70" t="s">
        <v>8</v>
      </c>
      <c r="C7" s="80"/>
      <c r="D7" s="80"/>
      <c r="E7" s="80"/>
      <c r="F7" s="80"/>
    </row>
    <row r="8" spans="1:6">
      <c r="A8" s="5" t="s">
        <v>9</v>
      </c>
      <c r="B8" s="70" t="s">
        <v>10</v>
      </c>
      <c r="C8" s="80"/>
      <c r="D8" s="80"/>
      <c r="E8" s="80"/>
      <c r="F8" s="80"/>
    </row>
    <row r="9" spans="1:6">
      <c r="A9" s="5" t="s">
        <v>11</v>
      </c>
      <c r="B9" s="70" t="s">
        <v>12</v>
      </c>
      <c r="C9" s="80"/>
      <c r="D9" s="80"/>
      <c r="E9" s="80"/>
      <c r="F9" s="80"/>
    </row>
    <row r="11" spans="1:6" ht="24" customHeight="1">
      <c r="A11" s="39" t="s">
        <v>13</v>
      </c>
      <c r="B11" s="39" t="s">
        <v>14</v>
      </c>
      <c r="C11" s="39" t="s">
        <v>15</v>
      </c>
      <c r="D11" s="39" t="s">
        <v>16</v>
      </c>
      <c r="E11" s="39" t="s">
        <v>17</v>
      </c>
      <c r="F11" s="39" t="s">
        <v>18</v>
      </c>
    </row>
    <row r="12" spans="1:6">
      <c r="A12" s="6" t="s">
        <v>19</v>
      </c>
      <c r="B12" s="6" t="s">
        <v>20</v>
      </c>
      <c r="C12" s="6" t="s">
        <v>21</v>
      </c>
      <c r="D12" s="6" t="s">
        <v>22</v>
      </c>
      <c r="E12" s="6" t="s">
        <v>23</v>
      </c>
      <c r="F12" s="7" t="s">
        <v>24</v>
      </c>
    </row>
    <row r="13" spans="1:6">
      <c r="A13" s="6" t="s">
        <v>25</v>
      </c>
      <c r="B13" s="6" t="s">
        <v>26</v>
      </c>
      <c r="C13" s="6" t="s">
        <v>27</v>
      </c>
      <c r="D13" s="6" t="s">
        <v>28</v>
      </c>
      <c r="E13" s="6" t="s">
        <v>29</v>
      </c>
      <c r="F13" s="6" t="s">
        <v>24</v>
      </c>
    </row>
    <row r="14" spans="1:6">
      <c r="A14" s="6" t="s">
        <v>30</v>
      </c>
      <c r="B14" s="6" t="s">
        <v>31</v>
      </c>
      <c r="C14" s="6" t="s">
        <v>32</v>
      </c>
      <c r="D14" s="6" t="s">
        <v>33</v>
      </c>
      <c r="E14" s="6" t="s">
        <v>34</v>
      </c>
      <c r="F14" s="7" t="s">
        <v>35</v>
      </c>
    </row>
    <row r="15" spans="1:6">
      <c r="A15" s="6" t="s">
        <v>36</v>
      </c>
      <c r="B15" s="6" t="s">
        <v>37</v>
      </c>
      <c r="C15" s="6" t="s">
        <v>38</v>
      </c>
      <c r="D15" s="6" t="s">
        <v>33</v>
      </c>
      <c r="E15" s="6" t="s">
        <v>39</v>
      </c>
      <c r="F15" s="7" t="s">
        <v>40</v>
      </c>
    </row>
    <row r="16" spans="1:6">
      <c r="A16" s="6" t="s">
        <v>41</v>
      </c>
      <c r="B16" s="6" t="s">
        <v>42</v>
      </c>
      <c r="C16" s="6" t="s">
        <v>43</v>
      </c>
      <c r="D16" s="6" t="s">
        <v>44</v>
      </c>
      <c r="E16" s="6" t="s">
        <v>45</v>
      </c>
      <c r="F16" s="7" t="s">
        <v>46</v>
      </c>
    </row>
    <row r="17" spans="1:6">
      <c r="A17" s="6" t="s">
        <v>47</v>
      </c>
      <c r="B17" s="6" t="s">
        <v>48</v>
      </c>
      <c r="C17" s="6" t="s">
        <v>49</v>
      </c>
      <c r="D17" s="6" t="s">
        <v>50</v>
      </c>
      <c r="E17" s="6" t="s">
        <v>51</v>
      </c>
      <c r="F17" s="6" t="s">
        <v>52</v>
      </c>
    </row>
    <row r="19" spans="1:6">
      <c r="A19" s="81" t="s">
        <v>53</v>
      </c>
      <c r="B19" s="80"/>
      <c r="C19" s="80"/>
      <c r="D19" s="80"/>
      <c r="E19" s="80"/>
      <c r="F19" s="80"/>
    </row>
    <row r="20" spans="1:6">
      <c r="A20" s="70" t="s">
        <v>54</v>
      </c>
      <c r="B20" s="80"/>
      <c r="C20" s="80"/>
      <c r="D20" s="80"/>
      <c r="E20" s="80"/>
      <c r="F20" s="80"/>
    </row>
    <row r="21" spans="1:6">
      <c r="A21" s="70" t="s">
        <v>55</v>
      </c>
      <c r="B21" s="80"/>
      <c r="C21" s="80"/>
      <c r="D21" s="80"/>
      <c r="E21" s="80"/>
      <c r="F21" s="80"/>
    </row>
    <row r="22" spans="1:6">
      <c r="A22" s="70" t="s">
        <v>56</v>
      </c>
      <c r="B22" s="80"/>
      <c r="C22" s="80"/>
      <c r="D22" s="80"/>
      <c r="E22" s="80"/>
      <c r="F22" s="80"/>
    </row>
    <row r="23" spans="1:6">
      <c r="A23" s="70" t="s">
        <v>57</v>
      </c>
      <c r="B23" s="80"/>
      <c r="C23" s="80"/>
      <c r="D23" s="80"/>
      <c r="E23" s="80"/>
      <c r="F23" s="80"/>
    </row>
    <row r="24" spans="1:6">
      <c r="A24" s="70" t="s">
        <v>58</v>
      </c>
      <c r="B24" s="80"/>
      <c r="C24" s="80"/>
      <c r="D24" s="80"/>
      <c r="E24" s="80"/>
      <c r="F24" s="80"/>
    </row>
    <row r="25" spans="1:6">
      <c r="A25" s="70" t="s">
        <v>59</v>
      </c>
      <c r="B25" s="80"/>
      <c r="C25" s="80"/>
      <c r="D25" s="80"/>
      <c r="E25" s="80"/>
      <c r="F25" s="80"/>
    </row>
    <row r="26" spans="1:6" ht="32.1" customHeight="1">
      <c r="A26" s="70" t="s">
        <v>60</v>
      </c>
      <c r="B26" s="80"/>
      <c r="C26" s="80"/>
      <c r="D26" s="80"/>
      <c r="E26" s="80"/>
      <c r="F26" s="80"/>
    </row>
    <row r="27" spans="1:6">
      <c r="A27" s="82" t="s">
        <v>61</v>
      </c>
      <c r="B27" s="80"/>
      <c r="C27" s="80"/>
      <c r="D27" s="80"/>
      <c r="E27" s="80"/>
      <c r="F27" s="80"/>
    </row>
    <row r="28" spans="1:6">
      <c r="A28" s="72" t="s">
        <v>62</v>
      </c>
      <c r="B28" s="80"/>
      <c r="C28" s="80"/>
      <c r="D28" s="80"/>
      <c r="E28" s="80"/>
      <c r="F28" s="80"/>
    </row>
    <row r="29" spans="1:6">
      <c r="A29" t="s">
        <v>63</v>
      </c>
      <c r="B29" s="83" t="s">
        <v>64</v>
      </c>
      <c r="C29" s="80"/>
      <c r="D29" s="80"/>
      <c r="E29" s="80"/>
      <c r="F29" s="80"/>
    </row>
    <row r="30" spans="1:6">
      <c r="A30" t="s">
        <v>65</v>
      </c>
      <c r="B30" s="83" t="s">
        <v>66</v>
      </c>
      <c r="C30" s="80"/>
      <c r="D30" s="80"/>
      <c r="E30" s="80"/>
      <c r="F30" s="80"/>
    </row>
  </sheetData>
  <mergeCells count="20">
    <mergeCell ref="A2:F2"/>
    <mergeCell ref="A23:F23"/>
    <mergeCell ref="A22:F22"/>
    <mergeCell ref="A4:F4"/>
    <mergeCell ref="B8:F8"/>
    <mergeCell ref="A20:F20"/>
    <mergeCell ref="B30:F30"/>
    <mergeCell ref="B6:F6"/>
    <mergeCell ref="A1:F1"/>
    <mergeCell ref="B5:F5"/>
    <mergeCell ref="A25:F25"/>
    <mergeCell ref="B29:F29"/>
    <mergeCell ref="A28:F28"/>
    <mergeCell ref="A19:F19"/>
    <mergeCell ref="B9:F9"/>
    <mergeCell ref="A24:F24"/>
    <mergeCell ref="B7:F7"/>
    <mergeCell ref="A27:F27"/>
    <mergeCell ref="A26:F26"/>
    <mergeCell ref="A21:F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"/>
  <sheetViews>
    <sheetView showGridLines="0" workbookViewId="0"/>
  </sheetViews>
  <sheetFormatPr defaultRowHeight="15"/>
  <cols>
    <col min="1" max="1" width="15" customWidth="1"/>
    <col min="2" max="2" width="28" customWidth="1"/>
    <col min="3" max="3" width="13" customWidth="1"/>
    <col min="4" max="5" width="16" customWidth="1"/>
    <col min="6" max="6" width="22" customWidth="1"/>
    <col min="7" max="7" width="23" customWidth="1"/>
    <col min="8" max="8" width="28" customWidth="1"/>
    <col min="9" max="9" width="18" customWidth="1"/>
    <col min="10" max="10" width="25" customWidth="1"/>
    <col min="11" max="11" width="58" customWidth="1"/>
    <col min="12" max="13" width="48" customWidth="1"/>
  </cols>
  <sheetData>
    <row r="1" spans="1:13" ht="26.1" customHeight="1">
      <c r="A1" s="71" t="s">
        <v>67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2" spans="1:13" ht="32.1" customHeight="1">
      <c r="A2" s="73" t="s">
        <v>68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</row>
    <row r="4" spans="1:13" ht="24" customHeight="1">
      <c r="A4" s="39" t="s">
        <v>69</v>
      </c>
      <c r="B4" s="39" t="s">
        <v>70</v>
      </c>
      <c r="C4" s="39" t="s">
        <v>71</v>
      </c>
      <c r="D4" s="39" t="s">
        <v>72</v>
      </c>
      <c r="E4" s="39" t="s">
        <v>73</v>
      </c>
      <c r="F4" s="39" t="s">
        <v>74</v>
      </c>
      <c r="G4" s="39" t="s">
        <v>75</v>
      </c>
      <c r="H4" s="39" t="s">
        <v>76</v>
      </c>
      <c r="I4" s="39" t="s">
        <v>77</v>
      </c>
      <c r="J4" s="39" t="s">
        <v>78</v>
      </c>
      <c r="K4" s="39" t="s">
        <v>79</v>
      </c>
      <c r="L4" s="39" t="s">
        <v>80</v>
      </c>
      <c r="M4" s="39" t="s">
        <v>81</v>
      </c>
    </row>
    <row r="5" spans="1:13" ht="57.95" customHeight="1">
      <c r="A5" s="40" t="s">
        <v>82</v>
      </c>
      <c r="B5" s="40" t="s">
        <v>83</v>
      </c>
      <c r="C5" s="40" t="s">
        <v>84</v>
      </c>
      <c r="D5" s="41"/>
      <c r="E5" s="41"/>
      <c r="F5" s="41"/>
      <c r="G5" s="41">
        <v>3</v>
      </c>
      <c r="H5" s="41">
        <v>0</v>
      </c>
      <c r="I5" s="42" t="s">
        <v>85</v>
      </c>
      <c r="J5" s="42" t="s">
        <v>85</v>
      </c>
      <c r="K5" s="40" t="s">
        <v>86</v>
      </c>
      <c r="L5" s="43" t="s">
        <v>24</v>
      </c>
      <c r="M5" s="40" t="s">
        <v>87</v>
      </c>
    </row>
    <row r="6" spans="1:13" ht="57.95" hidden="1" customHeight="1">
      <c r="A6" s="40"/>
      <c r="B6" s="40"/>
      <c r="C6" s="40"/>
      <c r="D6" s="42"/>
      <c r="E6" s="42"/>
      <c r="F6" s="42"/>
      <c r="G6" s="42"/>
      <c r="H6" s="42"/>
      <c r="I6" s="42"/>
      <c r="J6" s="42"/>
      <c r="K6" s="40"/>
      <c r="L6" s="43"/>
      <c r="M6" s="43"/>
    </row>
    <row r="7" spans="1:13" ht="57.95" customHeight="1">
      <c r="A7" s="40" t="s">
        <v>30</v>
      </c>
      <c r="B7" s="40" t="s">
        <v>31</v>
      </c>
      <c r="C7" s="40" t="s">
        <v>88</v>
      </c>
      <c r="D7" s="41">
        <v>600</v>
      </c>
      <c r="E7" s="41">
        <v>900</v>
      </c>
      <c r="F7" s="41">
        <v>900</v>
      </c>
      <c r="G7" s="41">
        <v>5</v>
      </c>
      <c r="H7" s="41">
        <v>10</v>
      </c>
      <c r="I7" s="42" t="s">
        <v>85</v>
      </c>
      <c r="J7" s="42" t="s">
        <v>89</v>
      </c>
      <c r="K7" s="40" t="s">
        <v>90</v>
      </c>
      <c r="L7" s="43" t="s">
        <v>35</v>
      </c>
      <c r="M7" s="40" t="s">
        <v>87</v>
      </c>
    </row>
    <row r="8" spans="1:13" ht="57.95" customHeight="1">
      <c r="A8" s="40" t="s">
        <v>36</v>
      </c>
      <c r="B8" s="40" t="s">
        <v>91</v>
      </c>
      <c r="C8" s="40" t="s">
        <v>88</v>
      </c>
      <c r="D8" s="41">
        <v>1300</v>
      </c>
      <c r="E8" s="41">
        <v>900</v>
      </c>
      <c r="F8" s="41">
        <v>900</v>
      </c>
      <c r="G8" s="41">
        <v>5</v>
      </c>
      <c r="H8" s="41">
        <v>10</v>
      </c>
      <c r="I8" s="42" t="s">
        <v>85</v>
      </c>
      <c r="J8" s="42" t="s">
        <v>89</v>
      </c>
      <c r="K8" s="40" t="s">
        <v>92</v>
      </c>
      <c r="L8" s="43" t="s">
        <v>40</v>
      </c>
      <c r="M8" s="40" t="s">
        <v>87</v>
      </c>
    </row>
    <row r="9" spans="1:13" ht="57.95" customHeight="1">
      <c r="A9" s="40" t="s">
        <v>41</v>
      </c>
      <c r="B9" s="40" t="s">
        <v>93</v>
      </c>
      <c r="C9" s="40" t="s">
        <v>94</v>
      </c>
      <c r="D9" s="41">
        <v>1600</v>
      </c>
      <c r="E9" s="41"/>
      <c r="F9" s="41">
        <v>1000</v>
      </c>
      <c r="G9" s="41">
        <v>100</v>
      </c>
      <c r="H9" s="41">
        <v>10</v>
      </c>
      <c r="I9" s="42" t="s">
        <v>89</v>
      </c>
      <c r="J9" s="42" t="s">
        <v>89</v>
      </c>
      <c r="K9" s="40" t="s">
        <v>95</v>
      </c>
      <c r="L9" s="43" t="s">
        <v>46</v>
      </c>
      <c r="M9" s="40" t="s">
        <v>87</v>
      </c>
    </row>
    <row r="10" spans="1:13" ht="57.95" customHeight="1">
      <c r="A10" s="40" t="s">
        <v>47</v>
      </c>
      <c r="B10" s="40" t="s">
        <v>96</v>
      </c>
      <c r="C10" s="40" t="s">
        <v>97</v>
      </c>
      <c r="D10" s="41"/>
      <c r="E10" s="41"/>
      <c r="F10" s="41"/>
      <c r="G10" s="41">
        <v>1</v>
      </c>
      <c r="H10" s="41">
        <v>0</v>
      </c>
      <c r="I10" s="42" t="s">
        <v>85</v>
      </c>
      <c r="J10" s="42" t="s">
        <v>98</v>
      </c>
      <c r="K10" s="40" t="s">
        <v>99</v>
      </c>
      <c r="L10" s="40" t="s">
        <v>87</v>
      </c>
      <c r="M10" s="40" t="s">
        <v>87</v>
      </c>
    </row>
  </sheetData>
  <mergeCells count="2">
    <mergeCell ref="A2:M2"/>
    <mergeCell ref="A1:M1"/>
  </mergeCells>
  <dataValidations count="2">
    <dataValidation type="whole" operator="greaterThan" allowBlank="1" showInputMessage="1" showErrorMessage="1" errorTitle="Whole millimetres required" error="Enter a positive whole-millimetre value." promptTitle="Whole millimetres" prompt="Enter a positive size in whole millimetres." sqref="D5:H5 D7:H7 D8:H8 D9:H10" xr:uid="{00000000-0002-0000-0100-000000000000}">
      <formula1>0</formula1>
    </dataValidation>
    <dataValidation type="list" allowBlank="1" sqref="I5:J5 I7:J10" xr:uid="{00000000-0002-0000-0100-000001000000}">
      <formula1>"Yes,No,N/A"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W2169"/>
  <sheetViews>
    <sheetView showGridLines="0" tabSelected="1" topLeftCell="A1078" workbookViewId="0">
      <selection activeCell="A1092" sqref="A1092"/>
    </sheetView>
  </sheetViews>
  <sheetFormatPr defaultRowHeight="15"/>
  <cols>
    <col min="1" max="1" width="18" customWidth="1"/>
    <col min="2" max="3" width="14" customWidth="1"/>
    <col min="4" max="4" width="16" customWidth="1"/>
    <col min="5" max="6" width="31" customWidth="1"/>
    <col min="7" max="7" width="36" customWidth="1"/>
    <col min="8" max="8" width="28" customWidth="1"/>
    <col min="9" max="9" width="62" customWidth="1"/>
    <col min="10" max="11" width="14" hidden="1" customWidth="1"/>
    <col min="12" max="12" width="16" hidden="1" customWidth="1"/>
    <col min="13" max="14" width="18" hidden="1" customWidth="1"/>
    <col min="15" max="15" width="10" style="9" hidden="1" customWidth="1"/>
  </cols>
  <sheetData>
    <row r="1" spans="1:23" ht="24" customHeight="1">
      <c r="A1" s="39" t="s">
        <v>100</v>
      </c>
      <c r="B1" s="39" t="s">
        <v>101</v>
      </c>
      <c r="C1" s="39" t="s">
        <v>102</v>
      </c>
      <c r="D1" s="39" t="s">
        <v>69</v>
      </c>
      <c r="E1" s="39" t="s">
        <v>103</v>
      </c>
      <c r="F1" s="39" t="s">
        <v>104</v>
      </c>
      <c r="G1" s="39" t="s">
        <v>105</v>
      </c>
      <c r="H1" s="39" t="s">
        <v>106</v>
      </c>
      <c r="I1" s="39" t="s">
        <v>107</v>
      </c>
      <c r="J1" s="39" t="s">
        <v>108</v>
      </c>
      <c r="K1" s="39" t="s">
        <v>109</v>
      </c>
      <c r="L1" s="39" t="s">
        <v>110</v>
      </c>
      <c r="M1" s="39" t="s">
        <v>111</v>
      </c>
      <c r="N1" s="39" t="s">
        <v>112</v>
      </c>
      <c r="O1" s="39" t="s">
        <v>113</v>
      </c>
      <c r="P1" t="s">
        <v>114</v>
      </c>
      <c r="Q1" t="s">
        <v>114</v>
      </c>
      <c r="R1" t="s">
        <v>115</v>
      </c>
      <c r="S1" t="s">
        <v>116</v>
      </c>
      <c r="T1" t="s">
        <v>117</v>
      </c>
      <c r="U1" t="s">
        <v>118</v>
      </c>
      <c r="V1" t="s">
        <v>119</v>
      </c>
      <c r="W1" t="s">
        <v>119</v>
      </c>
    </row>
    <row r="2" spans="1:23" ht="21" customHeight="1">
      <c r="A2" s="44" t="s">
        <v>120</v>
      </c>
      <c r="B2" s="45">
        <f>IF(LEFT(H2,5)="VALID",M2,"")</f>
        <v>841</v>
      </c>
      <c r="C2" s="45">
        <f>IF(LEFT(H2,5)="VALID",N2,"")</f>
        <v>1189</v>
      </c>
      <c r="D2" s="46" t="s">
        <v>82</v>
      </c>
      <c r="E2" s="46" t="s">
        <v>121</v>
      </c>
      <c r="F2" s="46" t="s">
        <v>122</v>
      </c>
      <c r="G2" s="46" t="s">
        <v>123</v>
      </c>
      <c r="H2" s="47" t="str">
        <f>"VALID - BASE"</f>
        <v>VALID - BASE</v>
      </c>
      <c r="I2" s="46" t="s">
        <v>124</v>
      </c>
      <c r="J2" s="12">
        <f>'05-ISO Reference'!$B$5</f>
        <v>841</v>
      </c>
      <c r="K2" s="12">
        <f>'05-ISO Reference'!$C$5</f>
        <v>1189</v>
      </c>
      <c r="L2" s="12">
        <f>'01-Process Controls'!$G$5</f>
        <v>3</v>
      </c>
      <c r="M2" s="12">
        <f>ROUNDDOWN(J2,0)</f>
        <v>841</v>
      </c>
      <c r="N2" s="12">
        <f>ROUNDDOWN(K2,0)</f>
        <v>1189</v>
      </c>
      <c r="O2" s="9">
        <v>0</v>
      </c>
      <c r="Q2" s="69"/>
    </row>
    <row r="3" spans="1:23" ht="21" customHeight="1">
      <c r="A3" s="9" t="s">
        <v>125</v>
      </c>
      <c r="B3" s="12">
        <f>IF(LEFT(H3,5)="VALID",M3,"")</f>
        <v>420</v>
      </c>
      <c r="C3" s="12">
        <f>IF(LEFT(H3,5)="VALID",N3,"")</f>
        <v>1189</v>
      </c>
      <c r="D3" s="10" t="s">
        <v>82</v>
      </c>
      <c r="E3" s="10" t="s">
        <v>121</v>
      </c>
      <c r="F3" s="10" t="s">
        <v>126</v>
      </c>
      <c r="G3" s="10" t="s">
        <v>127</v>
      </c>
      <c r="H3" s="11" t="str">
        <f>IF(OR(M3&lt;=0,N3&lt;=0),"SKIPPED - NONPOSITIVE",IF(OR(M3&lt;L3,N3&lt;L3),"SKIPPED - BELOW MIN",IF(OR(M3&gt;J3,N3&gt;K3),"SKIPPED - EXCEEDS BASE",IF(COUNTIFS($M$2:M2,M3,$N$2:N2,N3)&gt;0,"SKIPPED - DUPLICATE","VALID - GENERATED"))))</f>
        <v>VALID - GENERATED</v>
      </c>
      <c r="I3" s="10" t="s">
        <v>124</v>
      </c>
      <c r="J3" s="12">
        <f>'05-ISO Reference'!$B$5</f>
        <v>841</v>
      </c>
      <c r="K3" s="12">
        <f>'05-ISO Reference'!$C$5</f>
        <v>1189</v>
      </c>
      <c r="L3" s="12">
        <f>'01-Process Controls'!$G$5</f>
        <v>3</v>
      </c>
      <c r="M3" s="12">
        <f>ROUNDDOWN(J3*'04-Variant Rules'!$D$6,0)</f>
        <v>420</v>
      </c>
      <c r="N3" s="12">
        <f>ROUNDDOWN(K3,0)</f>
        <v>1189</v>
      </c>
      <c r="O3" s="9">
        <v>1</v>
      </c>
    </row>
    <row r="4" spans="1:23" ht="21" customHeight="1">
      <c r="A4" s="9" t="s">
        <v>128</v>
      </c>
      <c r="B4" s="12">
        <f>IF(LEFT(H4,5)="VALID",M4,"")</f>
        <v>280</v>
      </c>
      <c r="C4" s="12">
        <f>IF(LEFT(H4,5)="VALID",N4,"")</f>
        <v>1189</v>
      </c>
      <c r="D4" s="10" t="s">
        <v>82</v>
      </c>
      <c r="E4" s="10" t="s">
        <v>121</v>
      </c>
      <c r="F4" s="10" t="s">
        <v>129</v>
      </c>
      <c r="G4" s="10" t="s">
        <v>130</v>
      </c>
      <c r="H4" s="11" t="str">
        <f>IF(OR(M4&lt;=0,N4&lt;=0),"SKIPPED - NONPOSITIVE",IF(OR(M4&lt;L4,N4&lt;L4),"SKIPPED - BELOW MIN",IF(OR(M4&gt;J4,N4&gt;K4),"SKIPPED - EXCEEDS BASE",IF(COUNTIFS($M$2:M3,M4,$N$2:N3,N4)&gt;0,"SKIPPED - DUPLICATE","VALID - GENERATED"))))</f>
        <v>VALID - GENERATED</v>
      </c>
      <c r="I4" s="10" t="s">
        <v>124</v>
      </c>
      <c r="J4" s="12">
        <f>'05-ISO Reference'!$B$5</f>
        <v>841</v>
      </c>
      <c r="K4" s="12">
        <f>'05-ISO Reference'!$C$5</f>
        <v>1189</v>
      </c>
      <c r="L4" s="12">
        <f>'01-Process Controls'!$G$5</f>
        <v>3</v>
      </c>
      <c r="M4" s="12">
        <f>ROUNDDOWN(J4*'04-Variant Rules'!$D$7,0)</f>
        <v>280</v>
      </c>
      <c r="N4" s="12">
        <f>ROUNDDOWN(K4,0)</f>
        <v>1189</v>
      </c>
      <c r="O4" s="9">
        <v>2</v>
      </c>
    </row>
    <row r="5" spans="1:23" ht="21" customHeight="1">
      <c r="A5" s="9" t="s">
        <v>131</v>
      </c>
      <c r="B5" s="12">
        <f>IF(LEFT(H5,5)="VALID",M5,"")</f>
        <v>210</v>
      </c>
      <c r="C5" s="12">
        <f>IF(LEFT(H5,5)="VALID",N5,"")</f>
        <v>1189</v>
      </c>
      <c r="D5" s="10" t="s">
        <v>82</v>
      </c>
      <c r="E5" s="10" t="s">
        <v>121</v>
      </c>
      <c r="F5" s="10" t="s">
        <v>132</v>
      </c>
      <c r="G5" s="10" t="s">
        <v>133</v>
      </c>
      <c r="H5" s="11" t="str">
        <f>IF(OR(M5&lt;=0,N5&lt;=0),"SKIPPED - NONPOSITIVE",IF(OR(M5&lt;L5,N5&lt;L5),"SKIPPED - BELOW MIN",IF(OR(M5&gt;J5,N5&gt;K5),"SKIPPED - EXCEEDS BASE",IF(COUNTIFS($M$2:M4,M5,$N$2:N4,N5)&gt;0,"SKIPPED - DUPLICATE","VALID - GENERATED"))))</f>
        <v>VALID - GENERATED</v>
      </c>
      <c r="I5" s="10" t="s">
        <v>124</v>
      </c>
      <c r="J5" s="12">
        <f>'05-ISO Reference'!$B$5</f>
        <v>841</v>
      </c>
      <c r="K5" s="12">
        <f>'05-ISO Reference'!$C$5</f>
        <v>1189</v>
      </c>
      <c r="L5" s="12">
        <f>'01-Process Controls'!$G$5</f>
        <v>3</v>
      </c>
      <c r="M5" s="12">
        <f>ROUNDDOWN(J5*'04-Variant Rules'!$D$8,0)</f>
        <v>210</v>
      </c>
      <c r="N5" s="12">
        <f>ROUNDDOWN(K5,0)</f>
        <v>1189</v>
      </c>
      <c r="O5" s="9">
        <v>3</v>
      </c>
    </row>
    <row r="6" spans="1:23" ht="21" customHeight="1">
      <c r="A6" s="9" t="s">
        <v>134</v>
      </c>
      <c r="B6" s="12">
        <f>IF(LEFT(H6,5)="VALID",M6,"")</f>
        <v>560</v>
      </c>
      <c r="C6" s="12">
        <f>IF(LEFT(H6,5)="VALID",N6,"")</f>
        <v>1189</v>
      </c>
      <c r="D6" s="10" t="s">
        <v>82</v>
      </c>
      <c r="E6" s="10" t="s">
        <v>121</v>
      </c>
      <c r="F6" s="10" t="s">
        <v>135</v>
      </c>
      <c r="G6" s="10" t="s">
        <v>136</v>
      </c>
      <c r="H6" s="11" t="str">
        <f>IF(OR(M6&lt;=0,N6&lt;=0),"SKIPPED - NONPOSITIVE",IF(OR(M6&lt;L6,N6&lt;L6),"SKIPPED - BELOW MIN",IF(OR(M6&gt;J6,N6&gt;K6),"SKIPPED - EXCEEDS BASE",IF(COUNTIFS($M$2:M5,M6,$N$2:N5,N6)&gt;0,"SKIPPED - DUPLICATE","VALID - GENERATED"))))</f>
        <v>VALID - GENERATED</v>
      </c>
      <c r="I6" s="10" t="s">
        <v>124</v>
      </c>
      <c r="J6" s="12">
        <f>'05-ISO Reference'!$B$5</f>
        <v>841</v>
      </c>
      <c r="K6" s="12">
        <f>'05-ISO Reference'!$C$5</f>
        <v>1189</v>
      </c>
      <c r="L6" s="12">
        <f>'01-Process Controls'!$G$5</f>
        <v>3</v>
      </c>
      <c r="M6" s="12">
        <f>ROUNDDOWN(J6*'04-Variant Rules'!$D$9,0)</f>
        <v>560</v>
      </c>
      <c r="N6" s="12">
        <f>ROUNDDOWN(K6,0)</f>
        <v>1189</v>
      </c>
      <c r="O6" s="9">
        <v>4</v>
      </c>
    </row>
    <row r="7" spans="1:23" ht="21" customHeight="1">
      <c r="A7" s="9" t="s">
        <v>137</v>
      </c>
      <c r="B7" s="12">
        <f>IF(LEFT(H7,5)="VALID",M7,"")</f>
        <v>630</v>
      </c>
      <c r="C7" s="12">
        <f>IF(LEFT(H7,5)="VALID",N7,"")</f>
        <v>1189</v>
      </c>
      <c r="D7" s="10" t="s">
        <v>82</v>
      </c>
      <c r="E7" s="10" t="s">
        <v>121</v>
      </c>
      <c r="F7" s="10" t="s">
        <v>138</v>
      </c>
      <c r="G7" s="10" t="s">
        <v>139</v>
      </c>
      <c r="H7" s="11" t="str">
        <f>IF(OR(M7&lt;=0,N7&lt;=0),"SKIPPED - NONPOSITIVE",IF(OR(M7&lt;L7,N7&lt;L7),"SKIPPED - BELOW MIN",IF(OR(M7&gt;J7,N7&gt;K7),"SKIPPED - EXCEEDS BASE",IF(COUNTIFS($M$2:M6,M7,$N$2:N6,N7)&gt;0,"SKIPPED - DUPLICATE","VALID - GENERATED"))))</f>
        <v>VALID - GENERATED</v>
      </c>
      <c r="I7" s="10" t="s">
        <v>124</v>
      </c>
      <c r="J7" s="12">
        <f>'05-ISO Reference'!$B$5</f>
        <v>841</v>
      </c>
      <c r="K7" s="12">
        <f>'05-ISO Reference'!$C$5</f>
        <v>1189</v>
      </c>
      <c r="L7" s="12">
        <f>'01-Process Controls'!$G$5</f>
        <v>3</v>
      </c>
      <c r="M7" s="12">
        <f>ROUNDDOWN(J7*'04-Variant Rules'!$D$10,0)</f>
        <v>630</v>
      </c>
      <c r="N7" s="12">
        <f>ROUNDDOWN(K7,0)</f>
        <v>1189</v>
      </c>
      <c r="O7" s="9">
        <v>5</v>
      </c>
    </row>
    <row r="8" spans="1:23" ht="21" customHeight="1">
      <c r="A8" s="9" t="s">
        <v>140</v>
      </c>
      <c r="B8" s="12">
        <f>IF(LEFT(H8,5)="VALID",M8,"")</f>
        <v>841</v>
      </c>
      <c r="C8" s="12">
        <f>IF(LEFT(H8,5)="VALID",N8,"")</f>
        <v>594</v>
      </c>
      <c r="D8" s="10" t="s">
        <v>82</v>
      </c>
      <c r="E8" s="10" t="s">
        <v>121</v>
      </c>
      <c r="F8" s="10" t="s">
        <v>141</v>
      </c>
      <c r="G8" s="10" t="s">
        <v>142</v>
      </c>
      <c r="H8" s="11" t="str">
        <f>IF(OR(M8&lt;=0,N8&lt;=0),"SKIPPED - NONPOSITIVE",IF(OR(M8&lt;L8,N8&lt;L8),"SKIPPED - BELOW MIN",IF(OR(M8&gt;J8,N8&gt;K8),"SKIPPED - EXCEEDS BASE",IF(COUNTIFS($M$2:M7,M8,$N$2:N7,N8)&gt;0,"SKIPPED - DUPLICATE","VALID - GENERATED"))))</f>
        <v>VALID - GENERATED</v>
      </c>
      <c r="I8" s="10" t="s">
        <v>124</v>
      </c>
      <c r="J8" s="12">
        <f>'05-ISO Reference'!$B$5</f>
        <v>841</v>
      </c>
      <c r="K8" s="12">
        <f>'05-ISO Reference'!$C$5</f>
        <v>1189</v>
      </c>
      <c r="L8" s="12">
        <f>'01-Process Controls'!$G$5</f>
        <v>3</v>
      </c>
      <c r="M8" s="12">
        <f>ROUNDDOWN(J8,0)</f>
        <v>841</v>
      </c>
      <c r="N8" s="12">
        <f>ROUNDDOWN(K8*'04-Variant Rules'!$D$11,0)</f>
        <v>594</v>
      </c>
      <c r="O8" s="9">
        <v>6</v>
      </c>
    </row>
    <row r="9" spans="1:23" ht="21" customHeight="1">
      <c r="A9" s="9" t="s">
        <v>143</v>
      </c>
      <c r="B9" s="12">
        <f>IF(LEFT(H9,5)="VALID",M9,"")</f>
        <v>841</v>
      </c>
      <c r="C9" s="12">
        <f>IF(LEFT(H9,5)="VALID",N9,"")</f>
        <v>396</v>
      </c>
      <c r="D9" s="10" t="s">
        <v>82</v>
      </c>
      <c r="E9" s="10" t="s">
        <v>121</v>
      </c>
      <c r="F9" s="10" t="s">
        <v>144</v>
      </c>
      <c r="G9" s="10" t="s">
        <v>145</v>
      </c>
      <c r="H9" s="11" t="str">
        <f>IF(OR(M9&lt;=0,N9&lt;=0),"SKIPPED - NONPOSITIVE",IF(OR(M9&lt;L9,N9&lt;L9),"SKIPPED - BELOW MIN",IF(OR(M9&gt;J9,N9&gt;K9),"SKIPPED - EXCEEDS BASE",IF(COUNTIFS($M$2:M8,M9,$N$2:N8,N9)&gt;0,"SKIPPED - DUPLICATE","VALID - GENERATED"))))</f>
        <v>VALID - GENERATED</v>
      </c>
      <c r="I9" s="10" t="s">
        <v>124</v>
      </c>
      <c r="J9" s="12">
        <f>'05-ISO Reference'!$B$5</f>
        <v>841</v>
      </c>
      <c r="K9" s="12">
        <f>'05-ISO Reference'!$C$5</f>
        <v>1189</v>
      </c>
      <c r="L9" s="12">
        <f>'01-Process Controls'!$G$5</f>
        <v>3</v>
      </c>
      <c r="M9" s="12">
        <f>ROUNDDOWN(J9,0)</f>
        <v>841</v>
      </c>
      <c r="N9" s="12">
        <f>ROUNDDOWN(K9*'04-Variant Rules'!$D$12,0)</f>
        <v>396</v>
      </c>
      <c r="O9" s="9">
        <v>7</v>
      </c>
    </row>
    <row r="10" spans="1:23" ht="21" customHeight="1">
      <c r="A10" s="9" t="s">
        <v>146</v>
      </c>
      <c r="B10" s="12">
        <f>IF(LEFT(H10,5)="VALID",M10,"")</f>
        <v>841</v>
      </c>
      <c r="C10" s="12">
        <f>IF(LEFT(H10,5)="VALID",N10,"")</f>
        <v>297</v>
      </c>
      <c r="D10" s="10" t="s">
        <v>82</v>
      </c>
      <c r="E10" s="10" t="s">
        <v>121</v>
      </c>
      <c r="F10" s="10" t="s">
        <v>147</v>
      </c>
      <c r="G10" s="10" t="s">
        <v>148</v>
      </c>
      <c r="H10" s="11" t="str">
        <f>IF(OR(M10&lt;=0,N10&lt;=0),"SKIPPED - NONPOSITIVE",IF(OR(M10&lt;L10,N10&lt;L10),"SKIPPED - BELOW MIN",IF(OR(M10&gt;J10,N10&gt;K10),"SKIPPED - EXCEEDS BASE",IF(COUNTIFS($M$2:M9,M10,$N$2:N9,N10)&gt;0,"SKIPPED - DUPLICATE","VALID - GENERATED"))))</f>
        <v>VALID - GENERATED</v>
      </c>
      <c r="I10" s="10" t="s">
        <v>124</v>
      </c>
      <c r="J10" s="12">
        <f>'05-ISO Reference'!$B$5</f>
        <v>841</v>
      </c>
      <c r="K10" s="12">
        <f>'05-ISO Reference'!$C$5</f>
        <v>1189</v>
      </c>
      <c r="L10" s="12">
        <f>'01-Process Controls'!$G$5</f>
        <v>3</v>
      </c>
      <c r="M10" s="12">
        <f>ROUNDDOWN(J10,0)</f>
        <v>841</v>
      </c>
      <c r="N10" s="12">
        <f>ROUNDDOWN(K10*'04-Variant Rules'!$D$13,0)</f>
        <v>297</v>
      </c>
      <c r="O10" s="9">
        <v>8</v>
      </c>
    </row>
    <row r="11" spans="1:23" ht="21" customHeight="1">
      <c r="A11" s="9" t="s">
        <v>149</v>
      </c>
      <c r="B11" s="12">
        <f>IF(LEFT(H11,5)="VALID",M11,"")</f>
        <v>841</v>
      </c>
      <c r="C11" s="12">
        <f>IF(LEFT(H11,5)="VALID",N11,"")</f>
        <v>792</v>
      </c>
      <c r="D11" s="10" t="s">
        <v>82</v>
      </c>
      <c r="E11" s="10" t="s">
        <v>121</v>
      </c>
      <c r="F11" s="10" t="s">
        <v>150</v>
      </c>
      <c r="G11" s="10" t="s">
        <v>151</v>
      </c>
      <c r="H11" s="11" t="str">
        <f>IF(OR(M11&lt;=0,N11&lt;=0),"SKIPPED - NONPOSITIVE",IF(OR(M11&lt;L11,N11&lt;L11),"SKIPPED - BELOW MIN",IF(OR(M11&gt;J11,N11&gt;K11),"SKIPPED - EXCEEDS BASE",IF(COUNTIFS($M$2:M10,M11,$N$2:N10,N11)&gt;0,"SKIPPED - DUPLICATE","VALID - GENERATED"))))</f>
        <v>VALID - GENERATED</v>
      </c>
      <c r="I11" s="10" t="s">
        <v>124</v>
      </c>
      <c r="J11" s="12">
        <f>'05-ISO Reference'!$B$5</f>
        <v>841</v>
      </c>
      <c r="K11" s="12">
        <f>'05-ISO Reference'!$C$5</f>
        <v>1189</v>
      </c>
      <c r="L11" s="12">
        <f>'01-Process Controls'!$G$5</f>
        <v>3</v>
      </c>
      <c r="M11" s="12">
        <f>ROUNDDOWN(J11,0)</f>
        <v>841</v>
      </c>
      <c r="N11" s="12">
        <f>ROUNDDOWN(K11*'04-Variant Rules'!$D$14,0)</f>
        <v>792</v>
      </c>
      <c r="O11" s="9">
        <v>9</v>
      </c>
    </row>
    <row r="12" spans="1:23" ht="21" customHeight="1">
      <c r="A12" s="9" t="s">
        <v>152</v>
      </c>
      <c r="B12" s="12">
        <f>IF(LEFT(H12,5)="VALID",M12,"")</f>
        <v>841</v>
      </c>
      <c r="C12" s="12">
        <f>IF(LEFT(H12,5)="VALID",N12,"")</f>
        <v>891</v>
      </c>
      <c r="D12" s="10" t="s">
        <v>82</v>
      </c>
      <c r="E12" s="10" t="s">
        <v>121</v>
      </c>
      <c r="F12" s="10" t="s">
        <v>153</v>
      </c>
      <c r="G12" s="10" t="s">
        <v>154</v>
      </c>
      <c r="H12" s="11" t="str">
        <f>IF(OR(M12&lt;=0,N12&lt;=0),"SKIPPED - NONPOSITIVE",IF(OR(M12&lt;L12,N12&lt;L12),"SKIPPED - BELOW MIN",IF(OR(M12&gt;J12,N12&gt;K12),"SKIPPED - EXCEEDS BASE",IF(COUNTIFS($M$2:M11,M12,$N$2:N11,N12)&gt;0,"SKIPPED - DUPLICATE","VALID - GENERATED"))))</f>
        <v>VALID - GENERATED</v>
      </c>
      <c r="I12" s="10" t="s">
        <v>124</v>
      </c>
      <c r="J12" s="12">
        <f>'05-ISO Reference'!$B$5</f>
        <v>841</v>
      </c>
      <c r="K12" s="12">
        <f>'05-ISO Reference'!$C$5</f>
        <v>1189</v>
      </c>
      <c r="L12" s="12">
        <f>'01-Process Controls'!$G$5</f>
        <v>3</v>
      </c>
      <c r="M12" s="12">
        <f>ROUNDDOWN(J12,0)</f>
        <v>841</v>
      </c>
      <c r="N12" s="12">
        <f>ROUNDDOWN(K12*'04-Variant Rules'!$D$15,0)</f>
        <v>891</v>
      </c>
      <c r="O12" s="9">
        <v>10</v>
      </c>
    </row>
    <row r="13" spans="1:23" ht="21" customHeight="1">
      <c r="A13" s="9" t="s">
        <v>155</v>
      </c>
      <c r="B13" s="12">
        <f>IF(LEFT(H13,5)="VALID",M13,"")</f>
        <v>420</v>
      </c>
      <c r="C13" s="12">
        <f>IF(LEFT(H13,5)="VALID",N13,"")</f>
        <v>594</v>
      </c>
      <c r="D13" s="10" t="s">
        <v>82</v>
      </c>
      <c r="E13" s="10" t="s">
        <v>121</v>
      </c>
      <c r="F13" s="10" t="s">
        <v>156</v>
      </c>
      <c r="G13" s="10" t="s">
        <v>157</v>
      </c>
      <c r="H13" s="11" t="str">
        <f>IF(OR(M13&lt;=0,N13&lt;=0),"SKIPPED - NONPOSITIVE",IF(OR(M13&lt;L13,N13&lt;L13),"SKIPPED - BELOW MIN",IF(OR(M13&gt;J13,N13&gt;K13),"SKIPPED - EXCEEDS BASE",IF(COUNTIFS($M$2:M12,M13,$N$2:N12,N13)&gt;0,"SKIPPED - DUPLICATE","VALID - GENERATED"))))</f>
        <v>VALID - GENERATED</v>
      </c>
      <c r="I13" s="10" t="s">
        <v>124</v>
      </c>
      <c r="J13" s="12">
        <f>'05-ISO Reference'!$B$5</f>
        <v>841</v>
      </c>
      <c r="K13" s="12">
        <f>'05-ISO Reference'!$C$5</f>
        <v>1189</v>
      </c>
      <c r="L13" s="12">
        <f>'01-Process Controls'!$G$5</f>
        <v>3</v>
      </c>
      <c r="M13" s="12">
        <f>ROUNDDOWN(J13*'04-Variant Rules'!$D$16,0)</f>
        <v>420</v>
      </c>
      <c r="N13" s="12">
        <f>ROUNDDOWN(K13*'04-Variant Rules'!$E$16,0)</f>
        <v>594</v>
      </c>
      <c r="O13" s="9">
        <v>11</v>
      </c>
    </row>
    <row r="14" spans="1:23" ht="21" customHeight="1">
      <c r="A14" s="9" t="s">
        <v>158</v>
      </c>
      <c r="B14" s="12">
        <f>IF(LEFT(H14,5)="VALID",M14,"")</f>
        <v>280</v>
      </c>
      <c r="C14" s="12">
        <f>IF(LEFT(H14,5)="VALID",N14,"")</f>
        <v>396</v>
      </c>
      <c r="D14" s="10" t="s">
        <v>82</v>
      </c>
      <c r="E14" s="10" t="s">
        <v>121</v>
      </c>
      <c r="F14" s="10" t="s">
        <v>159</v>
      </c>
      <c r="G14" s="10" t="s">
        <v>160</v>
      </c>
      <c r="H14" s="11" t="str">
        <f>IF(OR(M14&lt;=0,N14&lt;=0),"SKIPPED - NONPOSITIVE",IF(OR(M14&lt;L14,N14&lt;L14),"SKIPPED - BELOW MIN",IF(OR(M14&gt;J14,N14&gt;K14),"SKIPPED - EXCEEDS BASE",IF(COUNTIFS($M$2:M13,M14,$N$2:N13,N14)&gt;0,"SKIPPED - DUPLICATE","VALID - GENERATED"))))</f>
        <v>VALID - GENERATED</v>
      </c>
      <c r="I14" s="10" t="s">
        <v>124</v>
      </c>
      <c r="J14" s="12">
        <f>'05-ISO Reference'!$B$5</f>
        <v>841</v>
      </c>
      <c r="K14" s="12">
        <f>'05-ISO Reference'!$C$5</f>
        <v>1189</v>
      </c>
      <c r="L14" s="12">
        <f>'01-Process Controls'!$G$5</f>
        <v>3</v>
      </c>
      <c r="M14" s="12">
        <f>ROUNDDOWN(J14*'04-Variant Rules'!$D$17,0)</f>
        <v>280</v>
      </c>
      <c r="N14" s="12">
        <f>ROUNDDOWN(K14*'04-Variant Rules'!$E$17,0)</f>
        <v>396</v>
      </c>
      <c r="O14" s="9">
        <v>12</v>
      </c>
    </row>
    <row r="15" spans="1:23" ht="21" customHeight="1">
      <c r="A15" s="9" t="s">
        <v>161</v>
      </c>
      <c r="B15" s="12">
        <f>IF(LEFT(H15,5)="VALID",M15,"")</f>
        <v>210</v>
      </c>
      <c r="C15" s="12">
        <f>IF(LEFT(H15,5)="VALID",N15,"")</f>
        <v>297</v>
      </c>
      <c r="D15" s="10" t="s">
        <v>82</v>
      </c>
      <c r="E15" s="10" t="s">
        <v>121</v>
      </c>
      <c r="F15" s="10" t="s">
        <v>162</v>
      </c>
      <c r="G15" s="10" t="s">
        <v>163</v>
      </c>
      <c r="H15" s="11" t="str">
        <f>IF(OR(M15&lt;=0,N15&lt;=0),"SKIPPED - NONPOSITIVE",IF(OR(M15&lt;L15,N15&lt;L15),"SKIPPED - BELOW MIN",IF(OR(M15&gt;J15,N15&gt;K15),"SKIPPED - EXCEEDS BASE",IF(COUNTIFS($M$2:M14,M15,$N$2:N14,N15)&gt;0,"SKIPPED - DUPLICATE","VALID - GENERATED"))))</f>
        <v>VALID - GENERATED</v>
      </c>
      <c r="I15" s="10" t="s">
        <v>124</v>
      </c>
      <c r="J15" s="12">
        <f>'05-ISO Reference'!$B$5</f>
        <v>841</v>
      </c>
      <c r="K15" s="12">
        <f>'05-ISO Reference'!$C$5</f>
        <v>1189</v>
      </c>
      <c r="L15" s="12">
        <f>'01-Process Controls'!$G$5</f>
        <v>3</v>
      </c>
      <c r="M15" s="12">
        <f>ROUNDDOWN(J15*'04-Variant Rules'!$D$18,0)</f>
        <v>210</v>
      </c>
      <c r="N15" s="12">
        <f>ROUNDDOWN(K15*'04-Variant Rules'!$E$18,0)</f>
        <v>297</v>
      </c>
      <c r="O15" s="9">
        <v>13</v>
      </c>
    </row>
    <row r="16" spans="1:23" ht="21" customHeight="1">
      <c r="A16" s="9" t="s">
        <v>164</v>
      </c>
      <c r="B16" s="12">
        <f>IF(LEFT(H16,5)="VALID",M16,"")</f>
        <v>420</v>
      </c>
      <c r="C16" s="12">
        <f>IF(LEFT(H16,5)="VALID",N16,"")</f>
        <v>396</v>
      </c>
      <c r="D16" s="10" t="s">
        <v>82</v>
      </c>
      <c r="E16" s="10" t="s">
        <v>121</v>
      </c>
      <c r="F16" s="10" t="s">
        <v>165</v>
      </c>
      <c r="G16" s="10" t="s">
        <v>166</v>
      </c>
      <c r="H16" s="11" t="str">
        <f>IF(OR(M16&lt;=0,N16&lt;=0),"SKIPPED - NONPOSITIVE",IF(OR(M16&lt;L16,N16&lt;L16),"SKIPPED - BELOW MIN",IF(OR(M16&gt;J16,N16&gt;K16),"SKIPPED - EXCEEDS BASE",IF(COUNTIFS($M$2:M15,M16,$N$2:N15,N16)&gt;0,"SKIPPED - DUPLICATE","VALID - GENERATED"))))</f>
        <v>VALID - GENERATED</v>
      </c>
      <c r="I16" s="10" t="s">
        <v>124</v>
      </c>
      <c r="J16" s="12">
        <f>'05-ISO Reference'!$B$5</f>
        <v>841</v>
      </c>
      <c r="K16" s="12">
        <f>'05-ISO Reference'!$C$5</f>
        <v>1189</v>
      </c>
      <c r="L16" s="12">
        <f>'01-Process Controls'!$G$5</f>
        <v>3</v>
      </c>
      <c r="M16" s="12">
        <f>ROUNDDOWN(J16*'04-Variant Rules'!$D$19,0)</f>
        <v>420</v>
      </c>
      <c r="N16" s="12">
        <f>ROUNDDOWN(K16*'04-Variant Rules'!$E$19,0)</f>
        <v>396</v>
      </c>
      <c r="O16" s="9">
        <v>14</v>
      </c>
    </row>
    <row r="17" spans="1:15" ht="21" customHeight="1">
      <c r="A17" s="9" t="s">
        <v>167</v>
      </c>
      <c r="B17" s="12">
        <f>IF(LEFT(H17,5)="VALID",M17,"")</f>
        <v>280</v>
      </c>
      <c r="C17" s="12">
        <f>IF(LEFT(H17,5)="VALID",N17,"")</f>
        <v>594</v>
      </c>
      <c r="D17" s="10" t="s">
        <v>82</v>
      </c>
      <c r="E17" s="10" t="s">
        <v>121</v>
      </c>
      <c r="F17" s="10" t="s">
        <v>168</v>
      </c>
      <c r="G17" s="10" t="s">
        <v>166</v>
      </c>
      <c r="H17" s="11" t="str">
        <f>IF(OR(M17&lt;=0,N17&lt;=0),"SKIPPED - NONPOSITIVE",IF(OR(M17&lt;L17,N17&lt;L17),"SKIPPED - BELOW MIN",IF(OR(M17&gt;J17,N17&gt;K17),"SKIPPED - EXCEEDS BASE",IF(COUNTIFS($M$2:M16,M17,$N$2:N16,N17)&gt;0,"SKIPPED - DUPLICATE","VALID - GENERATED"))))</f>
        <v>VALID - GENERATED</v>
      </c>
      <c r="I17" s="10" t="s">
        <v>124</v>
      </c>
      <c r="J17" s="12">
        <f>'05-ISO Reference'!$B$5</f>
        <v>841</v>
      </c>
      <c r="K17" s="12">
        <f>'05-ISO Reference'!$C$5</f>
        <v>1189</v>
      </c>
      <c r="L17" s="12">
        <f>'01-Process Controls'!$G$5</f>
        <v>3</v>
      </c>
      <c r="M17" s="12">
        <f>ROUNDDOWN(J17*'04-Variant Rules'!$D$20,0)</f>
        <v>280</v>
      </c>
      <c r="N17" s="12">
        <f>ROUNDDOWN(K17*'04-Variant Rules'!$E$20,0)</f>
        <v>594</v>
      </c>
      <c r="O17" s="9">
        <v>15</v>
      </c>
    </row>
    <row r="18" spans="1:15" ht="21" customHeight="1">
      <c r="A18" s="9" t="s">
        <v>169</v>
      </c>
      <c r="B18" s="12">
        <f>IF(LEFT(H18,5)="VALID",M18,"")</f>
        <v>420</v>
      </c>
      <c r="C18" s="12">
        <f>IF(LEFT(H18,5)="VALID",N18,"")</f>
        <v>297</v>
      </c>
      <c r="D18" s="10" t="s">
        <v>82</v>
      </c>
      <c r="E18" s="10" t="s">
        <v>121</v>
      </c>
      <c r="F18" s="10" t="s">
        <v>170</v>
      </c>
      <c r="G18" s="10" t="s">
        <v>166</v>
      </c>
      <c r="H18" s="11" t="str">
        <f>IF(OR(M18&lt;=0,N18&lt;=0),"SKIPPED - NONPOSITIVE",IF(OR(M18&lt;L18,N18&lt;L18),"SKIPPED - BELOW MIN",IF(OR(M18&gt;J18,N18&gt;K18),"SKIPPED - EXCEEDS BASE",IF(COUNTIFS($M$2:M17,M18,$N$2:N17,N18)&gt;0,"SKIPPED - DUPLICATE","VALID - GENERATED"))))</f>
        <v>VALID - GENERATED</v>
      </c>
      <c r="I18" s="10" t="s">
        <v>124</v>
      </c>
      <c r="J18" s="12">
        <f>'05-ISO Reference'!$B$5</f>
        <v>841</v>
      </c>
      <c r="K18" s="12">
        <f>'05-ISO Reference'!$C$5</f>
        <v>1189</v>
      </c>
      <c r="L18" s="12">
        <f>'01-Process Controls'!$G$5</f>
        <v>3</v>
      </c>
      <c r="M18" s="12">
        <f>ROUNDDOWN(J18*'04-Variant Rules'!$D$21,0)</f>
        <v>420</v>
      </c>
      <c r="N18" s="12">
        <f>ROUNDDOWN(K18*'04-Variant Rules'!$E$21,0)</f>
        <v>297</v>
      </c>
      <c r="O18" s="9">
        <v>16</v>
      </c>
    </row>
    <row r="19" spans="1:15" ht="21" customHeight="1">
      <c r="A19" s="9" t="s">
        <v>171</v>
      </c>
      <c r="B19" s="12">
        <f>IF(LEFT(H19,5)="VALID",M19,"")</f>
        <v>210</v>
      </c>
      <c r="C19" s="12">
        <f>IF(LEFT(H19,5)="VALID",N19,"")</f>
        <v>594</v>
      </c>
      <c r="D19" s="10" t="s">
        <v>82</v>
      </c>
      <c r="E19" s="10" t="s">
        <v>121</v>
      </c>
      <c r="F19" s="10" t="s">
        <v>172</v>
      </c>
      <c r="G19" s="10" t="s">
        <v>166</v>
      </c>
      <c r="H19" s="11" t="str">
        <f>IF(OR(M19&lt;=0,N19&lt;=0),"SKIPPED - NONPOSITIVE",IF(OR(M19&lt;L19,N19&lt;L19),"SKIPPED - BELOW MIN",IF(OR(M19&gt;J19,N19&gt;K19),"SKIPPED - EXCEEDS BASE",IF(COUNTIFS($M$2:M18,M19,$N$2:N18,N19)&gt;0,"SKIPPED - DUPLICATE","VALID - GENERATED"))))</f>
        <v>VALID - GENERATED</v>
      </c>
      <c r="I19" s="10" t="s">
        <v>124</v>
      </c>
      <c r="J19" s="12">
        <f>'05-ISO Reference'!$B$5</f>
        <v>841</v>
      </c>
      <c r="K19" s="12">
        <f>'05-ISO Reference'!$C$5</f>
        <v>1189</v>
      </c>
      <c r="L19" s="12">
        <f>'01-Process Controls'!$G$5</f>
        <v>3</v>
      </c>
      <c r="M19" s="12">
        <f>ROUNDDOWN(J19*'04-Variant Rules'!$D$22,0)</f>
        <v>210</v>
      </c>
      <c r="N19" s="12">
        <f>ROUNDDOWN(K19*'04-Variant Rules'!$E$22,0)</f>
        <v>594</v>
      </c>
      <c r="O19" s="9">
        <v>17</v>
      </c>
    </row>
    <row r="20" spans="1:15" ht="21" customHeight="1">
      <c r="A20" s="9" t="s">
        <v>173</v>
      </c>
      <c r="B20" s="12">
        <f>IF(LEFT(H20,5)="VALID",M20,"")</f>
        <v>560</v>
      </c>
      <c r="C20" s="12">
        <f>IF(LEFT(H20,5)="VALID",N20,"")</f>
        <v>594</v>
      </c>
      <c r="D20" s="10" t="s">
        <v>82</v>
      </c>
      <c r="E20" s="10" t="s">
        <v>121</v>
      </c>
      <c r="F20" s="10" t="s">
        <v>174</v>
      </c>
      <c r="G20" s="10" t="s">
        <v>166</v>
      </c>
      <c r="H20" s="11" t="str">
        <f>IF(OR(M20&lt;=0,N20&lt;=0),"SKIPPED - NONPOSITIVE",IF(OR(M20&lt;L20,N20&lt;L20),"SKIPPED - BELOW MIN",IF(OR(M20&gt;J20,N20&gt;K20),"SKIPPED - EXCEEDS BASE",IF(COUNTIFS($M$2:M19,M20,$N$2:N19,N20)&gt;0,"SKIPPED - DUPLICATE","VALID - GENERATED"))))</f>
        <v>VALID - GENERATED</v>
      </c>
      <c r="I20" s="10" t="s">
        <v>124</v>
      </c>
      <c r="J20" s="12">
        <f>'05-ISO Reference'!$B$5</f>
        <v>841</v>
      </c>
      <c r="K20" s="12">
        <f>'05-ISO Reference'!$C$5</f>
        <v>1189</v>
      </c>
      <c r="L20" s="12">
        <f>'01-Process Controls'!$G$5</f>
        <v>3</v>
      </c>
      <c r="M20" s="12">
        <f>ROUNDDOWN(J20*'04-Variant Rules'!$D$23,0)</f>
        <v>560</v>
      </c>
      <c r="N20" s="12">
        <f>ROUNDDOWN(K20*'04-Variant Rules'!$E$23,0)</f>
        <v>594</v>
      </c>
      <c r="O20" s="9">
        <v>18</v>
      </c>
    </row>
    <row r="21" spans="1:15" ht="21" customHeight="1">
      <c r="A21" s="9" t="s">
        <v>175</v>
      </c>
      <c r="B21" s="12">
        <f>IF(LEFT(H21,5)="VALID",M21,"")</f>
        <v>420</v>
      </c>
      <c r="C21" s="12">
        <f>IF(LEFT(H21,5)="VALID",N21,"")</f>
        <v>792</v>
      </c>
      <c r="D21" s="10" t="s">
        <v>82</v>
      </c>
      <c r="E21" s="10" t="s">
        <v>121</v>
      </c>
      <c r="F21" s="10" t="s">
        <v>176</v>
      </c>
      <c r="G21" s="10" t="s">
        <v>166</v>
      </c>
      <c r="H21" s="11" t="str">
        <f>IF(OR(M21&lt;=0,N21&lt;=0),"SKIPPED - NONPOSITIVE",IF(OR(M21&lt;L21,N21&lt;L21),"SKIPPED - BELOW MIN",IF(OR(M21&gt;J21,N21&gt;K21),"SKIPPED - EXCEEDS BASE",IF(COUNTIFS($M$2:M20,M21,$N$2:N20,N21)&gt;0,"SKIPPED - DUPLICATE","VALID - GENERATED"))))</f>
        <v>VALID - GENERATED</v>
      </c>
      <c r="I21" s="10" t="s">
        <v>124</v>
      </c>
      <c r="J21" s="12">
        <f>'05-ISO Reference'!$B$5</f>
        <v>841</v>
      </c>
      <c r="K21" s="12">
        <f>'05-ISO Reference'!$C$5</f>
        <v>1189</v>
      </c>
      <c r="L21" s="12">
        <f>'01-Process Controls'!$G$5</f>
        <v>3</v>
      </c>
      <c r="M21" s="12">
        <f>ROUNDDOWN(J21*'04-Variant Rules'!$D$24,0)</f>
        <v>420</v>
      </c>
      <c r="N21" s="12">
        <f>ROUNDDOWN(K21*'04-Variant Rules'!$E$24,0)</f>
        <v>792</v>
      </c>
      <c r="O21" s="9">
        <v>19</v>
      </c>
    </row>
    <row r="22" spans="1:15" ht="21" customHeight="1">
      <c r="A22" s="9" t="s">
        <v>177</v>
      </c>
      <c r="B22" s="12">
        <f>IF(LEFT(H22,5)="VALID",M22,"")</f>
        <v>630</v>
      </c>
      <c r="C22" s="12">
        <f>IF(LEFT(H22,5)="VALID",N22,"")</f>
        <v>594</v>
      </c>
      <c r="D22" s="10" t="s">
        <v>82</v>
      </c>
      <c r="E22" s="10" t="s">
        <v>121</v>
      </c>
      <c r="F22" s="10" t="s">
        <v>178</v>
      </c>
      <c r="G22" s="10" t="s">
        <v>166</v>
      </c>
      <c r="H22" s="11" t="str">
        <f>IF(OR(M22&lt;=0,N22&lt;=0),"SKIPPED - NONPOSITIVE",IF(OR(M22&lt;L22,N22&lt;L22),"SKIPPED - BELOW MIN",IF(OR(M22&gt;J22,N22&gt;K22),"SKIPPED - EXCEEDS BASE",IF(COUNTIFS($M$2:M21,M22,$N$2:N21,N22)&gt;0,"SKIPPED - DUPLICATE","VALID - GENERATED"))))</f>
        <v>VALID - GENERATED</v>
      </c>
      <c r="I22" s="10" t="s">
        <v>124</v>
      </c>
      <c r="J22" s="12">
        <f>'05-ISO Reference'!$B$5</f>
        <v>841</v>
      </c>
      <c r="K22" s="12">
        <f>'05-ISO Reference'!$C$5</f>
        <v>1189</v>
      </c>
      <c r="L22" s="12">
        <f>'01-Process Controls'!$G$5</f>
        <v>3</v>
      </c>
      <c r="M22" s="12">
        <f>ROUNDDOWN(J22*'04-Variant Rules'!$D$25,0)</f>
        <v>630</v>
      </c>
      <c r="N22" s="12">
        <f>ROUNDDOWN(K22*'04-Variant Rules'!$E$25,0)</f>
        <v>594</v>
      </c>
      <c r="O22" s="9">
        <v>20</v>
      </c>
    </row>
    <row r="23" spans="1:15" ht="21" customHeight="1">
      <c r="A23" s="9" t="s">
        <v>179</v>
      </c>
      <c r="B23" s="12">
        <f>IF(LEFT(H23,5)="VALID",M23,"")</f>
        <v>420</v>
      </c>
      <c r="C23" s="12">
        <f>IF(LEFT(H23,5)="VALID",N23,"")</f>
        <v>891</v>
      </c>
      <c r="D23" s="10" t="s">
        <v>82</v>
      </c>
      <c r="E23" s="10" t="s">
        <v>121</v>
      </c>
      <c r="F23" s="10" t="s">
        <v>180</v>
      </c>
      <c r="G23" s="10" t="s">
        <v>166</v>
      </c>
      <c r="H23" s="11" t="str">
        <f>IF(OR(M23&lt;=0,N23&lt;=0),"SKIPPED - NONPOSITIVE",IF(OR(M23&lt;L23,N23&lt;L23),"SKIPPED - BELOW MIN",IF(OR(M23&gt;J23,N23&gt;K23),"SKIPPED - EXCEEDS BASE",IF(COUNTIFS($M$2:M22,M23,$N$2:N22,N23)&gt;0,"SKIPPED - DUPLICATE","VALID - GENERATED"))))</f>
        <v>VALID - GENERATED</v>
      </c>
      <c r="I23" s="10" t="s">
        <v>124</v>
      </c>
      <c r="J23" s="12">
        <f>'05-ISO Reference'!$B$5</f>
        <v>841</v>
      </c>
      <c r="K23" s="12">
        <f>'05-ISO Reference'!$C$5</f>
        <v>1189</v>
      </c>
      <c r="L23" s="12">
        <f>'01-Process Controls'!$G$5</f>
        <v>3</v>
      </c>
      <c r="M23" s="12">
        <f>ROUNDDOWN(J23*'04-Variant Rules'!$D$26,0)</f>
        <v>420</v>
      </c>
      <c r="N23" s="12">
        <f>ROUNDDOWN(K23*'04-Variant Rules'!$E$26,0)</f>
        <v>891</v>
      </c>
      <c r="O23" s="9">
        <v>21</v>
      </c>
    </row>
    <row r="24" spans="1:15" ht="21" customHeight="1">
      <c r="A24" s="9" t="s">
        <v>181</v>
      </c>
      <c r="B24" s="12">
        <f>IF(LEFT(H24,5)="VALID",M24,"")</f>
        <v>798</v>
      </c>
      <c r="C24" s="12">
        <f>IF(LEFT(H24,5)="VALID",N24,"")</f>
        <v>1129</v>
      </c>
      <c r="D24" s="10" t="s">
        <v>82</v>
      </c>
      <c r="E24" s="10" t="s">
        <v>121</v>
      </c>
      <c r="F24" s="10" t="s">
        <v>182</v>
      </c>
      <c r="G24" s="10" t="s">
        <v>183</v>
      </c>
      <c r="H24" s="11" t="str">
        <f>IF(OR(M24&lt;=0,N24&lt;=0),"SKIPPED - NONPOSITIVE",IF(OR(M24&lt;L24,N24&lt;L24),"SKIPPED - BELOW MIN",IF(OR(M24&gt;J24,N24&gt;K24),"SKIPPED - EXCEEDS BASE",IF(COUNTIFS($M$2:M23,M24,$N$2:N23,N24)&gt;0,"SKIPPED - DUPLICATE","VALID - GENERATED"))))</f>
        <v>VALID - GENERATED</v>
      </c>
      <c r="I24" s="10" t="s">
        <v>124</v>
      </c>
      <c r="J24" s="12">
        <f>'05-ISO Reference'!$B$5</f>
        <v>841</v>
      </c>
      <c r="K24" s="12">
        <f>'05-ISO Reference'!$C$5</f>
        <v>1189</v>
      </c>
      <c r="L24" s="12">
        <f>'01-Process Controls'!$G$5</f>
        <v>3</v>
      </c>
      <c r="M24" s="12">
        <f>ROUNDDOWN(J24*'04-Variant Rules'!$D$27,0)</f>
        <v>798</v>
      </c>
      <c r="N24" s="12">
        <f>ROUNDDOWN(K24*'04-Variant Rules'!$E$27,0)</f>
        <v>1129</v>
      </c>
      <c r="O24" s="9">
        <v>22</v>
      </c>
    </row>
    <row r="25" spans="1:15" ht="21" customHeight="1">
      <c r="A25" s="9" t="s">
        <v>184</v>
      </c>
      <c r="B25" s="12">
        <f>IF(LEFT(H25,5)="VALID",M25,"")</f>
        <v>756</v>
      </c>
      <c r="C25" s="12">
        <f>IF(LEFT(H25,5)="VALID",N25,"")</f>
        <v>1070</v>
      </c>
      <c r="D25" s="10" t="s">
        <v>82</v>
      </c>
      <c r="E25" s="10" t="s">
        <v>121</v>
      </c>
      <c r="F25" s="10" t="s">
        <v>185</v>
      </c>
      <c r="G25" s="10" t="s">
        <v>186</v>
      </c>
      <c r="H25" s="11" t="str">
        <f>IF(OR(M25&lt;=0,N25&lt;=0),"SKIPPED - NONPOSITIVE",IF(OR(M25&lt;L25,N25&lt;L25),"SKIPPED - BELOW MIN",IF(OR(M25&gt;J25,N25&gt;K25),"SKIPPED - EXCEEDS BASE",IF(COUNTIFS($M$2:M24,M25,$N$2:N24,N25)&gt;0,"SKIPPED - DUPLICATE","VALID - GENERATED"))))</f>
        <v>VALID - GENERATED</v>
      </c>
      <c r="I25" s="10" t="s">
        <v>124</v>
      </c>
      <c r="J25" s="12">
        <f>'05-ISO Reference'!$B$5</f>
        <v>841</v>
      </c>
      <c r="K25" s="12">
        <f>'05-ISO Reference'!$C$5</f>
        <v>1189</v>
      </c>
      <c r="L25" s="12">
        <f>'01-Process Controls'!$G$5</f>
        <v>3</v>
      </c>
      <c r="M25" s="12">
        <f>ROUNDDOWN(J25*'04-Variant Rules'!$D$28,0)</f>
        <v>756</v>
      </c>
      <c r="N25" s="12">
        <f>ROUNDDOWN(K25*'04-Variant Rules'!$E$28,0)</f>
        <v>1070</v>
      </c>
      <c r="O25" s="9">
        <v>23</v>
      </c>
    </row>
    <row r="26" spans="1:15" ht="21" customHeight="1">
      <c r="A26" s="9" t="s">
        <v>187</v>
      </c>
      <c r="B26" s="12">
        <f>IF(LEFT(H26,5)="VALID",M26,"")</f>
        <v>714</v>
      </c>
      <c r="C26" s="12">
        <f>IF(LEFT(H26,5)="VALID",N26,"")</f>
        <v>1010</v>
      </c>
      <c r="D26" s="10" t="s">
        <v>82</v>
      </c>
      <c r="E26" s="10" t="s">
        <v>121</v>
      </c>
      <c r="F26" s="10" t="s">
        <v>188</v>
      </c>
      <c r="G26" s="10" t="s">
        <v>186</v>
      </c>
      <c r="H26" s="11" t="str">
        <f>IF(OR(M26&lt;=0,N26&lt;=0),"SKIPPED - NONPOSITIVE",IF(OR(M26&lt;L26,N26&lt;L26),"SKIPPED - BELOW MIN",IF(OR(M26&gt;J26,N26&gt;K26),"SKIPPED - EXCEEDS BASE",IF(COUNTIFS($M$2:M25,M26,$N$2:N25,N26)&gt;0,"SKIPPED - DUPLICATE","VALID - GENERATED"))))</f>
        <v>VALID - GENERATED</v>
      </c>
      <c r="I26" s="10" t="s">
        <v>124</v>
      </c>
      <c r="J26" s="12">
        <f>'05-ISO Reference'!$B$5</f>
        <v>841</v>
      </c>
      <c r="K26" s="12">
        <f>'05-ISO Reference'!$C$5</f>
        <v>1189</v>
      </c>
      <c r="L26" s="12">
        <f>'01-Process Controls'!$G$5</f>
        <v>3</v>
      </c>
      <c r="M26" s="12">
        <f>ROUNDDOWN(J26*'04-Variant Rules'!$D$29,0)</f>
        <v>714</v>
      </c>
      <c r="N26" s="12">
        <f>ROUNDDOWN(K26*'04-Variant Rules'!$E$29,0)</f>
        <v>1010</v>
      </c>
      <c r="O26" s="9">
        <v>24</v>
      </c>
    </row>
    <row r="27" spans="1:15" ht="21" customHeight="1">
      <c r="A27" s="9" t="s">
        <v>189</v>
      </c>
      <c r="B27" s="12">
        <f>IF(LEFT(H27,5)="VALID",M27,"")</f>
        <v>672</v>
      </c>
      <c r="C27" s="12">
        <f>IF(LEFT(H27,5)="VALID",N27,"")</f>
        <v>951</v>
      </c>
      <c r="D27" s="10" t="s">
        <v>82</v>
      </c>
      <c r="E27" s="10" t="s">
        <v>121</v>
      </c>
      <c r="F27" s="10" t="s">
        <v>190</v>
      </c>
      <c r="G27" s="10" t="s">
        <v>186</v>
      </c>
      <c r="H27" s="11" t="str">
        <f>IF(OR(M27&lt;=0,N27&lt;=0),"SKIPPED - NONPOSITIVE",IF(OR(M27&lt;L27,N27&lt;L27),"SKIPPED - BELOW MIN",IF(OR(M27&gt;J27,N27&gt;K27),"SKIPPED - EXCEEDS BASE",IF(COUNTIFS($M$2:M26,M27,$N$2:N26,N27)&gt;0,"SKIPPED - DUPLICATE","VALID - GENERATED"))))</f>
        <v>VALID - GENERATED</v>
      </c>
      <c r="I27" s="10" t="s">
        <v>124</v>
      </c>
      <c r="J27" s="12">
        <f>'05-ISO Reference'!$B$5</f>
        <v>841</v>
      </c>
      <c r="K27" s="12">
        <f>'05-ISO Reference'!$C$5</f>
        <v>1189</v>
      </c>
      <c r="L27" s="12">
        <f>'01-Process Controls'!$G$5</f>
        <v>3</v>
      </c>
      <c r="M27" s="12">
        <f>ROUNDDOWN(J27*'04-Variant Rules'!$D$30,0)</f>
        <v>672</v>
      </c>
      <c r="N27" s="12">
        <f>ROUNDDOWN(K27*'04-Variant Rules'!$E$30,0)</f>
        <v>951</v>
      </c>
      <c r="O27" s="9">
        <v>25</v>
      </c>
    </row>
    <row r="28" spans="1:15" ht="21" customHeight="1">
      <c r="A28" s="9" t="s">
        <v>191</v>
      </c>
      <c r="B28" s="12">
        <f>IF(LEFT(H28,5)="VALID",M28,"")</f>
        <v>630</v>
      </c>
      <c r="C28" s="12">
        <f>IF(LEFT(H28,5)="VALID",N28,"")</f>
        <v>891</v>
      </c>
      <c r="D28" s="10" t="s">
        <v>82</v>
      </c>
      <c r="E28" s="10" t="s">
        <v>121</v>
      </c>
      <c r="F28" s="10" t="s">
        <v>192</v>
      </c>
      <c r="G28" s="10" t="s">
        <v>186</v>
      </c>
      <c r="H28" s="11" t="str">
        <f>IF(OR(M28&lt;=0,N28&lt;=0),"SKIPPED - NONPOSITIVE",IF(OR(M28&lt;L28,N28&lt;L28),"SKIPPED - BELOW MIN",IF(OR(M28&gt;J28,N28&gt;K28),"SKIPPED - EXCEEDS BASE",IF(COUNTIFS($M$2:M27,M28,$N$2:N27,N28)&gt;0,"SKIPPED - DUPLICATE","VALID - GENERATED"))))</f>
        <v>VALID - GENERATED</v>
      </c>
      <c r="I28" s="10" t="s">
        <v>124</v>
      </c>
      <c r="J28" s="12">
        <f>'05-ISO Reference'!$B$5</f>
        <v>841</v>
      </c>
      <c r="K28" s="12">
        <f>'05-ISO Reference'!$C$5</f>
        <v>1189</v>
      </c>
      <c r="L28" s="12">
        <f>'01-Process Controls'!$G$5</f>
        <v>3</v>
      </c>
      <c r="M28" s="12">
        <f>ROUNDDOWN(J28*'04-Variant Rules'!$D$31,0)</f>
        <v>630</v>
      </c>
      <c r="N28" s="12">
        <f>ROUNDDOWN(K28*'04-Variant Rules'!$E$31,0)</f>
        <v>891</v>
      </c>
      <c r="O28" s="9">
        <v>26</v>
      </c>
    </row>
    <row r="29" spans="1:15" ht="21" customHeight="1">
      <c r="A29" s="9" t="s">
        <v>193</v>
      </c>
      <c r="B29" s="12">
        <f>IF(LEFT(H29,5)="VALID",M29,"")</f>
        <v>588</v>
      </c>
      <c r="C29" s="12">
        <f>IF(LEFT(H29,5)="VALID",N29,"")</f>
        <v>832</v>
      </c>
      <c r="D29" s="10" t="s">
        <v>82</v>
      </c>
      <c r="E29" s="10" t="s">
        <v>121</v>
      </c>
      <c r="F29" s="10" t="s">
        <v>194</v>
      </c>
      <c r="G29" s="10" t="s">
        <v>186</v>
      </c>
      <c r="H29" s="11" t="str">
        <f>IF(OR(M29&lt;=0,N29&lt;=0),"SKIPPED - NONPOSITIVE",IF(OR(M29&lt;L29,N29&lt;L29),"SKIPPED - BELOW MIN",IF(OR(M29&gt;J29,N29&gt;K29),"SKIPPED - EXCEEDS BASE",IF(COUNTIFS($M$2:M28,M29,$N$2:N28,N29)&gt;0,"SKIPPED - DUPLICATE","VALID - GENERATED"))))</f>
        <v>VALID - GENERATED</v>
      </c>
      <c r="I29" s="10" t="s">
        <v>124</v>
      </c>
      <c r="J29" s="12">
        <f>'05-ISO Reference'!$B$5</f>
        <v>841</v>
      </c>
      <c r="K29" s="12">
        <f>'05-ISO Reference'!$C$5</f>
        <v>1189</v>
      </c>
      <c r="L29" s="12">
        <f>'01-Process Controls'!$G$5</f>
        <v>3</v>
      </c>
      <c r="M29" s="12">
        <f>ROUNDDOWN(J29*'04-Variant Rules'!$D$32,0)</f>
        <v>588</v>
      </c>
      <c r="N29" s="12">
        <f>ROUNDDOWN(K29*'04-Variant Rules'!$E$32,0)</f>
        <v>832</v>
      </c>
      <c r="O29" s="9">
        <v>27</v>
      </c>
    </row>
    <row r="30" spans="1:15" ht="21" customHeight="1">
      <c r="A30" s="9" t="s">
        <v>195</v>
      </c>
      <c r="B30" s="12">
        <f>IF(LEFT(H30,5)="VALID",M30,"")</f>
        <v>560</v>
      </c>
      <c r="C30" s="12">
        <f>IF(LEFT(H30,5)="VALID",N30,"")</f>
        <v>792</v>
      </c>
      <c r="D30" s="10" t="s">
        <v>82</v>
      </c>
      <c r="E30" s="10" t="s">
        <v>121</v>
      </c>
      <c r="F30" s="10" t="s">
        <v>196</v>
      </c>
      <c r="G30" s="10" t="s">
        <v>186</v>
      </c>
      <c r="H30" s="11" t="str">
        <f>IF(OR(M30&lt;=0,N30&lt;=0),"SKIPPED - NONPOSITIVE",IF(OR(M30&lt;L30,N30&lt;L30),"SKIPPED - BELOW MIN",IF(OR(M30&gt;J30,N30&gt;K30),"SKIPPED - EXCEEDS BASE",IF(COUNTIFS($M$2:M29,M30,$N$2:N29,N30)&gt;0,"SKIPPED - DUPLICATE","VALID - GENERATED"))))</f>
        <v>VALID - GENERATED</v>
      </c>
      <c r="I30" s="10" t="s">
        <v>124</v>
      </c>
      <c r="J30" s="12">
        <f>'05-ISO Reference'!$B$5</f>
        <v>841</v>
      </c>
      <c r="K30" s="12">
        <f>'05-ISO Reference'!$C$5</f>
        <v>1189</v>
      </c>
      <c r="L30" s="12">
        <f>'01-Process Controls'!$G$5</f>
        <v>3</v>
      </c>
      <c r="M30" s="12">
        <f>ROUNDDOWN(J30*'04-Variant Rules'!$D$33,0)</f>
        <v>560</v>
      </c>
      <c r="N30" s="12">
        <f>ROUNDDOWN(K30*'04-Variant Rules'!$E$33,0)</f>
        <v>792</v>
      </c>
      <c r="O30" s="9">
        <v>28</v>
      </c>
    </row>
    <row r="31" spans="1:15" ht="21" customHeight="1">
      <c r="A31" s="9" t="s">
        <v>197</v>
      </c>
      <c r="B31" s="12">
        <f>IF(LEFT(H31,5)="VALID",M31,"")</f>
        <v>504</v>
      </c>
      <c r="C31" s="12">
        <f>IF(LEFT(H31,5)="VALID",N31,"")</f>
        <v>713</v>
      </c>
      <c r="D31" s="10" t="s">
        <v>82</v>
      </c>
      <c r="E31" s="10" t="s">
        <v>121</v>
      </c>
      <c r="F31" s="10" t="s">
        <v>198</v>
      </c>
      <c r="G31" s="10" t="s">
        <v>186</v>
      </c>
      <c r="H31" s="11" t="str">
        <f>IF(OR(M31&lt;=0,N31&lt;=0),"SKIPPED - NONPOSITIVE",IF(OR(M31&lt;L31,N31&lt;L31),"SKIPPED - BELOW MIN",IF(OR(M31&gt;J31,N31&gt;K31),"SKIPPED - EXCEEDS BASE",IF(COUNTIFS($M$2:M30,M31,$N$2:N30,N31)&gt;0,"SKIPPED - DUPLICATE","VALID - GENERATED"))))</f>
        <v>VALID - GENERATED</v>
      </c>
      <c r="I31" s="10" t="s">
        <v>124</v>
      </c>
      <c r="J31" s="12">
        <f>'05-ISO Reference'!$B$5</f>
        <v>841</v>
      </c>
      <c r="K31" s="12">
        <f>'05-ISO Reference'!$C$5</f>
        <v>1189</v>
      </c>
      <c r="L31" s="12">
        <f>'01-Process Controls'!$G$5</f>
        <v>3</v>
      </c>
      <c r="M31" s="12">
        <f>ROUNDDOWN(J31*'04-Variant Rules'!$D$34,0)</f>
        <v>504</v>
      </c>
      <c r="N31" s="12">
        <f>ROUNDDOWN(K31*'04-Variant Rules'!$E$34,0)</f>
        <v>713</v>
      </c>
      <c r="O31" s="9">
        <v>29</v>
      </c>
    </row>
    <row r="32" spans="1:15" ht="21" customHeight="1">
      <c r="A32" s="9" t="s">
        <v>199</v>
      </c>
      <c r="B32" s="12">
        <f>IF(LEFT(H32,5)="VALID",M32,"")</f>
        <v>462</v>
      </c>
      <c r="C32" s="12">
        <f>IF(LEFT(H32,5)="VALID",N32,"")</f>
        <v>653</v>
      </c>
      <c r="D32" s="10" t="s">
        <v>82</v>
      </c>
      <c r="E32" s="10" t="s">
        <v>121</v>
      </c>
      <c r="F32" s="10" t="s">
        <v>200</v>
      </c>
      <c r="G32" s="10" t="s">
        <v>186</v>
      </c>
      <c r="H32" s="11" t="str">
        <f>IF(OR(M32&lt;=0,N32&lt;=0),"SKIPPED - NONPOSITIVE",IF(OR(M32&lt;L32,N32&lt;L32),"SKIPPED - BELOW MIN",IF(OR(M32&gt;J32,N32&gt;K32),"SKIPPED - EXCEEDS BASE",IF(COUNTIFS($M$2:M31,M32,$N$2:N31,N32)&gt;0,"SKIPPED - DUPLICATE","VALID - GENERATED"))))</f>
        <v>VALID - GENERATED</v>
      </c>
      <c r="I32" s="10" t="s">
        <v>124</v>
      </c>
      <c r="J32" s="12">
        <f>'05-ISO Reference'!$B$5</f>
        <v>841</v>
      </c>
      <c r="K32" s="12">
        <f>'05-ISO Reference'!$C$5</f>
        <v>1189</v>
      </c>
      <c r="L32" s="12">
        <f>'01-Process Controls'!$G$5</f>
        <v>3</v>
      </c>
      <c r="M32" s="12">
        <f>ROUNDDOWN(J32*'04-Variant Rules'!$D$35,0)</f>
        <v>462</v>
      </c>
      <c r="N32" s="12">
        <f>ROUNDDOWN(K32*'04-Variant Rules'!$E$35,0)</f>
        <v>653</v>
      </c>
      <c r="O32" s="9">
        <v>30</v>
      </c>
    </row>
    <row r="33" spans="1:15" ht="21" customHeight="1">
      <c r="A33" s="9" t="s">
        <v>201</v>
      </c>
      <c r="B33" s="12">
        <f>IF(LEFT(H33,5)="VALID",M33,"")</f>
        <v>378</v>
      </c>
      <c r="C33" s="12">
        <f>IF(LEFT(H33,5)="VALID",N33,"")</f>
        <v>535</v>
      </c>
      <c r="D33" s="10" t="s">
        <v>82</v>
      </c>
      <c r="E33" s="10" t="s">
        <v>121</v>
      </c>
      <c r="F33" s="10" t="s">
        <v>202</v>
      </c>
      <c r="G33" s="10" t="s">
        <v>186</v>
      </c>
      <c r="H33" s="11" t="str">
        <f>IF(OR(M33&lt;=0,N33&lt;=0),"SKIPPED - NONPOSITIVE",IF(OR(M33&lt;L33,N33&lt;L33),"SKIPPED - BELOW MIN",IF(OR(M33&gt;J33,N33&gt;K33),"SKIPPED - EXCEEDS BASE",IF(COUNTIFS($M$2:M32,M33,$N$2:N32,N33)&gt;0,"SKIPPED - DUPLICATE","VALID - GENERATED"))))</f>
        <v>VALID - GENERATED</v>
      </c>
      <c r="I33" s="10" t="s">
        <v>124</v>
      </c>
      <c r="J33" s="12">
        <f>'05-ISO Reference'!$B$5</f>
        <v>841</v>
      </c>
      <c r="K33" s="12">
        <f>'05-ISO Reference'!$C$5</f>
        <v>1189</v>
      </c>
      <c r="L33" s="12">
        <f>'01-Process Controls'!$G$5</f>
        <v>3</v>
      </c>
      <c r="M33" s="12">
        <f>ROUNDDOWN(J33*'04-Variant Rules'!$D$36,0)</f>
        <v>378</v>
      </c>
      <c r="N33" s="12">
        <f>ROUNDDOWN(K33*'04-Variant Rules'!$E$36,0)</f>
        <v>535</v>
      </c>
      <c r="O33" s="9">
        <v>31</v>
      </c>
    </row>
    <row r="34" spans="1:15" ht="21" customHeight="1">
      <c r="A34" s="9" t="s">
        <v>203</v>
      </c>
      <c r="B34" s="12">
        <f>IF(LEFT(H34,5)="VALID",M34,"")</f>
        <v>336</v>
      </c>
      <c r="C34" s="12">
        <f>IF(LEFT(H34,5)="VALID",N34,"")</f>
        <v>475</v>
      </c>
      <c r="D34" s="10" t="s">
        <v>82</v>
      </c>
      <c r="E34" s="10" t="s">
        <v>121</v>
      </c>
      <c r="F34" s="10" t="s">
        <v>204</v>
      </c>
      <c r="G34" s="10" t="s">
        <v>186</v>
      </c>
      <c r="H34" s="11" t="str">
        <f>IF(OR(M34&lt;=0,N34&lt;=0),"SKIPPED - NONPOSITIVE",IF(OR(M34&lt;L34,N34&lt;L34),"SKIPPED - BELOW MIN",IF(OR(M34&gt;J34,N34&gt;K34),"SKIPPED - EXCEEDS BASE",IF(COUNTIFS($M$2:M33,M34,$N$2:N33,N34)&gt;0,"SKIPPED - DUPLICATE","VALID - GENERATED"))))</f>
        <v>VALID - GENERATED</v>
      </c>
      <c r="I34" s="10" t="s">
        <v>124</v>
      </c>
      <c r="J34" s="12">
        <f>'05-ISO Reference'!$B$5</f>
        <v>841</v>
      </c>
      <c r="K34" s="12">
        <f>'05-ISO Reference'!$C$5</f>
        <v>1189</v>
      </c>
      <c r="L34" s="12">
        <f>'01-Process Controls'!$G$5</f>
        <v>3</v>
      </c>
      <c r="M34" s="12">
        <f>ROUNDDOWN(J34*'04-Variant Rules'!$D$37,0)</f>
        <v>336</v>
      </c>
      <c r="N34" s="12">
        <f>ROUNDDOWN(K34*'04-Variant Rules'!$E$37,0)</f>
        <v>475</v>
      </c>
      <c r="O34" s="9">
        <v>32</v>
      </c>
    </row>
    <row r="35" spans="1:15" ht="21" customHeight="1">
      <c r="A35" s="9" t="s">
        <v>205</v>
      </c>
      <c r="B35" s="12">
        <f>IF(LEFT(H35,5)="VALID",M35,"")</f>
        <v>294</v>
      </c>
      <c r="C35" s="12">
        <f>IF(LEFT(H35,5)="VALID",N35,"")</f>
        <v>416</v>
      </c>
      <c r="D35" s="10" t="s">
        <v>82</v>
      </c>
      <c r="E35" s="10" t="s">
        <v>121</v>
      </c>
      <c r="F35" s="10" t="s">
        <v>206</v>
      </c>
      <c r="G35" s="10" t="s">
        <v>186</v>
      </c>
      <c r="H35" s="11" t="str">
        <f>IF(OR(M35&lt;=0,N35&lt;=0),"SKIPPED - NONPOSITIVE",IF(OR(M35&lt;L35,N35&lt;L35),"SKIPPED - BELOW MIN",IF(OR(M35&gt;J35,N35&gt;K35),"SKIPPED - EXCEEDS BASE",IF(COUNTIFS($M$2:M34,M35,$N$2:N34,N35)&gt;0,"SKIPPED - DUPLICATE","VALID - GENERATED"))))</f>
        <v>VALID - GENERATED</v>
      </c>
      <c r="I35" s="10" t="s">
        <v>124</v>
      </c>
      <c r="J35" s="12">
        <f>'05-ISO Reference'!$B$5</f>
        <v>841</v>
      </c>
      <c r="K35" s="12">
        <f>'05-ISO Reference'!$C$5</f>
        <v>1189</v>
      </c>
      <c r="L35" s="12">
        <f>'01-Process Controls'!$G$5</f>
        <v>3</v>
      </c>
      <c r="M35" s="12">
        <f>ROUNDDOWN(J35*'04-Variant Rules'!$D$38,0)</f>
        <v>294</v>
      </c>
      <c r="N35" s="12">
        <f>ROUNDDOWN(K35*'04-Variant Rules'!$E$38,0)</f>
        <v>416</v>
      </c>
      <c r="O35" s="9">
        <v>33</v>
      </c>
    </row>
    <row r="36" spans="1:15" ht="21" customHeight="1">
      <c r="A36" s="9" t="s">
        <v>207</v>
      </c>
      <c r="B36" s="12">
        <f>IF(LEFT(H36,5)="VALID",M36,"")</f>
        <v>252</v>
      </c>
      <c r="C36" s="12">
        <f>IF(LEFT(H36,5)="VALID",N36,"")</f>
        <v>356</v>
      </c>
      <c r="D36" s="10" t="s">
        <v>82</v>
      </c>
      <c r="E36" s="10" t="s">
        <v>121</v>
      </c>
      <c r="F36" s="10" t="s">
        <v>208</v>
      </c>
      <c r="G36" s="10" t="s">
        <v>186</v>
      </c>
      <c r="H36" s="11" t="str">
        <f>IF(OR(M36&lt;=0,N36&lt;=0),"SKIPPED - NONPOSITIVE",IF(OR(M36&lt;L36,N36&lt;L36),"SKIPPED - BELOW MIN",IF(OR(M36&gt;J36,N36&gt;K36),"SKIPPED - EXCEEDS BASE",IF(COUNTIFS($M$2:M35,M36,$N$2:N35,N36)&gt;0,"SKIPPED - DUPLICATE","VALID - GENERATED"))))</f>
        <v>VALID - GENERATED</v>
      </c>
      <c r="I36" s="10" t="s">
        <v>124</v>
      </c>
      <c r="J36" s="12">
        <f>'05-ISO Reference'!$B$5</f>
        <v>841</v>
      </c>
      <c r="K36" s="12">
        <f>'05-ISO Reference'!$C$5</f>
        <v>1189</v>
      </c>
      <c r="L36" s="12">
        <f>'01-Process Controls'!$G$5</f>
        <v>3</v>
      </c>
      <c r="M36" s="12">
        <f>ROUNDDOWN(J36*'04-Variant Rules'!$D$39,0)</f>
        <v>252</v>
      </c>
      <c r="N36" s="12">
        <f>ROUNDDOWN(K36*'04-Variant Rules'!$E$39,0)</f>
        <v>356</v>
      </c>
      <c r="O36" s="9">
        <v>34</v>
      </c>
    </row>
    <row r="37" spans="1:15" ht="21" customHeight="1">
      <c r="A37" s="9" t="s">
        <v>209</v>
      </c>
      <c r="B37" s="12">
        <f>IF(LEFT(H37,5)="VALID",M37,"")</f>
        <v>168</v>
      </c>
      <c r="C37" s="12">
        <f>IF(LEFT(H37,5)="VALID",N37,"")</f>
        <v>237</v>
      </c>
      <c r="D37" s="10" t="s">
        <v>82</v>
      </c>
      <c r="E37" s="10" t="s">
        <v>121</v>
      </c>
      <c r="F37" s="10" t="s">
        <v>210</v>
      </c>
      <c r="G37" s="10" t="s">
        <v>186</v>
      </c>
      <c r="H37" s="11" t="str">
        <f>IF(OR(M37&lt;=0,N37&lt;=0),"SKIPPED - NONPOSITIVE",IF(OR(M37&lt;L37,N37&lt;L37),"SKIPPED - BELOW MIN",IF(OR(M37&gt;J37,N37&gt;K37),"SKIPPED - EXCEEDS BASE",IF(COUNTIFS($M$2:M36,M37,$N$2:N36,N37)&gt;0,"SKIPPED - DUPLICATE","VALID - GENERATED"))))</f>
        <v>VALID - GENERATED</v>
      </c>
      <c r="I37" s="10" t="s">
        <v>124</v>
      </c>
      <c r="J37" s="12">
        <f>'05-ISO Reference'!$B$5</f>
        <v>841</v>
      </c>
      <c r="K37" s="12">
        <f>'05-ISO Reference'!$C$5</f>
        <v>1189</v>
      </c>
      <c r="L37" s="12">
        <f>'01-Process Controls'!$G$5</f>
        <v>3</v>
      </c>
      <c r="M37" s="12">
        <f>ROUNDDOWN(J37*'04-Variant Rules'!$D$40,0)</f>
        <v>168</v>
      </c>
      <c r="N37" s="12">
        <f>ROUNDDOWN(K37*'04-Variant Rules'!$E$40,0)</f>
        <v>237</v>
      </c>
      <c r="O37" s="9">
        <v>35</v>
      </c>
    </row>
    <row r="38" spans="1:15" ht="21" customHeight="1">
      <c r="A38" s="9" t="s">
        <v>211</v>
      </c>
      <c r="B38" s="12">
        <f>IF(LEFT(H38,5)="VALID",M38,"")</f>
        <v>126</v>
      </c>
      <c r="C38" s="12">
        <f>IF(LEFT(H38,5)="VALID",N38,"")</f>
        <v>178</v>
      </c>
      <c r="D38" s="10" t="s">
        <v>82</v>
      </c>
      <c r="E38" s="10" t="s">
        <v>121</v>
      </c>
      <c r="F38" s="10" t="s">
        <v>212</v>
      </c>
      <c r="G38" s="10" t="s">
        <v>213</v>
      </c>
      <c r="H38" s="11" t="str">
        <f>IF(OR(M38&lt;=0,N38&lt;=0),"SKIPPED - NONPOSITIVE",IF(OR(M38&lt;L38,N38&lt;L38),"SKIPPED - BELOW MIN",IF(OR(M38&gt;J38,N38&gt;K38),"SKIPPED - EXCEEDS BASE",IF(COUNTIFS($M$2:M37,M38,$N$2:N37,N38)&gt;0,"SKIPPED - DUPLICATE","VALID - GENERATED"))))</f>
        <v>VALID - GENERATED</v>
      </c>
      <c r="I38" s="10" t="s">
        <v>124</v>
      </c>
      <c r="J38" s="12">
        <f>'05-ISO Reference'!$B$5</f>
        <v>841</v>
      </c>
      <c r="K38" s="12">
        <f>'05-ISO Reference'!$C$5</f>
        <v>1189</v>
      </c>
      <c r="L38" s="12">
        <f>'01-Process Controls'!$G$5</f>
        <v>3</v>
      </c>
      <c r="M38" s="12">
        <f>ROUNDDOWN(J38*'04-Variant Rules'!$D$41,0)</f>
        <v>126</v>
      </c>
      <c r="N38" s="12">
        <f>ROUNDDOWN(K38*'04-Variant Rules'!$E$41,0)</f>
        <v>178</v>
      </c>
      <c r="O38" s="9">
        <v>36</v>
      </c>
    </row>
    <row r="39" spans="1:15" ht="21" customHeight="1">
      <c r="A39" s="9" t="s">
        <v>214</v>
      </c>
      <c r="B39" s="12">
        <f>IF(LEFT(H39,5)="VALID",M39,"")</f>
        <v>841</v>
      </c>
      <c r="C39" s="12">
        <f>IF(LEFT(H39,5)="VALID",N39,"")</f>
        <v>841</v>
      </c>
      <c r="D39" s="10" t="s">
        <v>82</v>
      </c>
      <c r="E39" s="10" t="s">
        <v>121</v>
      </c>
      <c r="F39" s="10" t="s">
        <v>215</v>
      </c>
      <c r="G39" s="10" t="s">
        <v>216</v>
      </c>
      <c r="H39" s="11" t="str">
        <f>IF(OR(M39&lt;=0,N39&lt;=0),"SKIPPED - NONPOSITIVE",IF(OR(M39&lt;L39,N39&lt;L39),"SKIPPED - BELOW MIN",IF(OR(M39&gt;J39,N39&gt;K39),"SKIPPED - EXCEEDS BASE",IF(COUNTIFS($M$2:M38,M39,$N$2:N38,N39)&gt;0,"SKIPPED - DUPLICATE","VALID - GENERATED"))))</f>
        <v>VALID - GENERATED</v>
      </c>
      <c r="I39" s="10" t="s">
        <v>124</v>
      </c>
      <c r="J39" s="12">
        <f>'05-ISO Reference'!$B$5</f>
        <v>841</v>
      </c>
      <c r="K39" s="12">
        <f>'05-ISO Reference'!$C$5</f>
        <v>1189</v>
      </c>
      <c r="L39" s="12">
        <f>'01-Process Controls'!$G$5</f>
        <v>3</v>
      </c>
      <c r="M39" s="12">
        <f>ROUNDDOWN(MIN(J39,K39)*'04-Variant Rules'!$D$42,0)</f>
        <v>841</v>
      </c>
      <c r="N39" s="12">
        <f>ROUNDDOWN(MIN(J39,K39)*'04-Variant Rules'!$D$42,0)</f>
        <v>841</v>
      </c>
      <c r="O39" s="9">
        <v>37</v>
      </c>
    </row>
    <row r="40" spans="1:15" ht="21" customHeight="1">
      <c r="A40" s="9" t="s">
        <v>217</v>
      </c>
      <c r="B40" s="12">
        <f>IF(LEFT(H40,5)="VALID",M40,"")</f>
        <v>756</v>
      </c>
      <c r="C40" s="12">
        <f>IF(LEFT(H40,5)="VALID",N40,"")</f>
        <v>756</v>
      </c>
      <c r="D40" s="10" t="s">
        <v>82</v>
      </c>
      <c r="E40" s="10" t="s">
        <v>121</v>
      </c>
      <c r="F40" s="10" t="s">
        <v>218</v>
      </c>
      <c r="G40" s="10" t="s">
        <v>219</v>
      </c>
      <c r="H40" s="11" t="str">
        <f>IF(OR(M40&lt;=0,N40&lt;=0),"SKIPPED - NONPOSITIVE",IF(OR(M40&lt;L40,N40&lt;L40),"SKIPPED - BELOW MIN",IF(OR(M40&gt;J40,N40&gt;K40),"SKIPPED - EXCEEDS BASE",IF(COUNTIFS($M$2:M39,M40,$N$2:N39,N40)&gt;0,"SKIPPED - DUPLICATE","VALID - GENERATED"))))</f>
        <v>VALID - GENERATED</v>
      </c>
      <c r="I40" s="10" t="s">
        <v>124</v>
      </c>
      <c r="J40" s="12">
        <f>'05-ISO Reference'!$B$5</f>
        <v>841</v>
      </c>
      <c r="K40" s="12">
        <f>'05-ISO Reference'!$C$5</f>
        <v>1189</v>
      </c>
      <c r="L40" s="12">
        <f>'01-Process Controls'!$G$5</f>
        <v>3</v>
      </c>
      <c r="M40" s="12">
        <f>ROUNDDOWN(MIN(J40,K40)*'04-Variant Rules'!$D$43,0)</f>
        <v>756</v>
      </c>
      <c r="N40" s="12">
        <f>ROUNDDOWN(MIN(J40,K40)*'04-Variant Rules'!$D$43,0)</f>
        <v>756</v>
      </c>
      <c r="O40" s="9">
        <v>38</v>
      </c>
    </row>
    <row r="41" spans="1:15" ht="21" customHeight="1">
      <c r="A41" s="9" t="s">
        <v>220</v>
      </c>
      <c r="B41" s="12">
        <f>IF(LEFT(H41,5)="VALID",M41,"")</f>
        <v>672</v>
      </c>
      <c r="C41" s="12">
        <f>IF(LEFT(H41,5)="VALID",N41,"")</f>
        <v>672</v>
      </c>
      <c r="D41" s="10" t="s">
        <v>82</v>
      </c>
      <c r="E41" s="10" t="s">
        <v>121</v>
      </c>
      <c r="F41" s="10" t="s">
        <v>221</v>
      </c>
      <c r="G41" s="10" t="s">
        <v>219</v>
      </c>
      <c r="H41" s="11" t="str">
        <f>IF(OR(M41&lt;=0,N41&lt;=0),"SKIPPED - NONPOSITIVE",IF(OR(M41&lt;L41,N41&lt;L41),"SKIPPED - BELOW MIN",IF(OR(M41&gt;J41,N41&gt;K41),"SKIPPED - EXCEEDS BASE",IF(COUNTIFS($M$2:M40,M41,$N$2:N40,N41)&gt;0,"SKIPPED - DUPLICATE","VALID - GENERATED"))))</f>
        <v>VALID - GENERATED</v>
      </c>
      <c r="I41" s="10" t="s">
        <v>124</v>
      </c>
      <c r="J41" s="12">
        <f>'05-ISO Reference'!$B$5</f>
        <v>841</v>
      </c>
      <c r="K41" s="12">
        <f>'05-ISO Reference'!$C$5</f>
        <v>1189</v>
      </c>
      <c r="L41" s="12">
        <f>'01-Process Controls'!$G$5</f>
        <v>3</v>
      </c>
      <c r="M41" s="12">
        <f>ROUNDDOWN(MIN(J41,K41)*'04-Variant Rules'!$D$44,0)</f>
        <v>672</v>
      </c>
      <c r="N41" s="12">
        <f>ROUNDDOWN(MIN(J41,K41)*'04-Variant Rules'!$D$44,0)</f>
        <v>672</v>
      </c>
      <c r="O41" s="9">
        <v>39</v>
      </c>
    </row>
    <row r="42" spans="1:15" ht="21" customHeight="1">
      <c r="A42" s="9" t="s">
        <v>222</v>
      </c>
      <c r="B42" s="12">
        <f>IF(LEFT(H42,5)="VALID",M42,"")</f>
        <v>630</v>
      </c>
      <c r="C42" s="12">
        <f>IF(LEFT(H42,5)="VALID",N42,"")</f>
        <v>630</v>
      </c>
      <c r="D42" s="10" t="s">
        <v>82</v>
      </c>
      <c r="E42" s="10" t="s">
        <v>121</v>
      </c>
      <c r="F42" s="10" t="s">
        <v>223</v>
      </c>
      <c r="G42" s="10" t="s">
        <v>219</v>
      </c>
      <c r="H42" s="11" t="str">
        <f>IF(OR(M42&lt;=0,N42&lt;=0),"SKIPPED - NONPOSITIVE",IF(OR(M42&lt;L42,N42&lt;L42),"SKIPPED - BELOW MIN",IF(OR(M42&gt;J42,N42&gt;K42),"SKIPPED - EXCEEDS BASE",IF(COUNTIFS($M$2:M41,M42,$N$2:N41,N42)&gt;0,"SKIPPED - DUPLICATE","VALID - GENERATED"))))</f>
        <v>VALID - GENERATED</v>
      </c>
      <c r="I42" s="10" t="s">
        <v>124</v>
      </c>
      <c r="J42" s="12">
        <f>'05-ISO Reference'!$B$5</f>
        <v>841</v>
      </c>
      <c r="K42" s="12">
        <f>'05-ISO Reference'!$C$5</f>
        <v>1189</v>
      </c>
      <c r="L42" s="12">
        <f>'01-Process Controls'!$G$5</f>
        <v>3</v>
      </c>
      <c r="M42" s="12">
        <f>ROUNDDOWN(MIN(J42,K42)*'04-Variant Rules'!$D$45,0)</f>
        <v>630</v>
      </c>
      <c r="N42" s="12">
        <f>ROUNDDOWN(MIN(J42,K42)*'04-Variant Rules'!$D$45,0)</f>
        <v>630</v>
      </c>
      <c r="O42" s="9">
        <v>40</v>
      </c>
    </row>
    <row r="43" spans="1:15" ht="21" customHeight="1">
      <c r="A43" s="9" t="s">
        <v>224</v>
      </c>
      <c r="B43" s="12">
        <f>IF(LEFT(H43,5)="VALID",M43,"")</f>
        <v>560</v>
      </c>
      <c r="C43" s="12">
        <f>IF(LEFT(H43,5)="VALID",N43,"")</f>
        <v>560</v>
      </c>
      <c r="D43" s="10" t="s">
        <v>82</v>
      </c>
      <c r="E43" s="10" t="s">
        <v>121</v>
      </c>
      <c r="F43" s="10" t="s">
        <v>225</v>
      </c>
      <c r="G43" s="10" t="s">
        <v>219</v>
      </c>
      <c r="H43" s="11" t="str">
        <f>IF(OR(M43&lt;=0,N43&lt;=0),"SKIPPED - NONPOSITIVE",IF(OR(M43&lt;L43,N43&lt;L43),"SKIPPED - BELOW MIN",IF(OR(M43&gt;J43,N43&gt;K43),"SKIPPED - EXCEEDS BASE",IF(COUNTIFS($M$2:M42,M43,$N$2:N42,N43)&gt;0,"SKIPPED - DUPLICATE","VALID - GENERATED"))))</f>
        <v>VALID - GENERATED</v>
      </c>
      <c r="I43" s="10" t="s">
        <v>124</v>
      </c>
      <c r="J43" s="12">
        <f>'05-ISO Reference'!$B$5</f>
        <v>841</v>
      </c>
      <c r="K43" s="12">
        <f>'05-ISO Reference'!$C$5</f>
        <v>1189</v>
      </c>
      <c r="L43" s="12">
        <f>'01-Process Controls'!$G$5</f>
        <v>3</v>
      </c>
      <c r="M43" s="12">
        <f>ROUNDDOWN(MIN(J43,K43)*'04-Variant Rules'!$D$46,0)</f>
        <v>560</v>
      </c>
      <c r="N43" s="12">
        <f>ROUNDDOWN(MIN(J43,K43)*'04-Variant Rules'!$D$46,0)</f>
        <v>560</v>
      </c>
      <c r="O43" s="9">
        <v>41</v>
      </c>
    </row>
    <row r="44" spans="1:15" ht="21" customHeight="1">
      <c r="A44" s="9" t="s">
        <v>226</v>
      </c>
      <c r="B44" s="12">
        <f>IF(LEFT(H44,5)="VALID",M44,"")</f>
        <v>504</v>
      </c>
      <c r="C44" s="12">
        <f>IF(LEFT(H44,5)="VALID",N44,"")</f>
        <v>504</v>
      </c>
      <c r="D44" s="10" t="s">
        <v>82</v>
      </c>
      <c r="E44" s="10" t="s">
        <v>121</v>
      </c>
      <c r="F44" s="10" t="s">
        <v>227</v>
      </c>
      <c r="G44" s="10" t="s">
        <v>219</v>
      </c>
      <c r="H44" s="11" t="str">
        <f>IF(OR(M44&lt;=0,N44&lt;=0),"SKIPPED - NONPOSITIVE",IF(OR(M44&lt;L44,N44&lt;L44),"SKIPPED - BELOW MIN",IF(OR(M44&gt;J44,N44&gt;K44),"SKIPPED - EXCEEDS BASE",IF(COUNTIFS($M$2:M43,M44,$N$2:N43,N44)&gt;0,"SKIPPED - DUPLICATE","VALID - GENERATED"))))</f>
        <v>VALID - GENERATED</v>
      </c>
      <c r="I44" s="10" t="s">
        <v>124</v>
      </c>
      <c r="J44" s="12">
        <f>'05-ISO Reference'!$B$5</f>
        <v>841</v>
      </c>
      <c r="K44" s="12">
        <f>'05-ISO Reference'!$C$5</f>
        <v>1189</v>
      </c>
      <c r="L44" s="12">
        <f>'01-Process Controls'!$G$5</f>
        <v>3</v>
      </c>
      <c r="M44" s="12">
        <f>ROUNDDOWN(MIN(J44,K44)*'04-Variant Rules'!$D$47,0)</f>
        <v>504</v>
      </c>
      <c r="N44" s="12">
        <f>ROUNDDOWN(MIN(J44,K44)*'04-Variant Rules'!$D$47,0)</f>
        <v>504</v>
      </c>
      <c r="O44" s="9">
        <v>42</v>
      </c>
    </row>
    <row r="45" spans="1:15" ht="21" customHeight="1">
      <c r="A45" s="9" t="s">
        <v>228</v>
      </c>
      <c r="B45" s="12">
        <f>IF(LEFT(H45,5)="VALID",M45,"")</f>
        <v>420</v>
      </c>
      <c r="C45" s="12">
        <f>IF(LEFT(H45,5)="VALID",N45,"")</f>
        <v>420</v>
      </c>
      <c r="D45" s="10" t="s">
        <v>82</v>
      </c>
      <c r="E45" s="10" t="s">
        <v>121</v>
      </c>
      <c r="F45" s="10" t="s">
        <v>229</v>
      </c>
      <c r="G45" s="10" t="s">
        <v>219</v>
      </c>
      <c r="H45" s="11" t="str">
        <f>IF(OR(M45&lt;=0,N45&lt;=0),"SKIPPED - NONPOSITIVE",IF(OR(M45&lt;L45,N45&lt;L45),"SKIPPED - BELOW MIN",IF(OR(M45&gt;J45,N45&gt;K45),"SKIPPED - EXCEEDS BASE",IF(COUNTIFS($M$2:M44,M45,$N$2:N44,N45)&gt;0,"SKIPPED - DUPLICATE","VALID - GENERATED"))))</f>
        <v>VALID - GENERATED</v>
      </c>
      <c r="I45" s="10" t="s">
        <v>124</v>
      </c>
      <c r="J45" s="12">
        <f>'05-ISO Reference'!$B$5</f>
        <v>841</v>
      </c>
      <c r="K45" s="12">
        <f>'05-ISO Reference'!$C$5</f>
        <v>1189</v>
      </c>
      <c r="L45" s="12">
        <f>'01-Process Controls'!$G$5</f>
        <v>3</v>
      </c>
      <c r="M45" s="12">
        <f>ROUNDDOWN(MIN(J45,K45)*'04-Variant Rules'!$D$48,0)</f>
        <v>420</v>
      </c>
      <c r="N45" s="12">
        <f>ROUNDDOWN(MIN(J45,K45)*'04-Variant Rules'!$D$48,0)</f>
        <v>420</v>
      </c>
      <c r="O45" s="9">
        <v>43</v>
      </c>
    </row>
    <row r="46" spans="1:15" ht="21" customHeight="1">
      <c r="A46" s="9" t="s">
        <v>230</v>
      </c>
      <c r="B46" s="12">
        <f>IF(LEFT(H46,5)="VALID",M46,"")</f>
        <v>336</v>
      </c>
      <c r="C46" s="12">
        <f>IF(LEFT(H46,5)="VALID",N46,"")</f>
        <v>336</v>
      </c>
      <c r="D46" s="10" t="s">
        <v>82</v>
      </c>
      <c r="E46" s="10" t="s">
        <v>121</v>
      </c>
      <c r="F46" s="10" t="s">
        <v>231</v>
      </c>
      <c r="G46" s="10" t="s">
        <v>219</v>
      </c>
      <c r="H46" s="11" t="str">
        <f>IF(OR(M46&lt;=0,N46&lt;=0),"SKIPPED - NONPOSITIVE",IF(OR(M46&lt;L46,N46&lt;L46),"SKIPPED - BELOW MIN",IF(OR(M46&gt;J46,N46&gt;K46),"SKIPPED - EXCEEDS BASE",IF(COUNTIFS($M$2:M45,M46,$N$2:N45,N46)&gt;0,"SKIPPED - DUPLICATE","VALID - GENERATED"))))</f>
        <v>VALID - GENERATED</v>
      </c>
      <c r="I46" s="10" t="s">
        <v>124</v>
      </c>
      <c r="J46" s="12">
        <f>'05-ISO Reference'!$B$5</f>
        <v>841</v>
      </c>
      <c r="K46" s="12">
        <f>'05-ISO Reference'!$C$5</f>
        <v>1189</v>
      </c>
      <c r="L46" s="12">
        <f>'01-Process Controls'!$G$5</f>
        <v>3</v>
      </c>
      <c r="M46" s="12">
        <f>ROUNDDOWN(MIN(J46,K46)*'04-Variant Rules'!$D$49,0)</f>
        <v>336</v>
      </c>
      <c r="N46" s="12">
        <f>ROUNDDOWN(MIN(J46,K46)*'04-Variant Rules'!$D$49,0)</f>
        <v>336</v>
      </c>
      <c r="O46" s="9">
        <v>44</v>
      </c>
    </row>
    <row r="47" spans="1:15" ht="21" customHeight="1">
      <c r="A47" s="9" t="s">
        <v>232</v>
      </c>
      <c r="B47" s="12">
        <f>IF(LEFT(H47,5)="VALID",M47,"")</f>
        <v>280</v>
      </c>
      <c r="C47" s="12">
        <f>IF(LEFT(H47,5)="VALID",N47,"")</f>
        <v>280</v>
      </c>
      <c r="D47" s="10" t="s">
        <v>82</v>
      </c>
      <c r="E47" s="10" t="s">
        <v>121</v>
      </c>
      <c r="F47" s="10" t="s">
        <v>233</v>
      </c>
      <c r="G47" s="10" t="s">
        <v>219</v>
      </c>
      <c r="H47" s="11" t="str">
        <f>IF(OR(M47&lt;=0,N47&lt;=0),"SKIPPED - NONPOSITIVE",IF(OR(M47&lt;L47,N47&lt;L47),"SKIPPED - BELOW MIN",IF(OR(M47&gt;J47,N47&gt;K47),"SKIPPED - EXCEEDS BASE",IF(COUNTIFS($M$2:M46,M47,$N$2:N46,N47)&gt;0,"SKIPPED - DUPLICATE","VALID - GENERATED"))))</f>
        <v>VALID - GENERATED</v>
      </c>
      <c r="I47" s="10" t="s">
        <v>124</v>
      </c>
      <c r="J47" s="12">
        <f>'05-ISO Reference'!$B$5</f>
        <v>841</v>
      </c>
      <c r="K47" s="12">
        <f>'05-ISO Reference'!$C$5</f>
        <v>1189</v>
      </c>
      <c r="L47" s="12">
        <f>'01-Process Controls'!$G$5</f>
        <v>3</v>
      </c>
      <c r="M47" s="12">
        <f>ROUNDDOWN(MIN(J47,K47)*'04-Variant Rules'!$D$50,0)</f>
        <v>280</v>
      </c>
      <c r="N47" s="12">
        <f>ROUNDDOWN(MIN(J47,K47)*'04-Variant Rules'!$D$50,0)</f>
        <v>280</v>
      </c>
      <c r="O47" s="9">
        <v>45</v>
      </c>
    </row>
    <row r="48" spans="1:15" ht="21" customHeight="1">
      <c r="A48" s="9" t="s">
        <v>234</v>
      </c>
      <c r="B48" s="12">
        <f>IF(LEFT(H48,5)="VALID",M48,"")</f>
        <v>210</v>
      </c>
      <c r="C48" s="12">
        <f>IF(LEFT(H48,5)="VALID",N48,"")</f>
        <v>210</v>
      </c>
      <c r="D48" s="10" t="s">
        <v>82</v>
      </c>
      <c r="E48" s="10" t="s">
        <v>121</v>
      </c>
      <c r="F48" s="10" t="s">
        <v>235</v>
      </c>
      <c r="G48" s="10" t="s">
        <v>219</v>
      </c>
      <c r="H48" s="11" t="str">
        <f>IF(OR(M48&lt;=0,N48&lt;=0),"SKIPPED - NONPOSITIVE",IF(OR(M48&lt;L48,N48&lt;L48),"SKIPPED - BELOW MIN",IF(OR(M48&gt;J48,N48&gt;K48),"SKIPPED - EXCEEDS BASE",IF(COUNTIFS($M$2:M47,M48,$N$2:N47,N48)&gt;0,"SKIPPED - DUPLICATE","VALID - GENERATED"))))</f>
        <v>VALID - GENERATED</v>
      </c>
      <c r="I48" s="10" t="s">
        <v>124</v>
      </c>
      <c r="J48" s="12">
        <f>'05-ISO Reference'!$B$5</f>
        <v>841</v>
      </c>
      <c r="K48" s="12">
        <f>'05-ISO Reference'!$C$5</f>
        <v>1189</v>
      </c>
      <c r="L48" s="12">
        <f>'01-Process Controls'!$G$5</f>
        <v>3</v>
      </c>
      <c r="M48" s="12">
        <f>ROUNDDOWN(MIN(J48,K48)*'04-Variant Rules'!$D$51,0)</f>
        <v>210</v>
      </c>
      <c r="N48" s="12">
        <f>ROUNDDOWN(MIN(J48,K48)*'04-Variant Rules'!$D$51,0)</f>
        <v>210</v>
      </c>
      <c r="O48" s="9">
        <v>46</v>
      </c>
    </row>
    <row r="49" spans="1:15" ht="21" customHeight="1">
      <c r="A49" s="9" t="s">
        <v>236</v>
      </c>
      <c r="B49" s="12">
        <f>IF(LEFT(H49,5)="VALID",M49,"")</f>
        <v>168</v>
      </c>
      <c r="C49" s="12">
        <f>IF(LEFT(H49,5)="VALID",N49,"")</f>
        <v>168</v>
      </c>
      <c r="D49" s="10" t="s">
        <v>82</v>
      </c>
      <c r="E49" s="10" t="s">
        <v>121</v>
      </c>
      <c r="F49" s="10" t="s">
        <v>237</v>
      </c>
      <c r="G49" s="10" t="s">
        <v>219</v>
      </c>
      <c r="H49" s="11" t="str">
        <f>IF(OR(M49&lt;=0,N49&lt;=0),"SKIPPED - NONPOSITIVE",IF(OR(M49&lt;L49,N49&lt;L49),"SKIPPED - BELOW MIN",IF(OR(M49&gt;J49,N49&gt;K49),"SKIPPED - EXCEEDS BASE",IF(COUNTIFS($M$2:M48,M49,$N$2:N48,N49)&gt;0,"SKIPPED - DUPLICATE","VALID - GENERATED"))))</f>
        <v>VALID - GENERATED</v>
      </c>
      <c r="I49" s="10" t="s">
        <v>124</v>
      </c>
      <c r="J49" s="12">
        <f>'05-ISO Reference'!$B$5</f>
        <v>841</v>
      </c>
      <c r="K49" s="12">
        <f>'05-ISO Reference'!$C$5</f>
        <v>1189</v>
      </c>
      <c r="L49" s="12">
        <f>'01-Process Controls'!$G$5</f>
        <v>3</v>
      </c>
      <c r="M49" s="12">
        <f>ROUNDDOWN(MIN(J49,K49)*'04-Variant Rules'!$D$52,0)</f>
        <v>168</v>
      </c>
      <c r="N49" s="12">
        <f>ROUNDDOWN(MIN(J49,K49)*'04-Variant Rules'!$D$52,0)</f>
        <v>168</v>
      </c>
      <c r="O49" s="9">
        <v>47</v>
      </c>
    </row>
    <row r="50" spans="1:15" ht="21" customHeight="1">
      <c r="A50" s="9" t="s">
        <v>238</v>
      </c>
      <c r="B50" s="12">
        <f>IF(LEFT(H50,5)="VALID",M50,"")</f>
        <v>841</v>
      </c>
      <c r="C50" s="12">
        <f>IF(LEFT(H50,5)="VALID",N50,"")</f>
        <v>630</v>
      </c>
      <c r="D50" s="10" t="s">
        <v>82</v>
      </c>
      <c r="E50" s="10" t="s">
        <v>121</v>
      </c>
      <c r="F50" s="10" t="s">
        <v>239</v>
      </c>
      <c r="G50" s="10" t="s">
        <v>240</v>
      </c>
      <c r="H50" s="11" t="str">
        <f>IF(OR(M50&lt;=0,N50&lt;=0),"SKIPPED - NONPOSITIVE",IF(OR(M50&lt;L50,N50&lt;L50),"SKIPPED - BELOW MIN",IF(OR(M50&gt;J50,N50&gt;K50),"SKIPPED - EXCEEDS BASE",IF(COUNTIFS($M$2:M49,M50,$N$2:N49,N50)&gt;0,"SKIPPED - DUPLICATE","VALID - GENERATED"))))</f>
        <v>VALID - GENERATED</v>
      </c>
      <c r="I50" s="10" t="s">
        <v>124</v>
      </c>
      <c r="J50" s="12">
        <f>'05-ISO Reference'!$B$5</f>
        <v>841</v>
      </c>
      <c r="K50" s="12">
        <f>'05-ISO Reference'!$C$5</f>
        <v>1189</v>
      </c>
      <c r="L50" s="12">
        <f>'01-Process Controls'!$G$5</f>
        <v>3</v>
      </c>
      <c r="M50" s="12">
        <f>ROUNDDOWN(MIN(J50,K50*'04-Variant Rules'!$D$53),0)</f>
        <v>841</v>
      </c>
      <c r="N50" s="12">
        <f>ROUNDDOWN(M50/'04-Variant Rules'!$D$53,0)</f>
        <v>630</v>
      </c>
      <c r="O50" s="9">
        <v>48</v>
      </c>
    </row>
    <row r="51" spans="1:15" ht="21" customHeight="1">
      <c r="A51" s="9" t="s">
        <v>241</v>
      </c>
      <c r="B51" s="12">
        <f>IF(LEFT(H51,5)="VALID",M51,"")</f>
        <v>841</v>
      </c>
      <c r="C51" s="12">
        <f>IF(LEFT(H51,5)="VALID",N51,"")</f>
        <v>1121</v>
      </c>
      <c r="D51" s="10" t="s">
        <v>82</v>
      </c>
      <c r="E51" s="10" t="s">
        <v>121</v>
      </c>
      <c r="F51" s="10" t="s">
        <v>242</v>
      </c>
      <c r="G51" s="10" t="s">
        <v>243</v>
      </c>
      <c r="H51" s="11" t="str">
        <f>IF(OR(M51&lt;=0,N51&lt;=0),"SKIPPED - NONPOSITIVE",IF(OR(M51&lt;L51,N51&lt;L51),"SKIPPED - BELOW MIN",IF(OR(M51&gt;J51,N51&gt;K51),"SKIPPED - EXCEEDS BASE",IF(COUNTIFS($M$2:M50,M51,$N$2:N50,N51)&gt;0,"SKIPPED - DUPLICATE","VALID - GENERATED"))))</f>
        <v>VALID - GENERATED</v>
      </c>
      <c r="I51" s="10" t="s">
        <v>124</v>
      </c>
      <c r="J51" s="12">
        <f>'05-ISO Reference'!$B$5</f>
        <v>841</v>
      </c>
      <c r="K51" s="12">
        <f>'05-ISO Reference'!$C$5</f>
        <v>1189</v>
      </c>
      <c r="L51" s="12">
        <f>'01-Process Controls'!$G$5</f>
        <v>3</v>
      </c>
      <c r="M51" s="12">
        <f>ROUNDDOWN(MIN(J51,K51*'04-Variant Rules'!$D$54),0)</f>
        <v>841</v>
      </c>
      <c r="N51" s="12">
        <f>ROUNDDOWN(M51/'04-Variant Rules'!$D$54,0)</f>
        <v>1121</v>
      </c>
      <c r="O51" s="9">
        <v>49</v>
      </c>
    </row>
    <row r="52" spans="1:15" ht="21" customHeight="1">
      <c r="A52" s="9" t="s">
        <v>244</v>
      </c>
      <c r="B52" s="12">
        <f>IF(LEFT(H52,5)="VALID",M52,"")</f>
        <v>841</v>
      </c>
      <c r="C52" s="12">
        <f>IF(LEFT(H52,5)="VALID",N52,"")</f>
        <v>560</v>
      </c>
      <c r="D52" s="10" t="s">
        <v>82</v>
      </c>
      <c r="E52" s="10" t="s">
        <v>121</v>
      </c>
      <c r="F52" s="10" t="s">
        <v>245</v>
      </c>
      <c r="G52" s="10" t="s">
        <v>246</v>
      </c>
      <c r="H52" s="11" t="str">
        <f>IF(OR(M52&lt;=0,N52&lt;=0),"SKIPPED - NONPOSITIVE",IF(OR(M52&lt;L52,N52&lt;L52),"SKIPPED - BELOW MIN",IF(OR(M52&gt;J52,N52&gt;K52),"SKIPPED - EXCEEDS BASE",IF(COUNTIFS($M$2:M51,M52,$N$2:N51,N52)&gt;0,"SKIPPED - DUPLICATE","VALID - GENERATED"))))</f>
        <v>VALID - GENERATED</v>
      </c>
      <c r="I52" s="10" t="s">
        <v>124</v>
      </c>
      <c r="J52" s="12">
        <f>'05-ISO Reference'!$B$5</f>
        <v>841</v>
      </c>
      <c r="K52" s="12">
        <f>'05-ISO Reference'!$C$5</f>
        <v>1189</v>
      </c>
      <c r="L52" s="12">
        <f>'01-Process Controls'!$G$5</f>
        <v>3</v>
      </c>
      <c r="M52" s="12">
        <f>ROUNDDOWN(MIN(J52,K52*'04-Variant Rules'!$D$55),0)</f>
        <v>841</v>
      </c>
      <c r="N52" s="12">
        <f>ROUNDDOWN(M52/'04-Variant Rules'!$D$55,0)</f>
        <v>560</v>
      </c>
      <c r="O52" s="9">
        <v>50</v>
      </c>
    </row>
    <row r="53" spans="1:15" ht="21" customHeight="1">
      <c r="A53" s="9" t="s">
        <v>247</v>
      </c>
      <c r="B53" s="12">
        <f>IF(LEFT(H53,5)="VALID",M53,"")</f>
        <v>792</v>
      </c>
      <c r="C53" s="12">
        <f>IF(LEFT(H53,5)="VALID",N53,"")</f>
        <v>1188</v>
      </c>
      <c r="D53" s="10" t="s">
        <v>82</v>
      </c>
      <c r="E53" s="10" t="s">
        <v>121</v>
      </c>
      <c r="F53" s="10" t="s">
        <v>248</v>
      </c>
      <c r="G53" s="10" t="s">
        <v>249</v>
      </c>
      <c r="H53" s="11" t="str">
        <f>IF(OR(M53&lt;=0,N53&lt;=0),"SKIPPED - NONPOSITIVE",IF(OR(M53&lt;L53,N53&lt;L53),"SKIPPED - BELOW MIN",IF(OR(M53&gt;J53,N53&gt;K53),"SKIPPED - EXCEEDS BASE",IF(COUNTIFS($M$2:M52,M53,$N$2:N52,N53)&gt;0,"SKIPPED - DUPLICATE","VALID - GENERATED"))))</f>
        <v>VALID - GENERATED</v>
      </c>
      <c r="I53" s="10" t="s">
        <v>124</v>
      </c>
      <c r="J53" s="12">
        <f>'05-ISO Reference'!$B$5</f>
        <v>841</v>
      </c>
      <c r="K53" s="12">
        <f>'05-ISO Reference'!$C$5</f>
        <v>1189</v>
      </c>
      <c r="L53" s="12">
        <f>'01-Process Controls'!$G$5</f>
        <v>3</v>
      </c>
      <c r="M53" s="12">
        <f>ROUNDDOWN(MIN(J53,K53*'04-Variant Rules'!$D$56),0)</f>
        <v>792</v>
      </c>
      <c r="N53" s="12">
        <f>ROUNDDOWN(M53/'04-Variant Rules'!$D$56,0)</f>
        <v>1188</v>
      </c>
      <c r="O53" s="9">
        <v>51</v>
      </c>
    </row>
    <row r="54" spans="1:15" ht="21" customHeight="1">
      <c r="A54" s="9" t="s">
        <v>250</v>
      </c>
      <c r="B54" s="12">
        <f>IF(LEFT(H54,5)="VALID",M54,"")</f>
        <v>841</v>
      </c>
      <c r="C54" s="12">
        <f>IF(LEFT(H54,5)="VALID",N54,"")</f>
        <v>473</v>
      </c>
      <c r="D54" s="10" t="s">
        <v>82</v>
      </c>
      <c r="E54" s="10" t="s">
        <v>121</v>
      </c>
      <c r="F54" s="10" t="s">
        <v>251</v>
      </c>
      <c r="G54" s="10" t="s">
        <v>252</v>
      </c>
      <c r="H54" s="11" t="str">
        <f>IF(OR(M54&lt;=0,N54&lt;=0),"SKIPPED - NONPOSITIVE",IF(OR(M54&lt;L54,N54&lt;L54),"SKIPPED - BELOW MIN",IF(OR(M54&gt;J54,N54&gt;K54),"SKIPPED - EXCEEDS BASE",IF(COUNTIFS($M$2:M53,M54,$N$2:N53,N54)&gt;0,"SKIPPED - DUPLICATE","VALID - GENERATED"))))</f>
        <v>VALID - GENERATED</v>
      </c>
      <c r="I54" s="10" t="s">
        <v>124</v>
      </c>
      <c r="J54" s="12">
        <f>'05-ISO Reference'!$B$5</f>
        <v>841</v>
      </c>
      <c r="K54" s="12">
        <f>'05-ISO Reference'!$C$5</f>
        <v>1189</v>
      </c>
      <c r="L54" s="12">
        <f>'01-Process Controls'!$G$5</f>
        <v>3</v>
      </c>
      <c r="M54" s="12">
        <f>ROUNDDOWN(MIN(J54,K54*'04-Variant Rules'!$D$57),0)</f>
        <v>841</v>
      </c>
      <c r="N54" s="12">
        <f>ROUNDDOWN(M54/'04-Variant Rules'!$D$57,0)</f>
        <v>473</v>
      </c>
      <c r="O54" s="9">
        <v>52</v>
      </c>
    </row>
    <row r="55" spans="1:15" ht="21" customHeight="1">
      <c r="A55" s="9" t="s">
        <v>253</v>
      </c>
      <c r="B55" s="12">
        <f>IF(LEFT(H55,5)="VALID",M55,"")</f>
        <v>668</v>
      </c>
      <c r="C55" s="12">
        <f>IF(LEFT(H55,5)="VALID",N55,"")</f>
        <v>1187</v>
      </c>
      <c r="D55" s="10" t="s">
        <v>82</v>
      </c>
      <c r="E55" s="10" t="s">
        <v>121</v>
      </c>
      <c r="F55" s="10" t="s">
        <v>254</v>
      </c>
      <c r="G55" s="10" t="s">
        <v>255</v>
      </c>
      <c r="H55" s="11" t="str">
        <f>IF(OR(M55&lt;=0,N55&lt;=0),"SKIPPED - NONPOSITIVE",IF(OR(M55&lt;L55,N55&lt;L55),"SKIPPED - BELOW MIN",IF(OR(M55&gt;J55,N55&gt;K55),"SKIPPED - EXCEEDS BASE",IF(COUNTIFS($M$2:M54,M55,$N$2:N54,N55)&gt;0,"SKIPPED - DUPLICATE","VALID - GENERATED"))))</f>
        <v>VALID - GENERATED</v>
      </c>
      <c r="I55" s="10" t="s">
        <v>124</v>
      </c>
      <c r="J55" s="12">
        <f>'05-ISO Reference'!$B$5</f>
        <v>841</v>
      </c>
      <c r="K55" s="12">
        <f>'05-ISO Reference'!$C$5</f>
        <v>1189</v>
      </c>
      <c r="L55" s="12">
        <f>'01-Process Controls'!$G$5</f>
        <v>3</v>
      </c>
      <c r="M55" s="12">
        <f>ROUNDDOWN(MIN(J55,K55*'04-Variant Rules'!$D$58),0)</f>
        <v>668</v>
      </c>
      <c r="N55" s="12">
        <f>ROUNDDOWN(M55/'04-Variant Rules'!$D$58,0)</f>
        <v>1187</v>
      </c>
      <c r="O55" s="9">
        <v>53</v>
      </c>
    </row>
    <row r="56" spans="1:15" ht="21" customHeight="1">
      <c r="A56" s="9" t="s">
        <v>256</v>
      </c>
      <c r="B56" s="12">
        <f>IF(LEFT(H56,5)="VALID",M56,"")</f>
        <v>841</v>
      </c>
      <c r="C56" s="12">
        <f>IF(LEFT(H56,5)="VALID",N56,"")</f>
        <v>420</v>
      </c>
      <c r="D56" s="10" t="s">
        <v>82</v>
      </c>
      <c r="E56" s="10" t="s">
        <v>121</v>
      </c>
      <c r="F56" s="10" t="s">
        <v>257</v>
      </c>
      <c r="G56" s="10" t="s">
        <v>258</v>
      </c>
      <c r="H56" s="11" t="str">
        <f>IF(OR(M56&lt;=0,N56&lt;=0),"SKIPPED - NONPOSITIVE",IF(OR(M56&lt;L56,N56&lt;L56),"SKIPPED - BELOW MIN",IF(OR(M56&gt;J56,N56&gt;K56),"SKIPPED - EXCEEDS BASE",IF(COUNTIFS($M$2:M55,M56,$N$2:N55,N56)&gt;0,"SKIPPED - DUPLICATE","VALID - GENERATED"))))</f>
        <v>VALID - GENERATED</v>
      </c>
      <c r="I56" s="10" t="s">
        <v>124</v>
      </c>
      <c r="J56" s="12">
        <f>'05-ISO Reference'!$B$5</f>
        <v>841</v>
      </c>
      <c r="K56" s="12">
        <f>'05-ISO Reference'!$C$5</f>
        <v>1189</v>
      </c>
      <c r="L56" s="12">
        <f>'01-Process Controls'!$G$5</f>
        <v>3</v>
      </c>
      <c r="M56" s="12">
        <f>ROUNDDOWN(MIN(J56,K56*'04-Variant Rules'!$D$59),0)</f>
        <v>841</v>
      </c>
      <c r="N56" s="12">
        <f>ROUNDDOWN(M56/'04-Variant Rules'!$D$59,0)</f>
        <v>420</v>
      </c>
      <c r="O56" s="9">
        <v>54</v>
      </c>
    </row>
    <row r="57" spans="1:15" ht="21" customHeight="1">
      <c r="A57" s="9" t="s">
        <v>259</v>
      </c>
      <c r="B57" s="12">
        <f>IF(LEFT(H57,5)="VALID",M57,"")</f>
        <v>594</v>
      </c>
      <c r="C57" s="12">
        <f>IF(LEFT(H57,5)="VALID",N57,"")</f>
        <v>1188</v>
      </c>
      <c r="D57" s="10" t="s">
        <v>82</v>
      </c>
      <c r="E57" s="10" t="s">
        <v>121</v>
      </c>
      <c r="F57" s="10" t="s">
        <v>260</v>
      </c>
      <c r="G57" s="10" t="s">
        <v>261</v>
      </c>
      <c r="H57" s="11" t="str">
        <f>IF(OR(M57&lt;=0,N57&lt;=0),"SKIPPED - NONPOSITIVE",IF(OR(M57&lt;L57,N57&lt;L57),"SKIPPED - BELOW MIN",IF(OR(M57&gt;J57,N57&gt;K57),"SKIPPED - EXCEEDS BASE",IF(COUNTIFS($M$2:M56,M57,$N$2:N56,N57)&gt;0,"SKIPPED - DUPLICATE","VALID - GENERATED"))))</f>
        <v>VALID - GENERATED</v>
      </c>
      <c r="I57" s="10" t="s">
        <v>124</v>
      </c>
      <c r="J57" s="12">
        <f>'05-ISO Reference'!$B$5</f>
        <v>841</v>
      </c>
      <c r="K57" s="12">
        <f>'05-ISO Reference'!$C$5</f>
        <v>1189</v>
      </c>
      <c r="L57" s="12">
        <f>'01-Process Controls'!$G$5</f>
        <v>3</v>
      </c>
      <c r="M57" s="12">
        <f>ROUNDDOWN(MIN(J57,K57*'04-Variant Rules'!$D$60),0)</f>
        <v>594</v>
      </c>
      <c r="N57" s="12">
        <f>ROUNDDOWN(M57/'04-Variant Rules'!$D$60,0)</f>
        <v>1188</v>
      </c>
      <c r="O57" s="9">
        <v>55</v>
      </c>
    </row>
    <row r="58" spans="1:15" ht="21" customHeight="1">
      <c r="A58" s="9" t="s">
        <v>262</v>
      </c>
      <c r="B58" s="48"/>
      <c r="C58" s="48"/>
      <c r="D58" s="10" t="s">
        <v>263</v>
      </c>
      <c r="E58" s="10" t="s">
        <v>264</v>
      </c>
      <c r="F58" s="10" t="s">
        <v>265</v>
      </c>
      <c r="G58" s="10" t="s">
        <v>266</v>
      </c>
      <c r="H58" s="11" t="str">
        <f>IF(AND(B58="",C58=""),"CUSTOM BLANK",IF(OR(B58="",C58=""),"ERROR - ENTER BOTH",IF(OR(B58&lt;=0,C58&lt;=0),"ERROR - NONPOSITIVE",IF(OR(B58&lt;L58,C58&lt;L58),"ERROR - BELOW MIN",IF(OR(AND(B58&lt;=J58,C58&lt;=K58),AND(B58&lt;=K58,C58&lt;=J58)),"VALID - CUSTOM","ERROR - EXCEEDS BASE")))))</f>
        <v>CUSTOM BLANK</v>
      </c>
      <c r="I58" s="10" t="s">
        <v>267</v>
      </c>
      <c r="J58" s="12">
        <f>'05-ISO Reference'!$B$5</f>
        <v>841</v>
      </c>
      <c r="K58" s="12">
        <f>'05-ISO Reference'!$C$5</f>
        <v>1189</v>
      </c>
      <c r="L58" s="12">
        <f>'01-Process Controls'!$G$5</f>
        <v>3</v>
      </c>
      <c r="M58" s="8"/>
      <c r="N58" s="8"/>
    </row>
    <row r="59" spans="1:15" ht="21" customHeight="1">
      <c r="A59" s="9" t="s">
        <v>268</v>
      </c>
      <c r="B59" s="48"/>
      <c r="C59" s="48"/>
      <c r="D59" s="10" t="s">
        <v>263</v>
      </c>
      <c r="E59" s="10" t="s">
        <v>264</v>
      </c>
      <c r="F59" s="10" t="s">
        <v>265</v>
      </c>
      <c r="G59" s="10" t="s">
        <v>266</v>
      </c>
      <c r="H59" s="11" t="str">
        <f>IF(AND(B59="",C59=""),"CUSTOM BLANK",IF(OR(B59="",C59=""),"ERROR - ENTER BOTH",IF(OR(B59&lt;=0,C59&lt;=0),"ERROR - NONPOSITIVE",IF(OR(B59&lt;L59,C59&lt;L59),"ERROR - BELOW MIN",IF(OR(AND(B59&lt;=J59,C59&lt;=K59),AND(B59&lt;=K59,C59&lt;=J59)),"VALID - CUSTOM","ERROR - EXCEEDS BASE")))))</f>
        <v>CUSTOM BLANK</v>
      </c>
      <c r="I59" s="10" t="s">
        <v>267</v>
      </c>
      <c r="J59" s="12">
        <f>'05-ISO Reference'!$B$5</f>
        <v>841</v>
      </c>
      <c r="K59" s="12">
        <f>'05-ISO Reference'!$C$5</f>
        <v>1189</v>
      </c>
      <c r="L59" s="12">
        <f>'01-Process Controls'!$G$5</f>
        <v>3</v>
      </c>
      <c r="M59" s="8"/>
      <c r="N59" s="8"/>
    </row>
    <row r="60" spans="1:15" ht="21" customHeight="1">
      <c r="A60" s="9" t="s">
        <v>269</v>
      </c>
      <c r="B60" s="48"/>
      <c r="C60" s="48"/>
      <c r="D60" s="10" t="s">
        <v>263</v>
      </c>
      <c r="E60" s="10" t="s">
        <v>264</v>
      </c>
      <c r="F60" s="10" t="s">
        <v>265</v>
      </c>
      <c r="G60" s="10" t="s">
        <v>266</v>
      </c>
      <c r="H60" s="11" t="str">
        <f>IF(AND(B60="",C60=""),"CUSTOM BLANK",IF(OR(B60="",C60=""),"ERROR - ENTER BOTH",IF(OR(B60&lt;=0,C60&lt;=0),"ERROR - NONPOSITIVE",IF(OR(B60&lt;L60,C60&lt;L60),"ERROR - BELOW MIN",IF(OR(AND(B60&lt;=J60,C60&lt;=K60),AND(B60&lt;=K60,C60&lt;=J60)),"VALID - CUSTOM","ERROR - EXCEEDS BASE")))))</f>
        <v>CUSTOM BLANK</v>
      </c>
      <c r="I60" s="10" t="s">
        <v>267</v>
      </c>
      <c r="J60" s="12">
        <f>'05-ISO Reference'!$B$5</f>
        <v>841</v>
      </c>
      <c r="K60" s="12">
        <f>'05-ISO Reference'!$C$5</f>
        <v>1189</v>
      </c>
      <c r="L60" s="12">
        <f>'01-Process Controls'!$G$5</f>
        <v>3</v>
      </c>
      <c r="M60" s="8"/>
      <c r="N60" s="8"/>
    </row>
    <row r="61" spans="1:15" ht="21" customHeight="1">
      <c r="A61" s="9" t="s">
        <v>270</v>
      </c>
      <c r="B61" s="48"/>
      <c r="C61" s="48"/>
      <c r="D61" s="10" t="s">
        <v>263</v>
      </c>
      <c r="E61" s="10" t="s">
        <v>264</v>
      </c>
      <c r="F61" s="10" t="s">
        <v>265</v>
      </c>
      <c r="G61" s="10" t="s">
        <v>266</v>
      </c>
      <c r="H61" s="11" t="str">
        <f>IF(AND(B61="",C61=""),"CUSTOM BLANK",IF(OR(B61="",C61=""),"ERROR - ENTER BOTH",IF(OR(B61&lt;=0,C61&lt;=0),"ERROR - NONPOSITIVE",IF(OR(B61&lt;L61,C61&lt;L61),"ERROR - BELOW MIN",IF(OR(AND(B61&lt;=J61,C61&lt;=K61),AND(B61&lt;=K61,C61&lt;=J61)),"VALID - CUSTOM","ERROR - EXCEEDS BASE")))))</f>
        <v>CUSTOM BLANK</v>
      </c>
      <c r="I61" s="10" t="s">
        <v>267</v>
      </c>
      <c r="J61" s="12">
        <f>'05-ISO Reference'!$B$5</f>
        <v>841</v>
      </c>
      <c r="K61" s="12">
        <f>'05-ISO Reference'!$C$5</f>
        <v>1189</v>
      </c>
      <c r="L61" s="12">
        <f>'01-Process Controls'!$G$5</f>
        <v>3</v>
      </c>
      <c r="M61" s="8"/>
      <c r="N61" s="8"/>
    </row>
    <row r="62" spans="1:15" ht="21" customHeight="1">
      <c r="A62" s="9" t="s">
        <v>271</v>
      </c>
      <c r="B62" s="48"/>
      <c r="C62" s="48"/>
      <c r="D62" s="10" t="s">
        <v>263</v>
      </c>
      <c r="E62" s="10" t="s">
        <v>264</v>
      </c>
      <c r="F62" s="10" t="s">
        <v>265</v>
      </c>
      <c r="G62" s="10" t="s">
        <v>266</v>
      </c>
      <c r="H62" s="11" t="str">
        <f>IF(AND(B62="",C62=""),"CUSTOM BLANK",IF(OR(B62="",C62=""),"ERROR - ENTER BOTH",IF(OR(B62&lt;=0,C62&lt;=0),"ERROR - NONPOSITIVE",IF(OR(B62&lt;L62,C62&lt;L62),"ERROR - BELOW MIN",IF(OR(AND(B62&lt;=J62,C62&lt;=K62),AND(B62&lt;=K62,C62&lt;=J62)),"VALID - CUSTOM","ERROR - EXCEEDS BASE")))))</f>
        <v>CUSTOM BLANK</v>
      </c>
      <c r="I62" s="10" t="s">
        <v>267</v>
      </c>
      <c r="J62" s="12">
        <f>'05-ISO Reference'!$B$5</f>
        <v>841</v>
      </c>
      <c r="K62" s="12">
        <f>'05-ISO Reference'!$C$5</f>
        <v>1189</v>
      </c>
      <c r="L62" s="12">
        <f>'01-Process Controls'!$G$5</f>
        <v>3</v>
      </c>
      <c r="M62" s="8"/>
      <c r="N62" s="8"/>
    </row>
    <row r="63" spans="1:15" ht="21" customHeight="1">
      <c r="A63" s="9" t="s">
        <v>272</v>
      </c>
      <c r="B63" s="48"/>
      <c r="C63" s="48"/>
      <c r="D63" s="10" t="s">
        <v>263</v>
      </c>
      <c r="E63" s="10" t="s">
        <v>264</v>
      </c>
      <c r="F63" s="10" t="s">
        <v>265</v>
      </c>
      <c r="G63" s="10" t="s">
        <v>266</v>
      </c>
      <c r="H63" s="11" t="str">
        <f>IF(AND(B63="",C63=""),"CUSTOM BLANK",IF(OR(B63="",C63=""),"ERROR - ENTER BOTH",IF(OR(B63&lt;=0,C63&lt;=0),"ERROR - NONPOSITIVE",IF(OR(B63&lt;L63,C63&lt;L63),"ERROR - BELOW MIN",IF(OR(AND(B63&lt;=J63,C63&lt;=K63),AND(B63&lt;=K63,C63&lt;=J63)),"VALID - CUSTOM","ERROR - EXCEEDS BASE")))))</f>
        <v>CUSTOM BLANK</v>
      </c>
      <c r="I63" s="10" t="s">
        <v>267</v>
      </c>
      <c r="J63" s="12">
        <f>'05-ISO Reference'!$B$5</f>
        <v>841</v>
      </c>
      <c r="K63" s="12">
        <f>'05-ISO Reference'!$C$5</f>
        <v>1189</v>
      </c>
      <c r="L63" s="12">
        <f>'01-Process Controls'!$G$5</f>
        <v>3</v>
      </c>
      <c r="M63" s="8"/>
      <c r="N63" s="8"/>
    </row>
    <row r="64" spans="1:15" ht="21" customHeight="1">
      <c r="A64" s="9" t="s">
        <v>273</v>
      </c>
      <c r="B64" s="48"/>
      <c r="C64" s="48"/>
      <c r="D64" s="10" t="s">
        <v>263</v>
      </c>
      <c r="E64" s="10" t="s">
        <v>264</v>
      </c>
      <c r="F64" s="10" t="s">
        <v>265</v>
      </c>
      <c r="G64" s="10" t="s">
        <v>266</v>
      </c>
      <c r="H64" s="11" t="str">
        <f>IF(AND(B64="",C64=""),"CUSTOM BLANK",IF(OR(B64="",C64=""),"ERROR - ENTER BOTH",IF(OR(B64&lt;=0,C64&lt;=0),"ERROR - NONPOSITIVE",IF(OR(B64&lt;L64,C64&lt;L64),"ERROR - BELOW MIN",IF(OR(AND(B64&lt;=J64,C64&lt;=K64),AND(B64&lt;=K64,C64&lt;=J64)),"VALID - CUSTOM","ERROR - EXCEEDS BASE")))))</f>
        <v>CUSTOM BLANK</v>
      </c>
      <c r="I64" s="10" t="s">
        <v>267</v>
      </c>
      <c r="J64" s="12">
        <f>'05-ISO Reference'!$B$5</f>
        <v>841</v>
      </c>
      <c r="K64" s="12">
        <f>'05-ISO Reference'!$C$5</f>
        <v>1189</v>
      </c>
      <c r="L64" s="12">
        <f>'01-Process Controls'!$G$5</f>
        <v>3</v>
      </c>
      <c r="M64" s="8"/>
      <c r="N64" s="8"/>
    </row>
    <row r="65" spans="1:15" ht="21" customHeight="1">
      <c r="A65" s="9" t="s">
        <v>274</v>
      </c>
      <c r="B65" s="48"/>
      <c r="C65" s="48"/>
      <c r="D65" s="10" t="s">
        <v>263</v>
      </c>
      <c r="E65" s="10" t="s">
        <v>264</v>
      </c>
      <c r="F65" s="10" t="s">
        <v>265</v>
      </c>
      <c r="G65" s="10" t="s">
        <v>266</v>
      </c>
      <c r="H65" s="11" t="str">
        <f>IF(AND(B65="",C65=""),"CUSTOM BLANK",IF(OR(B65="",C65=""),"ERROR - ENTER BOTH",IF(OR(B65&lt;=0,C65&lt;=0),"ERROR - NONPOSITIVE",IF(OR(B65&lt;L65,C65&lt;L65),"ERROR - BELOW MIN",IF(OR(AND(B65&lt;=J65,C65&lt;=K65),AND(B65&lt;=K65,C65&lt;=J65)),"VALID - CUSTOM","ERROR - EXCEEDS BASE")))))</f>
        <v>CUSTOM BLANK</v>
      </c>
      <c r="I65" s="10" t="s">
        <v>267</v>
      </c>
      <c r="J65" s="12">
        <f>'05-ISO Reference'!$B$5</f>
        <v>841</v>
      </c>
      <c r="K65" s="12">
        <f>'05-ISO Reference'!$C$5</f>
        <v>1189</v>
      </c>
      <c r="L65" s="12">
        <f>'01-Process Controls'!$G$5</f>
        <v>3</v>
      </c>
      <c r="M65" s="8"/>
      <c r="N65" s="8"/>
    </row>
    <row r="66" spans="1:15" ht="21" customHeight="1">
      <c r="A66" s="9" t="s">
        <v>275</v>
      </c>
      <c r="B66" s="48"/>
      <c r="C66" s="48"/>
      <c r="D66" s="10" t="s">
        <v>263</v>
      </c>
      <c r="E66" s="10" t="s">
        <v>264</v>
      </c>
      <c r="F66" s="10" t="s">
        <v>265</v>
      </c>
      <c r="G66" s="10" t="s">
        <v>266</v>
      </c>
      <c r="H66" s="11" t="str">
        <f>IF(AND(B66="",C66=""),"CUSTOM BLANK",IF(OR(B66="",C66=""),"ERROR - ENTER BOTH",IF(OR(B66&lt;=0,C66&lt;=0),"ERROR - NONPOSITIVE",IF(OR(B66&lt;L66,C66&lt;L66),"ERROR - BELOW MIN",IF(OR(AND(B66&lt;=J66,C66&lt;=K66),AND(B66&lt;=K66,C66&lt;=J66)),"VALID - CUSTOM","ERROR - EXCEEDS BASE")))))</f>
        <v>CUSTOM BLANK</v>
      </c>
      <c r="I66" s="10" t="s">
        <v>267</v>
      </c>
      <c r="J66" s="12">
        <f>'05-ISO Reference'!$B$5</f>
        <v>841</v>
      </c>
      <c r="K66" s="12">
        <f>'05-ISO Reference'!$C$5</f>
        <v>1189</v>
      </c>
      <c r="L66" s="12">
        <f>'01-Process Controls'!$G$5</f>
        <v>3</v>
      </c>
      <c r="M66" s="8"/>
      <c r="N66" s="8"/>
    </row>
    <row r="67" spans="1:15" ht="21" customHeight="1">
      <c r="A67" s="9" t="s">
        <v>276</v>
      </c>
      <c r="B67" s="48"/>
      <c r="C67" s="48"/>
      <c r="D67" s="10" t="s">
        <v>263</v>
      </c>
      <c r="E67" s="10" t="s">
        <v>264</v>
      </c>
      <c r="F67" s="10" t="s">
        <v>265</v>
      </c>
      <c r="G67" s="10" t="s">
        <v>266</v>
      </c>
      <c r="H67" s="11" t="str">
        <f>IF(AND(B67="",C67=""),"CUSTOM BLANK",IF(OR(B67="",C67=""),"ERROR - ENTER BOTH",IF(OR(B67&lt;=0,C67&lt;=0),"ERROR - NONPOSITIVE",IF(OR(B67&lt;L67,C67&lt;L67),"ERROR - BELOW MIN",IF(OR(AND(B67&lt;=J67,C67&lt;=K67),AND(B67&lt;=K67,C67&lt;=J67)),"VALID - CUSTOM","ERROR - EXCEEDS BASE")))))</f>
        <v>CUSTOM BLANK</v>
      </c>
      <c r="I67" s="10" t="s">
        <v>267</v>
      </c>
      <c r="J67" s="12">
        <f>'05-ISO Reference'!$B$5</f>
        <v>841</v>
      </c>
      <c r="K67" s="12">
        <f>'05-ISO Reference'!$C$5</f>
        <v>1189</v>
      </c>
      <c r="L67" s="12">
        <f>'01-Process Controls'!$G$5</f>
        <v>3</v>
      </c>
      <c r="M67" s="8"/>
      <c r="N67" s="8"/>
    </row>
    <row r="68" spans="1:15" ht="21" customHeight="1">
      <c r="A68" s="9" t="s">
        <v>277</v>
      </c>
      <c r="B68" s="48"/>
      <c r="C68" s="48"/>
      <c r="D68" s="10" t="s">
        <v>263</v>
      </c>
      <c r="E68" s="10" t="s">
        <v>264</v>
      </c>
      <c r="F68" s="10" t="s">
        <v>265</v>
      </c>
      <c r="G68" s="10" t="s">
        <v>266</v>
      </c>
      <c r="H68" s="11" t="str">
        <f>IF(AND(B68="",C68=""),"CUSTOM BLANK",IF(OR(B68="",C68=""),"ERROR - ENTER BOTH",IF(OR(B68&lt;=0,C68&lt;=0),"ERROR - NONPOSITIVE",IF(OR(B68&lt;L68,C68&lt;L68),"ERROR - BELOW MIN",IF(OR(AND(B68&lt;=J68,C68&lt;=K68),AND(B68&lt;=K68,C68&lt;=J68)),"VALID - CUSTOM","ERROR - EXCEEDS BASE")))))</f>
        <v>CUSTOM BLANK</v>
      </c>
      <c r="I68" s="10" t="s">
        <v>267</v>
      </c>
      <c r="J68" s="12">
        <f>'05-ISO Reference'!$B$5</f>
        <v>841</v>
      </c>
      <c r="K68" s="12">
        <f>'05-ISO Reference'!$C$5</f>
        <v>1189</v>
      </c>
      <c r="L68" s="12">
        <f>'01-Process Controls'!$G$5</f>
        <v>3</v>
      </c>
      <c r="M68" s="8"/>
      <c r="N68" s="8"/>
    </row>
    <row r="69" spans="1:15" ht="21" customHeight="1">
      <c r="A69" s="9" t="s">
        <v>278</v>
      </c>
      <c r="B69" s="48"/>
      <c r="C69" s="48"/>
      <c r="D69" s="10" t="s">
        <v>263</v>
      </c>
      <c r="E69" s="10" t="s">
        <v>264</v>
      </c>
      <c r="F69" s="10" t="s">
        <v>265</v>
      </c>
      <c r="G69" s="10" t="s">
        <v>266</v>
      </c>
      <c r="H69" s="11" t="str">
        <f>IF(AND(B69="",C69=""),"CUSTOM BLANK",IF(OR(B69="",C69=""),"ERROR - ENTER BOTH",IF(OR(B69&lt;=0,C69&lt;=0),"ERROR - NONPOSITIVE",IF(OR(B69&lt;L69,C69&lt;L69),"ERROR - BELOW MIN",IF(OR(AND(B69&lt;=J69,C69&lt;=K69),AND(B69&lt;=K69,C69&lt;=J69)),"VALID - CUSTOM","ERROR - EXCEEDS BASE")))))</f>
        <v>CUSTOM BLANK</v>
      </c>
      <c r="I69" s="10" t="s">
        <v>267</v>
      </c>
      <c r="J69" s="12">
        <f>'05-ISO Reference'!$B$5</f>
        <v>841</v>
      </c>
      <c r="K69" s="12">
        <f>'05-ISO Reference'!$C$5</f>
        <v>1189</v>
      </c>
      <c r="L69" s="12">
        <f>'01-Process Controls'!$G$5</f>
        <v>3</v>
      </c>
      <c r="M69" s="8"/>
      <c r="N69" s="8"/>
    </row>
    <row r="70" spans="1:15" ht="21" customHeight="1">
      <c r="A70" s="9" t="s">
        <v>279</v>
      </c>
      <c r="B70" s="48"/>
      <c r="C70" s="48"/>
      <c r="D70" s="10" t="s">
        <v>263</v>
      </c>
      <c r="E70" s="10" t="s">
        <v>264</v>
      </c>
      <c r="F70" s="10" t="s">
        <v>265</v>
      </c>
      <c r="G70" s="10" t="s">
        <v>266</v>
      </c>
      <c r="H70" s="11" t="str">
        <f>IF(AND(B70="",C70=""),"CUSTOM BLANK",IF(OR(B70="",C70=""),"ERROR - ENTER BOTH",IF(OR(B70&lt;=0,C70&lt;=0),"ERROR - NONPOSITIVE",IF(OR(B70&lt;L70,C70&lt;L70),"ERROR - BELOW MIN",IF(OR(AND(B70&lt;=J70,C70&lt;=K70),AND(B70&lt;=K70,C70&lt;=J70)),"VALID - CUSTOM","ERROR - EXCEEDS BASE")))))</f>
        <v>CUSTOM BLANK</v>
      </c>
      <c r="I70" s="10" t="s">
        <v>267</v>
      </c>
      <c r="J70" s="12">
        <f>'05-ISO Reference'!$B$5</f>
        <v>841</v>
      </c>
      <c r="K70" s="12">
        <f>'05-ISO Reference'!$C$5</f>
        <v>1189</v>
      </c>
      <c r="L70" s="12">
        <f>'01-Process Controls'!$G$5</f>
        <v>3</v>
      </c>
      <c r="M70" s="8"/>
      <c r="N70" s="8"/>
    </row>
    <row r="71" spans="1:15" ht="21" customHeight="1">
      <c r="A71" s="9" t="s">
        <v>280</v>
      </c>
      <c r="B71" s="48"/>
      <c r="C71" s="48"/>
      <c r="D71" s="10" t="s">
        <v>263</v>
      </c>
      <c r="E71" s="10" t="s">
        <v>264</v>
      </c>
      <c r="F71" s="10" t="s">
        <v>265</v>
      </c>
      <c r="G71" s="10" t="s">
        <v>266</v>
      </c>
      <c r="H71" s="11" t="str">
        <f>IF(AND(B71="",C71=""),"CUSTOM BLANK",IF(OR(B71="",C71=""),"ERROR - ENTER BOTH",IF(OR(B71&lt;=0,C71&lt;=0),"ERROR - NONPOSITIVE",IF(OR(B71&lt;L71,C71&lt;L71),"ERROR - BELOW MIN",IF(OR(AND(B71&lt;=J71,C71&lt;=K71),AND(B71&lt;=K71,C71&lt;=J71)),"VALID - CUSTOM","ERROR - EXCEEDS BASE")))))</f>
        <v>CUSTOM BLANK</v>
      </c>
      <c r="I71" s="10" t="s">
        <v>267</v>
      </c>
      <c r="J71" s="12">
        <f>'05-ISO Reference'!$B$5</f>
        <v>841</v>
      </c>
      <c r="K71" s="12">
        <f>'05-ISO Reference'!$C$5</f>
        <v>1189</v>
      </c>
      <c r="L71" s="12">
        <f>'01-Process Controls'!$G$5</f>
        <v>3</v>
      </c>
      <c r="M71" s="8"/>
      <c r="N71" s="8"/>
    </row>
    <row r="72" spans="1:15" ht="21" customHeight="1">
      <c r="A72" s="9" t="s">
        <v>281</v>
      </c>
      <c r="B72" s="48"/>
      <c r="C72" s="48"/>
      <c r="D72" s="10" t="s">
        <v>263</v>
      </c>
      <c r="E72" s="10" t="s">
        <v>264</v>
      </c>
      <c r="F72" s="10" t="s">
        <v>265</v>
      </c>
      <c r="G72" s="10" t="s">
        <v>266</v>
      </c>
      <c r="H72" s="11" t="str">
        <f>IF(AND(B72="",C72=""),"CUSTOM BLANK",IF(OR(B72="",C72=""),"ERROR - ENTER BOTH",IF(OR(B72&lt;=0,C72&lt;=0),"ERROR - NONPOSITIVE",IF(OR(B72&lt;L72,C72&lt;L72),"ERROR - BELOW MIN",IF(OR(AND(B72&lt;=J72,C72&lt;=K72),AND(B72&lt;=K72,C72&lt;=J72)),"VALID - CUSTOM","ERROR - EXCEEDS BASE")))))</f>
        <v>CUSTOM BLANK</v>
      </c>
      <c r="I72" s="10" t="s">
        <v>267</v>
      </c>
      <c r="J72" s="12">
        <f>'05-ISO Reference'!$B$5</f>
        <v>841</v>
      </c>
      <c r="K72" s="12">
        <f>'05-ISO Reference'!$C$5</f>
        <v>1189</v>
      </c>
      <c r="L72" s="12">
        <f>'01-Process Controls'!$G$5</f>
        <v>3</v>
      </c>
      <c r="M72" s="8"/>
      <c r="N72" s="8"/>
    </row>
    <row r="73" spans="1:15" ht="21" customHeight="1">
      <c r="A73" s="44" t="s">
        <v>282</v>
      </c>
      <c r="B73" s="45">
        <f>IF(LEFT(H73,5)="VALID",M73,"")</f>
        <v>594</v>
      </c>
      <c r="C73" s="45">
        <f>IF(LEFT(H73,5)="VALID",N73,"")</f>
        <v>841</v>
      </c>
      <c r="D73" s="46" t="s">
        <v>82</v>
      </c>
      <c r="E73" s="46" t="s">
        <v>283</v>
      </c>
      <c r="F73" s="46" t="s">
        <v>122</v>
      </c>
      <c r="G73" s="46" t="s">
        <v>123</v>
      </c>
      <c r="H73" s="47" t="str">
        <f>"VALID - BASE"</f>
        <v>VALID - BASE</v>
      </c>
      <c r="I73" s="46" t="s">
        <v>284</v>
      </c>
      <c r="J73" s="12">
        <f>'05-ISO Reference'!$B$6</f>
        <v>594</v>
      </c>
      <c r="K73" s="12">
        <f>'05-ISO Reference'!$C$6</f>
        <v>841</v>
      </c>
      <c r="L73" s="12">
        <f>'01-Process Controls'!$G$5</f>
        <v>3</v>
      </c>
      <c r="M73" s="12">
        <f>ROUNDDOWN(J73,0)</f>
        <v>594</v>
      </c>
      <c r="N73" s="12">
        <f>ROUNDDOWN(K73,0)</f>
        <v>841</v>
      </c>
      <c r="O73" s="9">
        <v>0</v>
      </c>
    </row>
    <row r="74" spans="1:15" ht="21" customHeight="1">
      <c r="A74" s="9" t="s">
        <v>285</v>
      </c>
      <c r="B74" s="12">
        <f>IF(LEFT(H74,5)="VALID",M74,"")</f>
        <v>297</v>
      </c>
      <c r="C74" s="12">
        <f>IF(LEFT(H74,5)="VALID",N74,"")</f>
        <v>841</v>
      </c>
      <c r="D74" s="10" t="s">
        <v>82</v>
      </c>
      <c r="E74" s="10" t="s">
        <v>283</v>
      </c>
      <c r="F74" s="10" t="s">
        <v>126</v>
      </c>
      <c r="G74" s="10" t="s">
        <v>127</v>
      </c>
      <c r="H74" s="11" t="str">
        <f>IF(OR(M74&lt;=0,N74&lt;=0),"SKIPPED - NONPOSITIVE",IF(OR(M74&lt;L74,N74&lt;L74),"SKIPPED - BELOW MIN",IF(OR(M74&gt;J74,N74&gt;K74),"SKIPPED - EXCEEDS BASE",IF(COUNTIFS($M$73:M73,M74,$N$73:N73,N74)&gt;0,"SKIPPED - DUPLICATE","VALID - GENERATED"))))</f>
        <v>VALID - GENERATED</v>
      </c>
      <c r="I74" s="10" t="s">
        <v>284</v>
      </c>
      <c r="J74" s="12">
        <f>'05-ISO Reference'!$B$6</f>
        <v>594</v>
      </c>
      <c r="K74" s="12">
        <f>'05-ISO Reference'!$C$6</f>
        <v>841</v>
      </c>
      <c r="L74" s="12">
        <f>'01-Process Controls'!$G$5</f>
        <v>3</v>
      </c>
      <c r="M74" s="12">
        <f>ROUNDDOWN(J74*'04-Variant Rules'!$D$6,0)</f>
        <v>297</v>
      </c>
      <c r="N74" s="12">
        <f>ROUNDDOWN(K74,0)</f>
        <v>841</v>
      </c>
      <c r="O74" s="9">
        <v>1</v>
      </c>
    </row>
    <row r="75" spans="1:15" ht="21" customHeight="1">
      <c r="A75" s="9" t="s">
        <v>286</v>
      </c>
      <c r="B75" s="12">
        <f>IF(LEFT(H75,5)="VALID",M75,"")</f>
        <v>198</v>
      </c>
      <c r="C75" s="12">
        <f>IF(LEFT(H75,5)="VALID",N75,"")</f>
        <v>841</v>
      </c>
      <c r="D75" s="10" t="s">
        <v>82</v>
      </c>
      <c r="E75" s="10" t="s">
        <v>283</v>
      </c>
      <c r="F75" s="10" t="s">
        <v>129</v>
      </c>
      <c r="G75" s="10" t="s">
        <v>130</v>
      </c>
      <c r="H75" s="11" t="str">
        <f>IF(OR(M75&lt;=0,N75&lt;=0),"SKIPPED - NONPOSITIVE",IF(OR(M75&lt;L75,N75&lt;L75),"SKIPPED - BELOW MIN",IF(OR(M75&gt;J75,N75&gt;K75),"SKIPPED - EXCEEDS BASE",IF(COUNTIFS($M$73:M74,M75,$N$73:N74,N75)&gt;0,"SKIPPED - DUPLICATE","VALID - GENERATED"))))</f>
        <v>VALID - GENERATED</v>
      </c>
      <c r="I75" s="10" t="s">
        <v>284</v>
      </c>
      <c r="J75" s="12">
        <f>'05-ISO Reference'!$B$6</f>
        <v>594</v>
      </c>
      <c r="K75" s="12">
        <f>'05-ISO Reference'!$C$6</f>
        <v>841</v>
      </c>
      <c r="L75" s="12">
        <f>'01-Process Controls'!$G$5</f>
        <v>3</v>
      </c>
      <c r="M75" s="12">
        <f>ROUNDDOWN(J75*'04-Variant Rules'!$D$7,0)</f>
        <v>198</v>
      </c>
      <c r="N75" s="12">
        <f>ROUNDDOWN(K75,0)</f>
        <v>841</v>
      </c>
      <c r="O75" s="9">
        <v>2</v>
      </c>
    </row>
    <row r="76" spans="1:15" ht="21" customHeight="1">
      <c r="A76" s="9" t="s">
        <v>287</v>
      </c>
      <c r="B76" s="12">
        <f>IF(LEFT(H76,5)="VALID",M76,"")</f>
        <v>148</v>
      </c>
      <c r="C76" s="12">
        <f>IF(LEFT(H76,5)="VALID",N76,"")</f>
        <v>841</v>
      </c>
      <c r="D76" s="10" t="s">
        <v>82</v>
      </c>
      <c r="E76" s="10" t="s">
        <v>283</v>
      </c>
      <c r="F76" s="10" t="s">
        <v>132</v>
      </c>
      <c r="G76" s="10" t="s">
        <v>133</v>
      </c>
      <c r="H76" s="11" t="str">
        <f>IF(OR(M76&lt;=0,N76&lt;=0),"SKIPPED - NONPOSITIVE",IF(OR(M76&lt;L76,N76&lt;L76),"SKIPPED - BELOW MIN",IF(OR(M76&gt;J76,N76&gt;K76),"SKIPPED - EXCEEDS BASE",IF(COUNTIFS($M$73:M75,M76,$N$73:N75,N76)&gt;0,"SKIPPED - DUPLICATE","VALID - GENERATED"))))</f>
        <v>VALID - GENERATED</v>
      </c>
      <c r="I76" s="10" t="s">
        <v>284</v>
      </c>
      <c r="J76" s="12">
        <f>'05-ISO Reference'!$B$6</f>
        <v>594</v>
      </c>
      <c r="K76" s="12">
        <f>'05-ISO Reference'!$C$6</f>
        <v>841</v>
      </c>
      <c r="L76" s="12">
        <f>'01-Process Controls'!$G$5</f>
        <v>3</v>
      </c>
      <c r="M76" s="12">
        <f>ROUNDDOWN(J76*'04-Variant Rules'!$D$8,0)</f>
        <v>148</v>
      </c>
      <c r="N76" s="12">
        <f>ROUNDDOWN(K76,0)</f>
        <v>841</v>
      </c>
      <c r="O76" s="9">
        <v>3</v>
      </c>
    </row>
    <row r="77" spans="1:15" ht="21" customHeight="1">
      <c r="A77" s="9" t="s">
        <v>288</v>
      </c>
      <c r="B77" s="12">
        <f>IF(LEFT(H77,5)="VALID",M77,"")</f>
        <v>396</v>
      </c>
      <c r="C77" s="12">
        <f>IF(LEFT(H77,5)="VALID",N77,"")</f>
        <v>841</v>
      </c>
      <c r="D77" s="10" t="s">
        <v>82</v>
      </c>
      <c r="E77" s="10" t="s">
        <v>283</v>
      </c>
      <c r="F77" s="10" t="s">
        <v>135</v>
      </c>
      <c r="G77" s="10" t="s">
        <v>136</v>
      </c>
      <c r="H77" s="11" t="str">
        <f>IF(OR(M77&lt;=0,N77&lt;=0),"SKIPPED - NONPOSITIVE",IF(OR(M77&lt;L77,N77&lt;L77),"SKIPPED - BELOW MIN",IF(OR(M77&gt;J77,N77&gt;K77),"SKIPPED - EXCEEDS BASE",IF(COUNTIFS($M$73:M76,M77,$N$73:N76,N77)&gt;0,"SKIPPED - DUPLICATE","VALID - GENERATED"))))</f>
        <v>VALID - GENERATED</v>
      </c>
      <c r="I77" s="10" t="s">
        <v>284</v>
      </c>
      <c r="J77" s="12">
        <f>'05-ISO Reference'!$B$6</f>
        <v>594</v>
      </c>
      <c r="K77" s="12">
        <f>'05-ISO Reference'!$C$6</f>
        <v>841</v>
      </c>
      <c r="L77" s="12">
        <f>'01-Process Controls'!$G$5</f>
        <v>3</v>
      </c>
      <c r="M77" s="12">
        <f>ROUNDDOWN(J77*'04-Variant Rules'!$D$9,0)</f>
        <v>396</v>
      </c>
      <c r="N77" s="12">
        <f>ROUNDDOWN(K77,0)</f>
        <v>841</v>
      </c>
      <c r="O77" s="9">
        <v>4</v>
      </c>
    </row>
    <row r="78" spans="1:15" ht="21" customHeight="1">
      <c r="A78" s="9" t="s">
        <v>289</v>
      </c>
      <c r="B78" s="12">
        <f>IF(LEFT(H78,5)="VALID",M78,"")</f>
        <v>445</v>
      </c>
      <c r="C78" s="12">
        <f>IF(LEFT(H78,5)="VALID",N78,"")</f>
        <v>841</v>
      </c>
      <c r="D78" s="10" t="s">
        <v>82</v>
      </c>
      <c r="E78" s="10" t="s">
        <v>283</v>
      </c>
      <c r="F78" s="10" t="s">
        <v>138</v>
      </c>
      <c r="G78" s="10" t="s">
        <v>139</v>
      </c>
      <c r="H78" s="11" t="str">
        <f>IF(OR(M78&lt;=0,N78&lt;=0),"SKIPPED - NONPOSITIVE",IF(OR(M78&lt;L78,N78&lt;L78),"SKIPPED - BELOW MIN",IF(OR(M78&gt;J78,N78&gt;K78),"SKIPPED - EXCEEDS BASE",IF(COUNTIFS($M$73:M77,M78,$N$73:N77,N78)&gt;0,"SKIPPED - DUPLICATE","VALID - GENERATED"))))</f>
        <v>VALID - GENERATED</v>
      </c>
      <c r="I78" s="10" t="s">
        <v>284</v>
      </c>
      <c r="J78" s="12">
        <f>'05-ISO Reference'!$B$6</f>
        <v>594</v>
      </c>
      <c r="K78" s="12">
        <f>'05-ISO Reference'!$C$6</f>
        <v>841</v>
      </c>
      <c r="L78" s="12">
        <f>'01-Process Controls'!$G$5</f>
        <v>3</v>
      </c>
      <c r="M78" s="12">
        <f>ROUNDDOWN(J78*'04-Variant Rules'!$D$10,0)</f>
        <v>445</v>
      </c>
      <c r="N78" s="12">
        <f>ROUNDDOWN(K78,0)</f>
        <v>841</v>
      </c>
      <c r="O78" s="9">
        <v>5</v>
      </c>
    </row>
    <row r="79" spans="1:15" ht="21" customHeight="1">
      <c r="A79" s="9" t="s">
        <v>290</v>
      </c>
      <c r="B79" s="12">
        <f>IF(LEFT(H79,5)="VALID",M79,"")</f>
        <v>594</v>
      </c>
      <c r="C79" s="12">
        <f>IF(LEFT(H79,5)="VALID",N79,"")</f>
        <v>420</v>
      </c>
      <c r="D79" s="10" t="s">
        <v>82</v>
      </c>
      <c r="E79" s="10" t="s">
        <v>283</v>
      </c>
      <c r="F79" s="10" t="s">
        <v>141</v>
      </c>
      <c r="G79" s="10" t="s">
        <v>142</v>
      </c>
      <c r="H79" s="11" t="str">
        <f>IF(OR(M79&lt;=0,N79&lt;=0),"SKIPPED - NONPOSITIVE",IF(OR(M79&lt;L79,N79&lt;L79),"SKIPPED - BELOW MIN",IF(OR(M79&gt;J79,N79&gt;K79),"SKIPPED - EXCEEDS BASE",IF(COUNTIFS($M$73:M78,M79,$N$73:N78,N79)&gt;0,"SKIPPED - DUPLICATE","VALID - GENERATED"))))</f>
        <v>VALID - GENERATED</v>
      </c>
      <c r="I79" s="10" t="s">
        <v>284</v>
      </c>
      <c r="J79" s="12">
        <f>'05-ISO Reference'!$B$6</f>
        <v>594</v>
      </c>
      <c r="K79" s="12">
        <f>'05-ISO Reference'!$C$6</f>
        <v>841</v>
      </c>
      <c r="L79" s="12">
        <f>'01-Process Controls'!$G$5</f>
        <v>3</v>
      </c>
      <c r="M79" s="12">
        <f>ROUNDDOWN(J79,0)</f>
        <v>594</v>
      </c>
      <c r="N79" s="12">
        <f>ROUNDDOWN(K79*'04-Variant Rules'!$D$11,0)</f>
        <v>420</v>
      </c>
      <c r="O79" s="9">
        <v>6</v>
      </c>
    </row>
    <row r="80" spans="1:15" ht="21" customHeight="1">
      <c r="A80" s="9" t="s">
        <v>291</v>
      </c>
      <c r="B80" s="12">
        <f>IF(LEFT(H80,5)="VALID",M80,"")</f>
        <v>594</v>
      </c>
      <c r="C80" s="12">
        <f>IF(LEFT(H80,5)="VALID",N80,"")</f>
        <v>280</v>
      </c>
      <c r="D80" s="10" t="s">
        <v>82</v>
      </c>
      <c r="E80" s="10" t="s">
        <v>283</v>
      </c>
      <c r="F80" s="10" t="s">
        <v>144</v>
      </c>
      <c r="G80" s="10" t="s">
        <v>145</v>
      </c>
      <c r="H80" s="11" t="str">
        <f>IF(OR(M80&lt;=0,N80&lt;=0),"SKIPPED - NONPOSITIVE",IF(OR(M80&lt;L80,N80&lt;L80),"SKIPPED - BELOW MIN",IF(OR(M80&gt;J80,N80&gt;K80),"SKIPPED - EXCEEDS BASE",IF(COUNTIFS($M$73:M79,M80,$N$73:N79,N80)&gt;0,"SKIPPED - DUPLICATE","VALID - GENERATED"))))</f>
        <v>VALID - GENERATED</v>
      </c>
      <c r="I80" s="10" t="s">
        <v>284</v>
      </c>
      <c r="J80" s="12">
        <f>'05-ISO Reference'!$B$6</f>
        <v>594</v>
      </c>
      <c r="K80" s="12">
        <f>'05-ISO Reference'!$C$6</f>
        <v>841</v>
      </c>
      <c r="L80" s="12">
        <f>'01-Process Controls'!$G$5</f>
        <v>3</v>
      </c>
      <c r="M80" s="12">
        <f>ROUNDDOWN(J80,0)</f>
        <v>594</v>
      </c>
      <c r="N80" s="12">
        <f>ROUNDDOWN(K80*'04-Variant Rules'!$D$12,0)</f>
        <v>280</v>
      </c>
      <c r="O80" s="9">
        <v>7</v>
      </c>
    </row>
    <row r="81" spans="1:15" ht="21" customHeight="1">
      <c r="A81" s="9" t="s">
        <v>292</v>
      </c>
      <c r="B81" s="12">
        <f>IF(LEFT(H81,5)="VALID",M81,"")</f>
        <v>594</v>
      </c>
      <c r="C81" s="12">
        <f>IF(LEFT(H81,5)="VALID",N81,"")</f>
        <v>210</v>
      </c>
      <c r="D81" s="10" t="s">
        <v>82</v>
      </c>
      <c r="E81" s="10" t="s">
        <v>283</v>
      </c>
      <c r="F81" s="10" t="s">
        <v>147</v>
      </c>
      <c r="G81" s="10" t="s">
        <v>148</v>
      </c>
      <c r="H81" s="11" t="str">
        <f>IF(OR(M81&lt;=0,N81&lt;=0),"SKIPPED - NONPOSITIVE",IF(OR(M81&lt;L81,N81&lt;L81),"SKIPPED - BELOW MIN",IF(OR(M81&gt;J81,N81&gt;K81),"SKIPPED - EXCEEDS BASE",IF(COUNTIFS($M$73:M80,M81,$N$73:N80,N81)&gt;0,"SKIPPED - DUPLICATE","VALID - GENERATED"))))</f>
        <v>VALID - GENERATED</v>
      </c>
      <c r="I81" s="10" t="s">
        <v>284</v>
      </c>
      <c r="J81" s="12">
        <f>'05-ISO Reference'!$B$6</f>
        <v>594</v>
      </c>
      <c r="K81" s="12">
        <f>'05-ISO Reference'!$C$6</f>
        <v>841</v>
      </c>
      <c r="L81" s="12">
        <f>'01-Process Controls'!$G$5</f>
        <v>3</v>
      </c>
      <c r="M81" s="12">
        <f>ROUNDDOWN(J81,0)</f>
        <v>594</v>
      </c>
      <c r="N81" s="12">
        <f>ROUNDDOWN(K81*'04-Variant Rules'!$D$13,0)</f>
        <v>210</v>
      </c>
      <c r="O81" s="9">
        <v>8</v>
      </c>
    </row>
    <row r="82" spans="1:15" ht="21" customHeight="1">
      <c r="A82" s="9" t="s">
        <v>293</v>
      </c>
      <c r="B82" s="12">
        <f>IF(LEFT(H82,5)="VALID",M82,"")</f>
        <v>594</v>
      </c>
      <c r="C82" s="12">
        <f>IF(LEFT(H82,5)="VALID",N82,"")</f>
        <v>560</v>
      </c>
      <c r="D82" s="10" t="s">
        <v>82</v>
      </c>
      <c r="E82" s="10" t="s">
        <v>283</v>
      </c>
      <c r="F82" s="10" t="s">
        <v>150</v>
      </c>
      <c r="G82" s="10" t="s">
        <v>151</v>
      </c>
      <c r="H82" s="11" t="str">
        <f>IF(OR(M82&lt;=0,N82&lt;=0),"SKIPPED - NONPOSITIVE",IF(OR(M82&lt;L82,N82&lt;L82),"SKIPPED - BELOW MIN",IF(OR(M82&gt;J82,N82&gt;K82),"SKIPPED - EXCEEDS BASE",IF(COUNTIFS($M$73:M81,M82,$N$73:N81,N82)&gt;0,"SKIPPED - DUPLICATE","VALID - GENERATED"))))</f>
        <v>VALID - GENERATED</v>
      </c>
      <c r="I82" s="10" t="s">
        <v>284</v>
      </c>
      <c r="J82" s="12">
        <f>'05-ISO Reference'!$B$6</f>
        <v>594</v>
      </c>
      <c r="K82" s="12">
        <f>'05-ISO Reference'!$C$6</f>
        <v>841</v>
      </c>
      <c r="L82" s="12">
        <f>'01-Process Controls'!$G$5</f>
        <v>3</v>
      </c>
      <c r="M82" s="12">
        <f>ROUNDDOWN(J82,0)</f>
        <v>594</v>
      </c>
      <c r="N82" s="12">
        <f>ROUNDDOWN(K82*'04-Variant Rules'!$D$14,0)</f>
        <v>560</v>
      </c>
      <c r="O82" s="9">
        <v>9</v>
      </c>
    </row>
    <row r="83" spans="1:15" ht="21" customHeight="1">
      <c r="A83" s="9" t="s">
        <v>294</v>
      </c>
      <c r="B83" s="12">
        <f>IF(LEFT(H83,5)="VALID",M83,"")</f>
        <v>594</v>
      </c>
      <c r="C83" s="12">
        <f>IF(LEFT(H83,5)="VALID",N83,"")</f>
        <v>630</v>
      </c>
      <c r="D83" s="10" t="s">
        <v>82</v>
      </c>
      <c r="E83" s="10" t="s">
        <v>283</v>
      </c>
      <c r="F83" s="10" t="s">
        <v>153</v>
      </c>
      <c r="G83" s="10" t="s">
        <v>154</v>
      </c>
      <c r="H83" s="11" t="str">
        <f>IF(OR(M83&lt;=0,N83&lt;=0),"SKIPPED - NONPOSITIVE",IF(OR(M83&lt;L83,N83&lt;L83),"SKIPPED - BELOW MIN",IF(OR(M83&gt;J83,N83&gt;K83),"SKIPPED - EXCEEDS BASE",IF(COUNTIFS($M$73:M82,M83,$N$73:N82,N83)&gt;0,"SKIPPED - DUPLICATE","VALID - GENERATED"))))</f>
        <v>VALID - GENERATED</v>
      </c>
      <c r="I83" s="10" t="s">
        <v>284</v>
      </c>
      <c r="J83" s="12">
        <f>'05-ISO Reference'!$B$6</f>
        <v>594</v>
      </c>
      <c r="K83" s="12">
        <f>'05-ISO Reference'!$C$6</f>
        <v>841</v>
      </c>
      <c r="L83" s="12">
        <f>'01-Process Controls'!$G$5</f>
        <v>3</v>
      </c>
      <c r="M83" s="12">
        <f>ROUNDDOWN(J83,0)</f>
        <v>594</v>
      </c>
      <c r="N83" s="12">
        <f>ROUNDDOWN(K83*'04-Variant Rules'!$D$15,0)</f>
        <v>630</v>
      </c>
      <c r="O83" s="9">
        <v>10</v>
      </c>
    </row>
    <row r="84" spans="1:15" ht="21" customHeight="1">
      <c r="A84" s="9" t="s">
        <v>295</v>
      </c>
      <c r="B84" s="12">
        <f>IF(LEFT(H84,5)="VALID",M84,"")</f>
        <v>297</v>
      </c>
      <c r="C84" s="12">
        <f>IF(LEFT(H84,5)="VALID",N84,"")</f>
        <v>420</v>
      </c>
      <c r="D84" s="10" t="s">
        <v>82</v>
      </c>
      <c r="E84" s="10" t="s">
        <v>283</v>
      </c>
      <c r="F84" s="10" t="s">
        <v>156</v>
      </c>
      <c r="G84" s="10" t="s">
        <v>157</v>
      </c>
      <c r="H84" s="11" t="str">
        <f>IF(OR(M84&lt;=0,N84&lt;=0),"SKIPPED - NONPOSITIVE",IF(OR(M84&lt;L84,N84&lt;L84),"SKIPPED - BELOW MIN",IF(OR(M84&gt;J84,N84&gt;K84),"SKIPPED - EXCEEDS BASE",IF(COUNTIFS($M$73:M83,M84,$N$73:N83,N84)&gt;0,"SKIPPED - DUPLICATE","VALID - GENERATED"))))</f>
        <v>VALID - GENERATED</v>
      </c>
      <c r="I84" s="10" t="s">
        <v>284</v>
      </c>
      <c r="J84" s="12">
        <f>'05-ISO Reference'!$B$6</f>
        <v>594</v>
      </c>
      <c r="K84" s="12">
        <f>'05-ISO Reference'!$C$6</f>
        <v>841</v>
      </c>
      <c r="L84" s="12">
        <f>'01-Process Controls'!$G$5</f>
        <v>3</v>
      </c>
      <c r="M84" s="12">
        <f>ROUNDDOWN(J84*'04-Variant Rules'!$D$16,0)</f>
        <v>297</v>
      </c>
      <c r="N84" s="12">
        <f>ROUNDDOWN(K84*'04-Variant Rules'!$E$16,0)</f>
        <v>420</v>
      </c>
      <c r="O84" s="9">
        <v>11</v>
      </c>
    </row>
    <row r="85" spans="1:15" ht="21" customHeight="1">
      <c r="A85" s="9" t="s">
        <v>296</v>
      </c>
      <c r="B85" s="12">
        <f>IF(LEFT(H85,5)="VALID",M85,"")</f>
        <v>198</v>
      </c>
      <c r="C85" s="12">
        <f>IF(LEFT(H85,5)="VALID",N85,"")</f>
        <v>280</v>
      </c>
      <c r="D85" s="10" t="s">
        <v>82</v>
      </c>
      <c r="E85" s="10" t="s">
        <v>283</v>
      </c>
      <c r="F85" s="10" t="s">
        <v>159</v>
      </c>
      <c r="G85" s="10" t="s">
        <v>160</v>
      </c>
      <c r="H85" s="11" t="str">
        <f>IF(OR(M85&lt;=0,N85&lt;=0),"SKIPPED - NONPOSITIVE",IF(OR(M85&lt;L85,N85&lt;L85),"SKIPPED - BELOW MIN",IF(OR(M85&gt;J85,N85&gt;K85),"SKIPPED - EXCEEDS BASE",IF(COUNTIFS($M$73:M84,M85,$N$73:N84,N85)&gt;0,"SKIPPED - DUPLICATE","VALID - GENERATED"))))</f>
        <v>VALID - GENERATED</v>
      </c>
      <c r="I85" s="10" t="s">
        <v>284</v>
      </c>
      <c r="J85" s="12">
        <f>'05-ISO Reference'!$B$6</f>
        <v>594</v>
      </c>
      <c r="K85" s="12">
        <f>'05-ISO Reference'!$C$6</f>
        <v>841</v>
      </c>
      <c r="L85" s="12">
        <f>'01-Process Controls'!$G$5</f>
        <v>3</v>
      </c>
      <c r="M85" s="12">
        <f>ROUNDDOWN(J85*'04-Variant Rules'!$D$17,0)</f>
        <v>198</v>
      </c>
      <c r="N85" s="12">
        <f>ROUNDDOWN(K85*'04-Variant Rules'!$E$17,0)</f>
        <v>280</v>
      </c>
      <c r="O85" s="9">
        <v>12</v>
      </c>
    </row>
    <row r="86" spans="1:15" ht="21" customHeight="1">
      <c r="A86" s="9" t="s">
        <v>297</v>
      </c>
      <c r="B86" s="12">
        <f>IF(LEFT(H86,5)="VALID",M86,"")</f>
        <v>148</v>
      </c>
      <c r="C86" s="12">
        <f>IF(LEFT(H86,5)="VALID",N86,"")</f>
        <v>210</v>
      </c>
      <c r="D86" s="10" t="s">
        <v>82</v>
      </c>
      <c r="E86" s="10" t="s">
        <v>283</v>
      </c>
      <c r="F86" s="10" t="s">
        <v>162</v>
      </c>
      <c r="G86" s="10" t="s">
        <v>163</v>
      </c>
      <c r="H86" s="11" t="str">
        <f>IF(OR(M86&lt;=0,N86&lt;=0),"SKIPPED - NONPOSITIVE",IF(OR(M86&lt;L86,N86&lt;L86),"SKIPPED - BELOW MIN",IF(OR(M86&gt;J86,N86&gt;K86),"SKIPPED - EXCEEDS BASE",IF(COUNTIFS($M$73:M85,M86,$N$73:N85,N86)&gt;0,"SKIPPED - DUPLICATE","VALID - GENERATED"))))</f>
        <v>VALID - GENERATED</v>
      </c>
      <c r="I86" s="10" t="s">
        <v>284</v>
      </c>
      <c r="J86" s="12">
        <f>'05-ISO Reference'!$B$6</f>
        <v>594</v>
      </c>
      <c r="K86" s="12">
        <f>'05-ISO Reference'!$C$6</f>
        <v>841</v>
      </c>
      <c r="L86" s="12">
        <f>'01-Process Controls'!$G$5</f>
        <v>3</v>
      </c>
      <c r="M86" s="12">
        <f>ROUNDDOWN(J86*'04-Variant Rules'!$D$18,0)</f>
        <v>148</v>
      </c>
      <c r="N86" s="12">
        <f>ROUNDDOWN(K86*'04-Variant Rules'!$E$18,0)</f>
        <v>210</v>
      </c>
      <c r="O86" s="9">
        <v>13</v>
      </c>
    </row>
    <row r="87" spans="1:15" ht="21" customHeight="1">
      <c r="A87" s="9" t="s">
        <v>298</v>
      </c>
      <c r="B87" s="12">
        <f>IF(LEFT(H87,5)="VALID",M87,"")</f>
        <v>297</v>
      </c>
      <c r="C87" s="12">
        <f>IF(LEFT(H87,5)="VALID",N87,"")</f>
        <v>280</v>
      </c>
      <c r="D87" s="10" t="s">
        <v>82</v>
      </c>
      <c r="E87" s="10" t="s">
        <v>283</v>
      </c>
      <c r="F87" s="10" t="s">
        <v>165</v>
      </c>
      <c r="G87" s="10" t="s">
        <v>166</v>
      </c>
      <c r="H87" s="11" t="str">
        <f>IF(OR(M87&lt;=0,N87&lt;=0),"SKIPPED - NONPOSITIVE",IF(OR(M87&lt;L87,N87&lt;L87),"SKIPPED - BELOW MIN",IF(OR(M87&gt;J87,N87&gt;K87),"SKIPPED - EXCEEDS BASE",IF(COUNTIFS($M$73:M86,M87,$N$73:N86,N87)&gt;0,"SKIPPED - DUPLICATE","VALID - GENERATED"))))</f>
        <v>VALID - GENERATED</v>
      </c>
      <c r="I87" s="10" t="s">
        <v>284</v>
      </c>
      <c r="J87" s="12">
        <f>'05-ISO Reference'!$B$6</f>
        <v>594</v>
      </c>
      <c r="K87" s="12">
        <f>'05-ISO Reference'!$C$6</f>
        <v>841</v>
      </c>
      <c r="L87" s="12">
        <f>'01-Process Controls'!$G$5</f>
        <v>3</v>
      </c>
      <c r="M87" s="12">
        <f>ROUNDDOWN(J87*'04-Variant Rules'!$D$19,0)</f>
        <v>297</v>
      </c>
      <c r="N87" s="12">
        <f>ROUNDDOWN(K87*'04-Variant Rules'!$E$19,0)</f>
        <v>280</v>
      </c>
      <c r="O87" s="9">
        <v>14</v>
      </c>
    </row>
    <row r="88" spans="1:15" ht="21" customHeight="1">
      <c r="A88" s="9" t="s">
        <v>299</v>
      </c>
      <c r="B88" s="12">
        <f>IF(LEFT(H88,5)="VALID",M88,"")</f>
        <v>198</v>
      </c>
      <c r="C88" s="12">
        <f>IF(LEFT(H88,5)="VALID",N88,"")</f>
        <v>420</v>
      </c>
      <c r="D88" s="10" t="s">
        <v>82</v>
      </c>
      <c r="E88" s="10" t="s">
        <v>283</v>
      </c>
      <c r="F88" s="10" t="s">
        <v>168</v>
      </c>
      <c r="G88" s="10" t="s">
        <v>166</v>
      </c>
      <c r="H88" s="11" t="str">
        <f>IF(OR(M88&lt;=0,N88&lt;=0),"SKIPPED - NONPOSITIVE",IF(OR(M88&lt;L88,N88&lt;L88),"SKIPPED - BELOW MIN",IF(OR(M88&gt;J88,N88&gt;K88),"SKIPPED - EXCEEDS BASE",IF(COUNTIFS($M$73:M87,M88,$N$73:N87,N88)&gt;0,"SKIPPED - DUPLICATE","VALID - GENERATED"))))</f>
        <v>VALID - GENERATED</v>
      </c>
      <c r="I88" s="10" t="s">
        <v>284</v>
      </c>
      <c r="J88" s="12">
        <f>'05-ISO Reference'!$B$6</f>
        <v>594</v>
      </c>
      <c r="K88" s="12">
        <f>'05-ISO Reference'!$C$6</f>
        <v>841</v>
      </c>
      <c r="L88" s="12">
        <f>'01-Process Controls'!$G$5</f>
        <v>3</v>
      </c>
      <c r="M88" s="12">
        <f>ROUNDDOWN(J88*'04-Variant Rules'!$D$20,0)</f>
        <v>198</v>
      </c>
      <c r="N88" s="12">
        <f>ROUNDDOWN(K88*'04-Variant Rules'!$E$20,0)</f>
        <v>420</v>
      </c>
      <c r="O88" s="9">
        <v>15</v>
      </c>
    </row>
    <row r="89" spans="1:15" ht="21" customHeight="1">
      <c r="A89" s="9" t="s">
        <v>300</v>
      </c>
      <c r="B89" s="12">
        <f>IF(LEFT(H89,5)="VALID",M89,"")</f>
        <v>297</v>
      </c>
      <c r="C89" s="12">
        <f>IF(LEFT(H89,5)="VALID",N89,"")</f>
        <v>210</v>
      </c>
      <c r="D89" s="10" t="s">
        <v>82</v>
      </c>
      <c r="E89" s="10" t="s">
        <v>283</v>
      </c>
      <c r="F89" s="10" t="s">
        <v>170</v>
      </c>
      <c r="G89" s="10" t="s">
        <v>166</v>
      </c>
      <c r="H89" s="11" t="str">
        <f>IF(OR(M89&lt;=0,N89&lt;=0),"SKIPPED - NONPOSITIVE",IF(OR(M89&lt;L89,N89&lt;L89),"SKIPPED - BELOW MIN",IF(OR(M89&gt;J89,N89&gt;K89),"SKIPPED - EXCEEDS BASE",IF(COUNTIFS($M$73:M88,M89,$N$73:N88,N89)&gt;0,"SKIPPED - DUPLICATE","VALID - GENERATED"))))</f>
        <v>VALID - GENERATED</v>
      </c>
      <c r="I89" s="10" t="s">
        <v>284</v>
      </c>
      <c r="J89" s="12">
        <f>'05-ISO Reference'!$B$6</f>
        <v>594</v>
      </c>
      <c r="K89" s="12">
        <f>'05-ISO Reference'!$C$6</f>
        <v>841</v>
      </c>
      <c r="L89" s="12">
        <f>'01-Process Controls'!$G$5</f>
        <v>3</v>
      </c>
      <c r="M89" s="12">
        <f>ROUNDDOWN(J89*'04-Variant Rules'!$D$21,0)</f>
        <v>297</v>
      </c>
      <c r="N89" s="12">
        <f>ROUNDDOWN(K89*'04-Variant Rules'!$E$21,0)</f>
        <v>210</v>
      </c>
      <c r="O89" s="9">
        <v>16</v>
      </c>
    </row>
    <row r="90" spans="1:15" ht="21" customHeight="1">
      <c r="A90" s="9" t="s">
        <v>301</v>
      </c>
      <c r="B90" s="12">
        <f>IF(LEFT(H90,5)="VALID",M90,"")</f>
        <v>148</v>
      </c>
      <c r="C90" s="12">
        <f>IF(LEFT(H90,5)="VALID",N90,"")</f>
        <v>420</v>
      </c>
      <c r="D90" s="10" t="s">
        <v>82</v>
      </c>
      <c r="E90" s="10" t="s">
        <v>283</v>
      </c>
      <c r="F90" s="10" t="s">
        <v>172</v>
      </c>
      <c r="G90" s="10" t="s">
        <v>166</v>
      </c>
      <c r="H90" s="11" t="str">
        <f>IF(OR(M90&lt;=0,N90&lt;=0),"SKIPPED - NONPOSITIVE",IF(OR(M90&lt;L90,N90&lt;L90),"SKIPPED - BELOW MIN",IF(OR(M90&gt;J90,N90&gt;K90),"SKIPPED - EXCEEDS BASE",IF(COUNTIFS($M$73:M89,M90,$N$73:N89,N90)&gt;0,"SKIPPED - DUPLICATE","VALID - GENERATED"))))</f>
        <v>VALID - GENERATED</v>
      </c>
      <c r="I90" s="10" t="s">
        <v>284</v>
      </c>
      <c r="J90" s="12">
        <f>'05-ISO Reference'!$B$6</f>
        <v>594</v>
      </c>
      <c r="K90" s="12">
        <f>'05-ISO Reference'!$C$6</f>
        <v>841</v>
      </c>
      <c r="L90" s="12">
        <f>'01-Process Controls'!$G$5</f>
        <v>3</v>
      </c>
      <c r="M90" s="12">
        <f>ROUNDDOWN(J90*'04-Variant Rules'!$D$22,0)</f>
        <v>148</v>
      </c>
      <c r="N90" s="12">
        <f>ROUNDDOWN(K90*'04-Variant Rules'!$E$22,0)</f>
        <v>420</v>
      </c>
      <c r="O90" s="9">
        <v>17</v>
      </c>
    </row>
    <row r="91" spans="1:15" ht="21" customHeight="1">
      <c r="A91" s="9" t="s">
        <v>302</v>
      </c>
      <c r="B91" s="12">
        <f>IF(LEFT(H91,5)="VALID",M91,"")</f>
        <v>396</v>
      </c>
      <c r="C91" s="12">
        <f>IF(LEFT(H91,5)="VALID",N91,"")</f>
        <v>420</v>
      </c>
      <c r="D91" s="10" t="s">
        <v>82</v>
      </c>
      <c r="E91" s="10" t="s">
        <v>283</v>
      </c>
      <c r="F91" s="10" t="s">
        <v>174</v>
      </c>
      <c r="G91" s="10" t="s">
        <v>166</v>
      </c>
      <c r="H91" s="11" t="str">
        <f>IF(OR(M91&lt;=0,N91&lt;=0),"SKIPPED - NONPOSITIVE",IF(OR(M91&lt;L91,N91&lt;L91),"SKIPPED - BELOW MIN",IF(OR(M91&gt;J91,N91&gt;K91),"SKIPPED - EXCEEDS BASE",IF(COUNTIFS($M$73:M90,M91,$N$73:N90,N91)&gt;0,"SKIPPED - DUPLICATE","VALID - GENERATED"))))</f>
        <v>VALID - GENERATED</v>
      </c>
      <c r="I91" s="10" t="s">
        <v>284</v>
      </c>
      <c r="J91" s="12">
        <f>'05-ISO Reference'!$B$6</f>
        <v>594</v>
      </c>
      <c r="K91" s="12">
        <f>'05-ISO Reference'!$C$6</f>
        <v>841</v>
      </c>
      <c r="L91" s="12">
        <f>'01-Process Controls'!$G$5</f>
        <v>3</v>
      </c>
      <c r="M91" s="12">
        <f>ROUNDDOWN(J91*'04-Variant Rules'!$D$23,0)</f>
        <v>396</v>
      </c>
      <c r="N91" s="12">
        <f>ROUNDDOWN(K91*'04-Variant Rules'!$E$23,0)</f>
        <v>420</v>
      </c>
      <c r="O91" s="9">
        <v>18</v>
      </c>
    </row>
    <row r="92" spans="1:15" ht="21" customHeight="1">
      <c r="A92" s="9" t="s">
        <v>303</v>
      </c>
      <c r="B92" s="12">
        <f>IF(LEFT(H92,5)="VALID",M92,"")</f>
        <v>297</v>
      </c>
      <c r="C92" s="12">
        <f>IF(LEFT(H92,5)="VALID",N92,"")</f>
        <v>560</v>
      </c>
      <c r="D92" s="10" t="s">
        <v>82</v>
      </c>
      <c r="E92" s="10" t="s">
        <v>283</v>
      </c>
      <c r="F92" s="10" t="s">
        <v>176</v>
      </c>
      <c r="G92" s="10" t="s">
        <v>166</v>
      </c>
      <c r="H92" s="11" t="str">
        <f>IF(OR(M92&lt;=0,N92&lt;=0),"SKIPPED - NONPOSITIVE",IF(OR(M92&lt;L92,N92&lt;L92),"SKIPPED - BELOW MIN",IF(OR(M92&gt;J92,N92&gt;K92),"SKIPPED - EXCEEDS BASE",IF(COUNTIFS($M$73:M91,M92,$N$73:N91,N92)&gt;0,"SKIPPED - DUPLICATE","VALID - GENERATED"))))</f>
        <v>VALID - GENERATED</v>
      </c>
      <c r="I92" s="10" t="s">
        <v>284</v>
      </c>
      <c r="J92" s="12">
        <f>'05-ISO Reference'!$B$6</f>
        <v>594</v>
      </c>
      <c r="K92" s="12">
        <f>'05-ISO Reference'!$C$6</f>
        <v>841</v>
      </c>
      <c r="L92" s="12">
        <f>'01-Process Controls'!$G$5</f>
        <v>3</v>
      </c>
      <c r="M92" s="12">
        <f>ROUNDDOWN(J92*'04-Variant Rules'!$D$24,0)</f>
        <v>297</v>
      </c>
      <c r="N92" s="12">
        <f>ROUNDDOWN(K92*'04-Variant Rules'!$E$24,0)</f>
        <v>560</v>
      </c>
      <c r="O92" s="9">
        <v>19</v>
      </c>
    </row>
    <row r="93" spans="1:15" ht="21" customHeight="1">
      <c r="A93" s="9" t="s">
        <v>304</v>
      </c>
      <c r="B93" s="12">
        <f>IF(LEFT(H93,5)="VALID",M93,"")</f>
        <v>445</v>
      </c>
      <c r="C93" s="12">
        <f>IF(LEFT(H93,5)="VALID",N93,"")</f>
        <v>420</v>
      </c>
      <c r="D93" s="10" t="s">
        <v>82</v>
      </c>
      <c r="E93" s="10" t="s">
        <v>283</v>
      </c>
      <c r="F93" s="10" t="s">
        <v>178</v>
      </c>
      <c r="G93" s="10" t="s">
        <v>166</v>
      </c>
      <c r="H93" s="11" t="str">
        <f>IF(OR(M93&lt;=0,N93&lt;=0),"SKIPPED - NONPOSITIVE",IF(OR(M93&lt;L93,N93&lt;L93),"SKIPPED - BELOW MIN",IF(OR(M93&gt;J93,N93&gt;K93),"SKIPPED - EXCEEDS BASE",IF(COUNTIFS($M$73:M92,M93,$N$73:N92,N93)&gt;0,"SKIPPED - DUPLICATE","VALID - GENERATED"))))</f>
        <v>VALID - GENERATED</v>
      </c>
      <c r="I93" s="10" t="s">
        <v>284</v>
      </c>
      <c r="J93" s="12">
        <f>'05-ISO Reference'!$B$6</f>
        <v>594</v>
      </c>
      <c r="K93" s="12">
        <f>'05-ISO Reference'!$C$6</f>
        <v>841</v>
      </c>
      <c r="L93" s="12">
        <f>'01-Process Controls'!$G$5</f>
        <v>3</v>
      </c>
      <c r="M93" s="12">
        <f>ROUNDDOWN(J93*'04-Variant Rules'!$D$25,0)</f>
        <v>445</v>
      </c>
      <c r="N93" s="12">
        <f>ROUNDDOWN(K93*'04-Variant Rules'!$E$25,0)</f>
        <v>420</v>
      </c>
      <c r="O93" s="9">
        <v>20</v>
      </c>
    </row>
    <row r="94" spans="1:15" ht="21" customHeight="1">
      <c r="A94" s="9" t="s">
        <v>305</v>
      </c>
      <c r="B94" s="12">
        <f>IF(LEFT(H94,5)="VALID",M94,"")</f>
        <v>297</v>
      </c>
      <c r="C94" s="12">
        <f>IF(LEFT(H94,5)="VALID",N94,"")</f>
        <v>630</v>
      </c>
      <c r="D94" s="10" t="s">
        <v>82</v>
      </c>
      <c r="E94" s="10" t="s">
        <v>283</v>
      </c>
      <c r="F94" s="10" t="s">
        <v>180</v>
      </c>
      <c r="G94" s="10" t="s">
        <v>166</v>
      </c>
      <c r="H94" s="11" t="str">
        <f>IF(OR(M94&lt;=0,N94&lt;=0),"SKIPPED - NONPOSITIVE",IF(OR(M94&lt;L94,N94&lt;L94),"SKIPPED - BELOW MIN",IF(OR(M94&gt;J94,N94&gt;K94),"SKIPPED - EXCEEDS BASE",IF(COUNTIFS($M$73:M93,M94,$N$73:N93,N94)&gt;0,"SKIPPED - DUPLICATE","VALID - GENERATED"))))</f>
        <v>VALID - GENERATED</v>
      </c>
      <c r="I94" s="10" t="s">
        <v>284</v>
      </c>
      <c r="J94" s="12">
        <f>'05-ISO Reference'!$B$6</f>
        <v>594</v>
      </c>
      <c r="K94" s="12">
        <f>'05-ISO Reference'!$C$6</f>
        <v>841</v>
      </c>
      <c r="L94" s="12">
        <f>'01-Process Controls'!$G$5</f>
        <v>3</v>
      </c>
      <c r="M94" s="12">
        <f>ROUNDDOWN(J94*'04-Variant Rules'!$D$26,0)</f>
        <v>297</v>
      </c>
      <c r="N94" s="12">
        <f>ROUNDDOWN(K94*'04-Variant Rules'!$E$26,0)</f>
        <v>630</v>
      </c>
      <c r="O94" s="9">
        <v>21</v>
      </c>
    </row>
    <row r="95" spans="1:15" ht="21" customHeight="1">
      <c r="A95" s="9" t="s">
        <v>306</v>
      </c>
      <c r="B95" s="12">
        <f>IF(LEFT(H95,5)="VALID",M95,"")</f>
        <v>564</v>
      </c>
      <c r="C95" s="12">
        <f>IF(LEFT(H95,5)="VALID",N95,"")</f>
        <v>798</v>
      </c>
      <c r="D95" s="10" t="s">
        <v>82</v>
      </c>
      <c r="E95" s="10" t="s">
        <v>283</v>
      </c>
      <c r="F95" s="10" t="s">
        <v>182</v>
      </c>
      <c r="G95" s="10" t="s">
        <v>183</v>
      </c>
      <c r="H95" s="11" t="str">
        <f>IF(OR(M95&lt;=0,N95&lt;=0),"SKIPPED - NONPOSITIVE",IF(OR(M95&lt;L95,N95&lt;L95),"SKIPPED - BELOW MIN",IF(OR(M95&gt;J95,N95&gt;K95),"SKIPPED - EXCEEDS BASE",IF(COUNTIFS($M$73:M94,M95,$N$73:N94,N95)&gt;0,"SKIPPED - DUPLICATE","VALID - GENERATED"))))</f>
        <v>VALID - GENERATED</v>
      </c>
      <c r="I95" s="10" t="s">
        <v>284</v>
      </c>
      <c r="J95" s="12">
        <f>'05-ISO Reference'!$B$6</f>
        <v>594</v>
      </c>
      <c r="K95" s="12">
        <f>'05-ISO Reference'!$C$6</f>
        <v>841</v>
      </c>
      <c r="L95" s="12">
        <f>'01-Process Controls'!$G$5</f>
        <v>3</v>
      </c>
      <c r="M95" s="12">
        <f>ROUNDDOWN(J95*'04-Variant Rules'!$D$27,0)</f>
        <v>564</v>
      </c>
      <c r="N95" s="12">
        <f>ROUNDDOWN(K95*'04-Variant Rules'!$E$27,0)</f>
        <v>798</v>
      </c>
      <c r="O95" s="9">
        <v>22</v>
      </c>
    </row>
    <row r="96" spans="1:15" ht="21" customHeight="1">
      <c r="A96" s="9" t="s">
        <v>307</v>
      </c>
      <c r="B96" s="12">
        <f>IF(LEFT(H96,5)="VALID",M96,"")</f>
        <v>534</v>
      </c>
      <c r="C96" s="12">
        <f>IF(LEFT(H96,5)="VALID",N96,"")</f>
        <v>756</v>
      </c>
      <c r="D96" s="10" t="s">
        <v>82</v>
      </c>
      <c r="E96" s="10" t="s">
        <v>283</v>
      </c>
      <c r="F96" s="10" t="s">
        <v>185</v>
      </c>
      <c r="G96" s="10" t="s">
        <v>186</v>
      </c>
      <c r="H96" s="11" t="str">
        <f>IF(OR(M96&lt;=0,N96&lt;=0),"SKIPPED - NONPOSITIVE",IF(OR(M96&lt;L96,N96&lt;L96),"SKIPPED - BELOW MIN",IF(OR(M96&gt;J96,N96&gt;K96),"SKIPPED - EXCEEDS BASE",IF(COUNTIFS($M$73:M95,M96,$N$73:N95,N96)&gt;0,"SKIPPED - DUPLICATE","VALID - GENERATED"))))</f>
        <v>VALID - GENERATED</v>
      </c>
      <c r="I96" s="10" t="s">
        <v>284</v>
      </c>
      <c r="J96" s="12">
        <f>'05-ISO Reference'!$B$6</f>
        <v>594</v>
      </c>
      <c r="K96" s="12">
        <f>'05-ISO Reference'!$C$6</f>
        <v>841</v>
      </c>
      <c r="L96" s="12">
        <f>'01-Process Controls'!$G$5</f>
        <v>3</v>
      </c>
      <c r="M96" s="12">
        <f>ROUNDDOWN(J96*'04-Variant Rules'!$D$28,0)</f>
        <v>534</v>
      </c>
      <c r="N96" s="12">
        <f>ROUNDDOWN(K96*'04-Variant Rules'!$E$28,0)</f>
        <v>756</v>
      </c>
      <c r="O96" s="9">
        <v>23</v>
      </c>
    </row>
    <row r="97" spans="1:15" ht="21" customHeight="1">
      <c r="A97" s="9" t="s">
        <v>308</v>
      </c>
      <c r="B97" s="12">
        <f>IF(LEFT(H97,5)="VALID",M97,"")</f>
        <v>504</v>
      </c>
      <c r="C97" s="12">
        <f>IF(LEFT(H97,5)="VALID",N97,"")</f>
        <v>714</v>
      </c>
      <c r="D97" s="10" t="s">
        <v>82</v>
      </c>
      <c r="E97" s="10" t="s">
        <v>283</v>
      </c>
      <c r="F97" s="10" t="s">
        <v>188</v>
      </c>
      <c r="G97" s="10" t="s">
        <v>186</v>
      </c>
      <c r="H97" s="11" t="str">
        <f>IF(OR(M97&lt;=0,N97&lt;=0),"SKIPPED - NONPOSITIVE",IF(OR(M97&lt;L97,N97&lt;L97),"SKIPPED - BELOW MIN",IF(OR(M97&gt;J97,N97&gt;K97),"SKIPPED - EXCEEDS BASE",IF(COUNTIFS($M$73:M96,M97,$N$73:N96,N97)&gt;0,"SKIPPED - DUPLICATE","VALID - GENERATED"))))</f>
        <v>VALID - GENERATED</v>
      </c>
      <c r="I97" s="10" t="s">
        <v>284</v>
      </c>
      <c r="J97" s="12">
        <f>'05-ISO Reference'!$B$6</f>
        <v>594</v>
      </c>
      <c r="K97" s="12">
        <f>'05-ISO Reference'!$C$6</f>
        <v>841</v>
      </c>
      <c r="L97" s="12">
        <f>'01-Process Controls'!$G$5</f>
        <v>3</v>
      </c>
      <c r="M97" s="12">
        <f>ROUNDDOWN(J97*'04-Variant Rules'!$D$29,0)</f>
        <v>504</v>
      </c>
      <c r="N97" s="12">
        <f>ROUNDDOWN(K97*'04-Variant Rules'!$E$29,0)</f>
        <v>714</v>
      </c>
      <c r="O97" s="9">
        <v>24</v>
      </c>
    </row>
    <row r="98" spans="1:15" ht="21" customHeight="1">
      <c r="A98" s="9" t="s">
        <v>309</v>
      </c>
      <c r="B98" s="12">
        <f>IF(LEFT(H98,5)="VALID",M98,"")</f>
        <v>475</v>
      </c>
      <c r="C98" s="12">
        <f>IF(LEFT(H98,5)="VALID",N98,"")</f>
        <v>672</v>
      </c>
      <c r="D98" s="10" t="s">
        <v>82</v>
      </c>
      <c r="E98" s="10" t="s">
        <v>283</v>
      </c>
      <c r="F98" s="10" t="s">
        <v>190</v>
      </c>
      <c r="G98" s="10" t="s">
        <v>186</v>
      </c>
      <c r="H98" s="11" t="str">
        <f>IF(OR(M98&lt;=0,N98&lt;=0),"SKIPPED - NONPOSITIVE",IF(OR(M98&lt;L98,N98&lt;L98),"SKIPPED - BELOW MIN",IF(OR(M98&gt;J98,N98&gt;K98),"SKIPPED - EXCEEDS BASE",IF(COUNTIFS($M$73:M97,M98,$N$73:N97,N98)&gt;0,"SKIPPED - DUPLICATE","VALID - GENERATED"))))</f>
        <v>VALID - GENERATED</v>
      </c>
      <c r="I98" s="10" t="s">
        <v>284</v>
      </c>
      <c r="J98" s="12">
        <f>'05-ISO Reference'!$B$6</f>
        <v>594</v>
      </c>
      <c r="K98" s="12">
        <f>'05-ISO Reference'!$C$6</f>
        <v>841</v>
      </c>
      <c r="L98" s="12">
        <f>'01-Process Controls'!$G$5</f>
        <v>3</v>
      </c>
      <c r="M98" s="12">
        <f>ROUNDDOWN(J98*'04-Variant Rules'!$D$30,0)</f>
        <v>475</v>
      </c>
      <c r="N98" s="12">
        <f>ROUNDDOWN(K98*'04-Variant Rules'!$E$30,0)</f>
        <v>672</v>
      </c>
      <c r="O98" s="9">
        <v>25</v>
      </c>
    </row>
    <row r="99" spans="1:15" ht="21" customHeight="1">
      <c r="A99" s="9" t="s">
        <v>310</v>
      </c>
      <c r="B99" s="12">
        <f>IF(LEFT(H99,5)="VALID",M99,"")</f>
        <v>445</v>
      </c>
      <c r="C99" s="12">
        <f>IF(LEFT(H99,5)="VALID",N99,"")</f>
        <v>630</v>
      </c>
      <c r="D99" s="10" t="s">
        <v>82</v>
      </c>
      <c r="E99" s="10" t="s">
        <v>283</v>
      </c>
      <c r="F99" s="10" t="s">
        <v>192</v>
      </c>
      <c r="G99" s="10" t="s">
        <v>186</v>
      </c>
      <c r="H99" s="11" t="str">
        <f>IF(OR(M99&lt;=0,N99&lt;=0),"SKIPPED - NONPOSITIVE",IF(OR(M99&lt;L99,N99&lt;L99),"SKIPPED - BELOW MIN",IF(OR(M99&gt;J99,N99&gt;K99),"SKIPPED - EXCEEDS BASE",IF(COUNTIFS($M$73:M98,M99,$N$73:N98,N99)&gt;0,"SKIPPED - DUPLICATE","VALID - GENERATED"))))</f>
        <v>VALID - GENERATED</v>
      </c>
      <c r="I99" s="10" t="s">
        <v>284</v>
      </c>
      <c r="J99" s="12">
        <f>'05-ISO Reference'!$B$6</f>
        <v>594</v>
      </c>
      <c r="K99" s="12">
        <f>'05-ISO Reference'!$C$6</f>
        <v>841</v>
      </c>
      <c r="L99" s="12">
        <f>'01-Process Controls'!$G$5</f>
        <v>3</v>
      </c>
      <c r="M99" s="12">
        <f>ROUNDDOWN(J99*'04-Variant Rules'!$D$31,0)</f>
        <v>445</v>
      </c>
      <c r="N99" s="12">
        <f>ROUNDDOWN(K99*'04-Variant Rules'!$E$31,0)</f>
        <v>630</v>
      </c>
      <c r="O99" s="9">
        <v>26</v>
      </c>
    </row>
    <row r="100" spans="1:15" ht="21" customHeight="1">
      <c r="A100" s="9" t="s">
        <v>311</v>
      </c>
      <c r="B100" s="12">
        <f>IF(LEFT(H100,5)="VALID",M100,"")</f>
        <v>415</v>
      </c>
      <c r="C100" s="12">
        <f>IF(LEFT(H100,5)="VALID",N100,"")</f>
        <v>588</v>
      </c>
      <c r="D100" s="10" t="s">
        <v>82</v>
      </c>
      <c r="E100" s="10" t="s">
        <v>283</v>
      </c>
      <c r="F100" s="10" t="s">
        <v>194</v>
      </c>
      <c r="G100" s="10" t="s">
        <v>186</v>
      </c>
      <c r="H100" s="11" t="str">
        <f>IF(OR(M100&lt;=0,N100&lt;=0),"SKIPPED - NONPOSITIVE",IF(OR(M100&lt;L100,N100&lt;L100),"SKIPPED - BELOW MIN",IF(OR(M100&gt;J100,N100&gt;K100),"SKIPPED - EXCEEDS BASE",IF(COUNTIFS($M$73:M99,M100,$N$73:N99,N100)&gt;0,"SKIPPED - DUPLICATE","VALID - GENERATED"))))</f>
        <v>VALID - GENERATED</v>
      </c>
      <c r="I100" s="10" t="s">
        <v>284</v>
      </c>
      <c r="J100" s="12">
        <f>'05-ISO Reference'!$B$6</f>
        <v>594</v>
      </c>
      <c r="K100" s="12">
        <f>'05-ISO Reference'!$C$6</f>
        <v>841</v>
      </c>
      <c r="L100" s="12">
        <f>'01-Process Controls'!$G$5</f>
        <v>3</v>
      </c>
      <c r="M100" s="12">
        <f>ROUNDDOWN(J100*'04-Variant Rules'!$D$32,0)</f>
        <v>415</v>
      </c>
      <c r="N100" s="12">
        <f>ROUNDDOWN(K100*'04-Variant Rules'!$E$32,0)</f>
        <v>588</v>
      </c>
      <c r="O100" s="9">
        <v>27</v>
      </c>
    </row>
    <row r="101" spans="1:15" ht="21" customHeight="1">
      <c r="A101" s="9" t="s">
        <v>312</v>
      </c>
      <c r="B101" s="12">
        <f>IF(LEFT(H101,5)="VALID",M101,"")</f>
        <v>396</v>
      </c>
      <c r="C101" s="12">
        <f>IF(LEFT(H101,5)="VALID",N101,"")</f>
        <v>560</v>
      </c>
      <c r="D101" s="10" t="s">
        <v>82</v>
      </c>
      <c r="E101" s="10" t="s">
        <v>283</v>
      </c>
      <c r="F101" s="10" t="s">
        <v>196</v>
      </c>
      <c r="G101" s="10" t="s">
        <v>186</v>
      </c>
      <c r="H101" s="11" t="str">
        <f>IF(OR(M101&lt;=0,N101&lt;=0),"SKIPPED - NONPOSITIVE",IF(OR(M101&lt;L101,N101&lt;L101),"SKIPPED - BELOW MIN",IF(OR(M101&gt;J101,N101&gt;K101),"SKIPPED - EXCEEDS BASE",IF(COUNTIFS($M$73:M100,M101,$N$73:N100,N101)&gt;0,"SKIPPED - DUPLICATE","VALID - GENERATED"))))</f>
        <v>VALID - GENERATED</v>
      </c>
      <c r="I101" s="10" t="s">
        <v>284</v>
      </c>
      <c r="J101" s="12">
        <f>'05-ISO Reference'!$B$6</f>
        <v>594</v>
      </c>
      <c r="K101" s="12">
        <f>'05-ISO Reference'!$C$6</f>
        <v>841</v>
      </c>
      <c r="L101" s="12">
        <f>'01-Process Controls'!$G$5</f>
        <v>3</v>
      </c>
      <c r="M101" s="12">
        <f>ROUNDDOWN(J101*'04-Variant Rules'!$D$33,0)</f>
        <v>396</v>
      </c>
      <c r="N101" s="12">
        <f>ROUNDDOWN(K101*'04-Variant Rules'!$E$33,0)</f>
        <v>560</v>
      </c>
      <c r="O101" s="9">
        <v>28</v>
      </c>
    </row>
    <row r="102" spans="1:15" ht="21" customHeight="1">
      <c r="A102" s="9" t="s">
        <v>313</v>
      </c>
      <c r="B102" s="12">
        <f>IF(LEFT(H102,5)="VALID",M102,"")</f>
        <v>356</v>
      </c>
      <c r="C102" s="12">
        <f>IF(LEFT(H102,5)="VALID",N102,"")</f>
        <v>504</v>
      </c>
      <c r="D102" s="10" t="s">
        <v>82</v>
      </c>
      <c r="E102" s="10" t="s">
        <v>283</v>
      </c>
      <c r="F102" s="10" t="s">
        <v>198</v>
      </c>
      <c r="G102" s="10" t="s">
        <v>186</v>
      </c>
      <c r="H102" s="11" t="str">
        <f>IF(OR(M102&lt;=0,N102&lt;=0),"SKIPPED - NONPOSITIVE",IF(OR(M102&lt;L102,N102&lt;L102),"SKIPPED - BELOW MIN",IF(OR(M102&gt;J102,N102&gt;K102),"SKIPPED - EXCEEDS BASE",IF(COUNTIFS($M$73:M101,M102,$N$73:N101,N102)&gt;0,"SKIPPED - DUPLICATE","VALID - GENERATED"))))</f>
        <v>VALID - GENERATED</v>
      </c>
      <c r="I102" s="10" t="s">
        <v>284</v>
      </c>
      <c r="J102" s="12">
        <f>'05-ISO Reference'!$B$6</f>
        <v>594</v>
      </c>
      <c r="K102" s="12">
        <f>'05-ISO Reference'!$C$6</f>
        <v>841</v>
      </c>
      <c r="L102" s="12">
        <f>'01-Process Controls'!$G$5</f>
        <v>3</v>
      </c>
      <c r="M102" s="12">
        <f>ROUNDDOWN(J102*'04-Variant Rules'!$D$34,0)</f>
        <v>356</v>
      </c>
      <c r="N102" s="12">
        <f>ROUNDDOWN(K102*'04-Variant Rules'!$E$34,0)</f>
        <v>504</v>
      </c>
      <c r="O102" s="9">
        <v>29</v>
      </c>
    </row>
    <row r="103" spans="1:15" ht="21" customHeight="1">
      <c r="A103" s="9" t="s">
        <v>314</v>
      </c>
      <c r="B103" s="12">
        <f>IF(LEFT(H103,5)="VALID",M103,"")</f>
        <v>326</v>
      </c>
      <c r="C103" s="12">
        <f>IF(LEFT(H103,5)="VALID",N103,"")</f>
        <v>462</v>
      </c>
      <c r="D103" s="10" t="s">
        <v>82</v>
      </c>
      <c r="E103" s="10" t="s">
        <v>283</v>
      </c>
      <c r="F103" s="10" t="s">
        <v>200</v>
      </c>
      <c r="G103" s="10" t="s">
        <v>186</v>
      </c>
      <c r="H103" s="11" t="str">
        <f>IF(OR(M103&lt;=0,N103&lt;=0),"SKIPPED - NONPOSITIVE",IF(OR(M103&lt;L103,N103&lt;L103),"SKIPPED - BELOW MIN",IF(OR(M103&gt;J103,N103&gt;K103),"SKIPPED - EXCEEDS BASE",IF(COUNTIFS($M$73:M102,M103,$N$73:N102,N103)&gt;0,"SKIPPED - DUPLICATE","VALID - GENERATED"))))</f>
        <v>VALID - GENERATED</v>
      </c>
      <c r="I103" s="10" t="s">
        <v>284</v>
      </c>
      <c r="J103" s="12">
        <f>'05-ISO Reference'!$B$6</f>
        <v>594</v>
      </c>
      <c r="K103" s="12">
        <f>'05-ISO Reference'!$C$6</f>
        <v>841</v>
      </c>
      <c r="L103" s="12">
        <f>'01-Process Controls'!$G$5</f>
        <v>3</v>
      </c>
      <c r="M103" s="12">
        <f>ROUNDDOWN(J103*'04-Variant Rules'!$D$35,0)</f>
        <v>326</v>
      </c>
      <c r="N103" s="12">
        <f>ROUNDDOWN(K103*'04-Variant Rules'!$E$35,0)</f>
        <v>462</v>
      </c>
      <c r="O103" s="9">
        <v>30</v>
      </c>
    </row>
    <row r="104" spans="1:15" ht="21" customHeight="1">
      <c r="A104" s="9" t="s">
        <v>315</v>
      </c>
      <c r="B104" s="12">
        <f>IF(LEFT(H104,5)="VALID",M104,"")</f>
        <v>267</v>
      </c>
      <c r="C104" s="12">
        <f>IF(LEFT(H104,5)="VALID",N104,"")</f>
        <v>378</v>
      </c>
      <c r="D104" s="10" t="s">
        <v>82</v>
      </c>
      <c r="E104" s="10" t="s">
        <v>283</v>
      </c>
      <c r="F104" s="10" t="s">
        <v>202</v>
      </c>
      <c r="G104" s="10" t="s">
        <v>186</v>
      </c>
      <c r="H104" s="11" t="str">
        <f>IF(OR(M104&lt;=0,N104&lt;=0),"SKIPPED - NONPOSITIVE",IF(OR(M104&lt;L104,N104&lt;L104),"SKIPPED - BELOW MIN",IF(OR(M104&gt;J104,N104&gt;K104),"SKIPPED - EXCEEDS BASE",IF(COUNTIFS($M$73:M103,M104,$N$73:N103,N104)&gt;0,"SKIPPED - DUPLICATE","VALID - GENERATED"))))</f>
        <v>VALID - GENERATED</v>
      </c>
      <c r="I104" s="10" t="s">
        <v>284</v>
      </c>
      <c r="J104" s="12">
        <f>'05-ISO Reference'!$B$6</f>
        <v>594</v>
      </c>
      <c r="K104" s="12">
        <f>'05-ISO Reference'!$C$6</f>
        <v>841</v>
      </c>
      <c r="L104" s="12">
        <f>'01-Process Controls'!$G$5</f>
        <v>3</v>
      </c>
      <c r="M104" s="12">
        <f>ROUNDDOWN(J104*'04-Variant Rules'!$D$36,0)</f>
        <v>267</v>
      </c>
      <c r="N104" s="12">
        <f>ROUNDDOWN(K104*'04-Variant Rules'!$E$36,0)</f>
        <v>378</v>
      </c>
      <c r="O104" s="9">
        <v>31</v>
      </c>
    </row>
    <row r="105" spans="1:15" ht="21" customHeight="1">
      <c r="A105" s="9" t="s">
        <v>316</v>
      </c>
      <c r="B105" s="12">
        <f>IF(LEFT(H105,5)="VALID",M105,"")</f>
        <v>237</v>
      </c>
      <c r="C105" s="12">
        <f>IF(LEFT(H105,5)="VALID",N105,"")</f>
        <v>336</v>
      </c>
      <c r="D105" s="10" t="s">
        <v>82</v>
      </c>
      <c r="E105" s="10" t="s">
        <v>283</v>
      </c>
      <c r="F105" s="10" t="s">
        <v>204</v>
      </c>
      <c r="G105" s="10" t="s">
        <v>186</v>
      </c>
      <c r="H105" s="11" t="str">
        <f>IF(OR(M105&lt;=0,N105&lt;=0),"SKIPPED - NONPOSITIVE",IF(OR(M105&lt;L105,N105&lt;L105),"SKIPPED - BELOW MIN",IF(OR(M105&gt;J105,N105&gt;K105),"SKIPPED - EXCEEDS BASE",IF(COUNTIFS($M$73:M104,M105,$N$73:N104,N105)&gt;0,"SKIPPED - DUPLICATE","VALID - GENERATED"))))</f>
        <v>VALID - GENERATED</v>
      </c>
      <c r="I105" s="10" t="s">
        <v>284</v>
      </c>
      <c r="J105" s="12">
        <f>'05-ISO Reference'!$B$6</f>
        <v>594</v>
      </c>
      <c r="K105" s="12">
        <f>'05-ISO Reference'!$C$6</f>
        <v>841</v>
      </c>
      <c r="L105" s="12">
        <f>'01-Process Controls'!$G$5</f>
        <v>3</v>
      </c>
      <c r="M105" s="12">
        <f>ROUNDDOWN(J105*'04-Variant Rules'!$D$37,0)</f>
        <v>237</v>
      </c>
      <c r="N105" s="12">
        <f>ROUNDDOWN(K105*'04-Variant Rules'!$E$37,0)</f>
        <v>336</v>
      </c>
      <c r="O105" s="9">
        <v>32</v>
      </c>
    </row>
    <row r="106" spans="1:15" ht="21" customHeight="1">
      <c r="A106" s="9" t="s">
        <v>317</v>
      </c>
      <c r="B106" s="12">
        <f>IF(LEFT(H106,5)="VALID",M106,"")</f>
        <v>207</v>
      </c>
      <c r="C106" s="12">
        <f>IF(LEFT(H106,5)="VALID",N106,"")</f>
        <v>294</v>
      </c>
      <c r="D106" s="10" t="s">
        <v>82</v>
      </c>
      <c r="E106" s="10" t="s">
        <v>283</v>
      </c>
      <c r="F106" s="10" t="s">
        <v>206</v>
      </c>
      <c r="G106" s="10" t="s">
        <v>186</v>
      </c>
      <c r="H106" s="11" t="str">
        <f>IF(OR(M106&lt;=0,N106&lt;=0),"SKIPPED - NONPOSITIVE",IF(OR(M106&lt;L106,N106&lt;L106),"SKIPPED - BELOW MIN",IF(OR(M106&gt;J106,N106&gt;K106),"SKIPPED - EXCEEDS BASE",IF(COUNTIFS($M$73:M105,M106,$N$73:N105,N106)&gt;0,"SKIPPED - DUPLICATE","VALID - GENERATED"))))</f>
        <v>VALID - GENERATED</v>
      </c>
      <c r="I106" s="10" t="s">
        <v>284</v>
      </c>
      <c r="J106" s="12">
        <f>'05-ISO Reference'!$B$6</f>
        <v>594</v>
      </c>
      <c r="K106" s="12">
        <f>'05-ISO Reference'!$C$6</f>
        <v>841</v>
      </c>
      <c r="L106" s="12">
        <f>'01-Process Controls'!$G$5</f>
        <v>3</v>
      </c>
      <c r="M106" s="12">
        <f>ROUNDDOWN(J106*'04-Variant Rules'!$D$38,0)</f>
        <v>207</v>
      </c>
      <c r="N106" s="12">
        <f>ROUNDDOWN(K106*'04-Variant Rules'!$E$38,0)</f>
        <v>294</v>
      </c>
      <c r="O106" s="9">
        <v>33</v>
      </c>
    </row>
    <row r="107" spans="1:15" ht="21" customHeight="1">
      <c r="A107" s="9" t="s">
        <v>318</v>
      </c>
      <c r="B107" s="12">
        <f>IF(LEFT(H107,5)="VALID",M107,"")</f>
        <v>178</v>
      </c>
      <c r="C107" s="12">
        <f>IF(LEFT(H107,5)="VALID",N107,"")</f>
        <v>252</v>
      </c>
      <c r="D107" s="10" t="s">
        <v>82</v>
      </c>
      <c r="E107" s="10" t="s">
        <v>283</v>
      </c>
      <c r="F107" s="10" t="s">
        <v>208</v>
      </c>
      <c r="G107" s="10" t="s">
        <v>186</v>
      </c>
      <c r="H107" s="11" t="str">
        <f>IF(OR(M107&lt;=0,N107&lt;=0),"SKIPPED - NONPOSITIVE",IF(OR(M107&lt;L107,N107&lt;L107),"SKIPPED - BELOW MIN",IF(OR(M107&gt;J107,N107&gt;K107),"SKIPPED - EXCEEDS BASE",IF(COUNTIFS($M$73:M106,M107,$N$73:N106,N107)&gt;0,"SKIPPED - DUPLICATE","VALID - GENERATED"))))</f>
        <v>VALID - GENERATED</v>
      </c>
      <c r="I107" s="10" t="s">
        <v>284</v>
      </c>
      <c r="J107" s="12">
        <f>'05-ISO Reference'!$B$6</f>
        <v>594</v>
      </c>
      <c r="K107" s="12">
        <f>'05-ISO Reference'!$C$6</f>
        <v>841</v>
      </c>
      <c r="L107" s="12">
        <f>'01-Process Controls'!$G$5</f>
        <v>3</v>
      </c>
      <c r="M107" s="12">
        <f>ROUNDDOWN(J107*'04-Variant Rules'!$D$39,0)</f>
        <v>178</v>
      </c>
      <c r="N107" s="12">
        <f>ROUNDDOWN(K107*'04-Variant Rules'!$E$39,0)</f>
        <v>252</v>
      </c>
      <c r="O107" s="9">
        <v>34</v>
      </c>
    </row>
    <row r="108" spans="1:15" ht="21" customHeight="1">
      <c r="A108" s="9" t="s">
        <v>319</v>
      </c>
      <c r="B108" s="12">
        <f>IF(LEFT(H108,5)="VALID",M108,"")</f>
        <v>118</v>
      </c>
      <c r="C108" s="12">
        <f>IF(LEFT(H108,5)="VALID",N108,"")</f>
        <v>168</v>
      </c>
      <c r="D108" s="10" t="s">
        <v>82</v>
      </c>
      <c r="E108" s="10" t="s">
        <v>283</v>
      </c>
      <c r="F108" s="10" t="s">
        <v>210</v>
      </c>
      <c r="G108" s="10" t="s">
        <v>186</v>
      </c>
      <c r="H108" s="11" t="str">
        <f>IF(OR(M108&lt;=0,N108&lt;=0),"SKIPPED - NONPOSITIVE",IF(OR(M108&lt;L108,N108&lt;L108),"SKIPPED - BELOW MIN",IF(OR(M108&gt;J108,N108&gt;K108),"SKIPPED - EXCEEDS BASE",IF(COUNTIFS($M$73:M107,M108,$N$73:N107,N108)&gt;0,"SKIPPED - DUPLICATE","VALID - GENERATED"))))</f>
        <v>VALID - GENERATED</v>
      </c>
      <c r="I108" s="10" t="s">
        <v>284</v>
      </c>
      <c r="J108" s="12">
        <f>'05-ISO Reference'!$B$6</f>
        <v>594</v>
      </c>
      <c r="K108" s="12">
        <f>'05-ISO Reference'!$C$6</f>
        <v>841</v>
      </c>
      <c r="L108" s="12">
        <f>'01-Process Controls'!$G$5</f>
        <v>3</v>
      </c>
      <c r="M108" s="12">
        <f>ROUNDDOWN(J108*'04-Variant Rules'!$D$40,0)</f>
        <v>118</v>
      </c>
      <c r="N108" s="12">
        <f>ROUNDDOWN(K108*'04-Variant Rules'!$E$40,0)</f>
        <v>168</v>
      </c>
      <c r="O108" s="9">
        <v>35</v>
      </c>
    </row>
    <row r="109" spans="1:15" ht="21" customHeight="1">
      <c r="A109" s="9" t="s">
        <v>320</v>
      </c>
      <c r="B109" s="12">
        <f>IF(LEFT(H109,5)="VALID",M109,"")</f>
        <v>89</v>
      </c>
      <c r="C109" s="12">
        <f>IF(LEFT(H109,5)="VALID",N109,"")</f>
        <v>126</v>
      </c>
      <c r="D109" s="10" t="s">
        <v>82</v>
      </c>
      <c r="E109" s="10" t="s">
        <v>283</v>
      </c>
      <c r="F109" s="10" t="s">
        <v>212</v>
      </c>
      <c r="G109" s="10" t="s">
        <v>213</v>
      </c>
      <c r="H109" s="11" t="str">
        <f>IF(OR(M109&lt;=0,N109&lt;=0),"SKIPPED - NONPOSITIVE",IF(OR(M109&lt;L109,N109&lt;L109),"SKIPPED - BELOW MIN",IF(OR(M109&gt;J109,N109&gt;K109),"SKIPPED - EXCEEDS BASE",IF(COUNTIFS($M$73:M108,M109,$N$73:N108,N109)&gt;0,"SKIPPED - DUPLICATE","VALID - GENERATED"))))</f>
        <v>VALID - GENERATED</v>
      </c>
      <c r="I109" s="10" t="s">
        <v>284</v>
      </c>
      <c r="J109" s="12">
        <f>'05-ISO Reference'!$B$6</f>
        <v>594</v>
      </c>
      <c r="K109" s="12">
        <f>'05-ISO Reference'!$C$6</f>
        <v>841</v>
      </c>
      <c r="L109" s="12">
        <f>'01-Process Controls'!$G$5</f>
        <v>3</v>
      </c>
      <c r="M109" s="12">
        <f>ROUNDDOWN(J109*'04-Variant Rules'!$D$41,0)</f>
        <v>89</v>
      </c>
      <c r="N109" s="12">
        <f>ROUNDDOWN(K109*'04-Variant Rules'!$E$41,0)</f>
        <v>126</v>
      </c>
      <c r="O109" s="9">
        <v>36</v>
      </c>
    </row>
    <row r="110" spans="1:15" ht="21" customHeight="1">
      <c r="A110" s="9" t="s">
        <v>321</v>
      </c>
      <c r="B110" s="12">
        <f>IF(LEFT(H110,5)="VALID",M110,"")</f>
        <v>594</v>
      </c>
      <c r="C110" s="12">
        <f>IF(LEFT(H110,5)="VALID",N110,"")</f>
        <v>594</v>
      </c>
      <c r="D110" s="10" t="s">
        <v>82</v>
      </c>
      <c r="E110" s="10" t="s">
        <v>283</v>
      </c>
      <c r="F110" s="10" t="s">
        <v>215</v>
      </c>
      <c r="G110" s="10" t="s">
        <v>216</v>
      </c>
      <c r="H110" s="11" t="str">
        <f>IF(OR(M110&lt;=0,N110&lt;=0),"SKIPPED - NONPOSITIVE",IF(OR(M110&lt;L110,N110&lt;L110),"SKIPPED - BELOW MIN",IF(OR(M110&gt;J110,N110&gt;K110),"SKIPPED - EXCEEDS BASE",IF(COUNTIFS($M$73:M109,M110,$N$73:N109,N110)&gt;0,"SKIPPED - DUPLICATE","VALID - GENERATED"))))</f>
        <v>VALID - GENERATED</v>
      </c>
      <c r="I110" s="10" t="s">
        <v>284</v>
      </c>
      <c r="J110" s="12">
        <f>'05-ISO Reference'!$B$6</f>
        <v>594</v>
      </c>
      <c r="K110" s="12">
        <f>'05-ISO Reference'!$C$6</f>
        <v>841</v>
      </c>
      <c r="L110" s="12">
        <f>'01-Process Controls'!$G$5</f>
        <v>3</v>
      </c>
      <c r="M110" s="12">
        <f>ROUNDDOWN(MIN(J110,K110)*'04-Variant Rules'!$D$42,0)</f>
        <v>594</v>
      </c>
      <c r="N110" s="12">
        <f>ROUNDDOWN(MIN(J110,K110)*'04-Variant Rules'!$D$42,0)</f>
        <v>594</v>
      </c>
      <c r="O110" s="9">
        <v>37</v>
      </c>
    </row>
    <row r="111" spans="1:15" ht="21" customHeight="1">
      <c r="A111" s="9" t="s">
        <v>322</v>
      </c>
      <c r="B111" s="12">
        <f>IF(LEFT(H111,5)="VALID",M111,"")</f>
        <v>534</v>
      </c>
      <c r="C111" s="12">
        <f>IF(LEFT(H111,5)="VALID",N111,"")</f>
        <v>534</v>
      </c>
      <c r="D111" s="10" t="s">
        <v>82</v>
      </c>
      <c r="E111" s="10" t="s">
        <v>283</v>
      </c>
      <c r="F111" s="10" t="s">
        <v>218</v>
      </c>
      <c r="G111" s="10" t="s">
        <v>219</v>
      </c>
      <c r="H111" s="11" t="str">
        <f>IF(OR(M111&lt;=0,N111&lt;=0),"SKIPPED - NONPOSITIVE",IF(OR(M111&lt;L111,N111&lt;L111),"SKIPPED - BELOW MIN",IF(OR(M111&gt;J111,N111&gt;K111),"SKIPPED - EXCEEDS BASE",IF(COUNTIFS($M$73:M110,M111,$N$73:N110,N111)&gt;0,"SKIPPED - DUPLICATE","VALID - GENERATED"))))</f>
        <v>VALID - GENERATED</v>
      </c>
      <c r="I111" s="10" t="s">
        <v>284</v>
      </c>
      <c r="J111" s="12">
        <f>'05-ISO Reference'!$B$6</f>
        <v>594</v>
      </c>
      <c r="K111" s="12">
        <f>'05-ISO Reference'!$C$6</f>
        <v>841</v>
      </c>
      <c r="L111" s="12">
        <f>'01-Process Controls'!$G$5</f>
        <v>3</v>
      </c>
      <c r="M111" s="12">
        <f>ROUNDDOWN(MIN(J111,K111)*'04-Variant Rules'!$D$43,0)</f>
        <v>534</v>
      </c>
      <c r="N111" s="12">
        <f>ROUNDDOWN(MIN(J111,K111)*'04-Variant Rules'!$D$43,0)</f>
        <v>534</v>
      </c>
      <c r="O111" s="9">
        <v>38</v>
      </c>
    </row>
    <row r="112" spans="1:15" ht="21" customHeight="1">
      <c r="A112" s="9" t="s">
        <v>323</v>
      </c>
      <c r="B112" s="12">
        <f>IF(LEFT(H112,5)="VALID",M112,"")</f>
        <v>475</v>
      </c>
      <c r="C112" s="12">
        <f>IF(LEFT(H112,5)="VALID",N112,"")</f>
        <v>475</v>
      </c>
      <c r="D112" s="10" t="s">
        <v>82</v>
      </c>
      <c r="E112" s="10" t="s">
        <v>283</v>
      </c>
      <c r="F112" s="10" t="s">
        <v>221</v>
      </c>
      <c r="G112" s="10" t="s">
        <v>219</v>
      </c>
      <c r="H112" s="11" t="str">
        <f>IF(OR(M112&lt;=0,N112&lt;=0),"SKIPPED - NONPOSITIVE",IF(OR(M112&lt;L112,N112&lt;L112),"SKIPPED - BELOW MIN",IF(OR(M112&gt;J112,N112&gt;K112),"SKIPPED - EXCEEDS BASE",IF(COUNTIFS($M$73:M111,M112,$N$73:N111,N112)&gt;0,"SKIPPED - DUPLICATE","VALID - GENERATED"))))</f>
        <v>VALID - GENERATED</v>
      </c>
      <c r="I112" s="10" t="s">
        <v>284</v>
      </c>
      <c r="J112" s="12">
        <f>'05-ISO Reference'!$B$6</f>
        <v>594</v>
      </c>
      <c r="K112" s="12">
        <f>'05-ISO Reference'!$C$6</f>
        <v>841</v>
      </c>
      <c r="L112" s="12">
        <f>'01-Process Controls'!$G$5</f>
        <v>3</v>
      </c>
      <c r="M112" s="12">
        <f>ROUNDDOWN(MIN(J112,K112)*'04-Variant Rules'!$D$44,0)</f>
        <v>475</v>
      </c>
      <c r="N112" s="12">
        <f>ROUNDDOWN(MIN(J112,K112)*'04-Variant Rules'!$D$44,0)</f>
        <v>475</v>
      </c>
      <c r="O112" s="9">
        <v>39</v>
      </c>
    </row>
    <row r="113" spans="1:15" ht="21" customHeight="1">
      <c r="A113" s="9" t="s">
        <v>324</v>
      </c>
      <c r="B113" s="12">
        <f>IF(LEFT(H113,5)="VALID",M113,"")</f>
        <v>445</v>
      </c>
      <c r="C113" s="12">
        <f>IF(LEFT(H113,5)="VALID",N113,"")</f>
        <v>445</v>
      </c>
      <c r="D113" s="10" t="s">
        <v>82</v>
      </c>
      <c r="E113" s="10" t="s">
        <v>283</v>
      </c>
      <c r="F113" s="10" t="s">
        <v>223</v>
      </c>
      <c r="G113" s="10" t="s">
        <v>219</v>
      </c>
      <c r="H113" s="11" t="str">
        <f>IF(OR(M113&lt;=0,N113&lt;=0),"SKIPPED - NONPOSITIVE",IF(OR(M113&lt;L113,N113&lt;L113),"SKIPPED - BELOW MIN",IF(OR(M113&gt;J113,N113&gt;K113),"SKIPPED - EXCEEDS BASE",IF(COUNTIFS($M$73:M112,M113,$N$73:N112,N113)&gt;0,"SKIPPED - DUPLICATE","VALID - GENERATED"))))</f>
        <v>VALID - GENERATED</v>
      </c>
      <c r="I113" s="10" t="s">
        <v>284</v>
      </c>
      <c r="J113" s="12">
        <f>'05-ISO Reference'!$B$6</f>
        <v>594</v>
      </c>
      <c r="K113" s="12">
        <f>'05-ISO Reference'!$C$6</f>
        <v>841</v>
      </c>
      <c r="L113" s="12">
        <f>'01-Process Controls'!$G$5</f>
        <v>3</v>
      </c>
      <c r="M113" s="12">
        <f>ROUNDDOWN(MIN(J113,K113)*'04-Variant Rules'!$D$45,0)</f>
        <v>445</v>
      </c>
      <c r="N113" s="12">
        <f>ROUNDDOWN(MIN(J113,K113)*'04-Variant Rules'!$D$45,0)</f>
        <v>445</v>
      </c>
      <c r="O113" s="9">
        <v>40</v>
      </c>
    </row>
    <row r="114" spans="1:15" ht="21" customHeight="1">
      <c r="A114" s="9" t="s">
        <v>325</v>
      </c>
      <c r="B114" s="12">
        <f>IF(LEFT(H114,5)="VALID",M114,"")</f>
        <v>396</v>
      </c>
      <c r="C114" s="12">
        <f>IF(LEFT(H114,5)="VALID",N114,"")</f>
        <v>396</v>
      </c>
      <c r="D114" s="10" t="s">
        <v>82</v>
      </c>
      <c r="E114" s="10" t="s">
        <v>283</v>
      </c>
      <c r="F114" s="10" t="s">
        <v>225</v>
      </c>
      <c r="G114" s="10" t="s">
        <v>219</v>
      </c>
      <c r="H114" s="11" t="str">
        <f>IF(OR(M114&lt;=0,N114&lt;=0),"SKIPPED - NONPOSITIVE",IF(OR(M114&lt;L114,N114&lt;L114),"SKIPPED - BELOW MIN",IF(OR(M114&gt;J114,N114&gt;K114),"SKIPPED - EXCEEDS BASE",IF(COUNTIFS($M$73:M113,M114,$N$73:N113,N114)&gt;0,"SKIPPED - DUPLICATE","VALID - GENERATED"))))</f>
        <v>VALID - GENERATED</v>
      </c>
      <c r="I114" s="10" t="s">
        <v>284</v>
      </c>
      <c r="J114" s="12">
        <f>'05-ISO Reference'!$B$6</f>
        <v>594</v>
      </c>
      <c r="K114" s="12">
        <f>'05-ISO Reference'!$C$6</f>
        <v>841</v>
      </c>
      <c r="L114" s="12">
        <f>'01-Process Controls'!$G$5</f>
        <v>3</v>
      </c>
      <c r="M114" s="12">
        <f>ROUNDDOWN(MIN(J114,K114)*'04-Variant Rules'!$D$46,0)</f>
        <v>396</v>
      </c>
      <c r="N114" s="12">
        <f>ROUNDDOWN(MIN(J114,K114)*'04-Variant Rules'!$D$46,0)</f>
        <v>396</v>
      </c>
      <c r="O114" s="9">
        <v>41</v>
      </c>
    </row>
    <row r="115" spans="1:15" ht="21" customHeight="1">
      <c r="A115" s="9" t="s">
        <v>326</v>
      </c>
      <c r="B115" s="12">
        <f>IF(LEFT(H115,5)="VALID",M115,"")</f>
        <v>356</v>
      </c>
      <c r="C115" s="12">
        <f>IF(LEFT(H115,5)="VALID",N115,"")</f>
        <v>356</v>
      </c>
      <c r="D115" s="10" t="s">
        <v>82</v>
      </c>
      <c r="E115" s="10" t="s">
        <v>283</v>
      </c>
      <c r="F115" s="10" t="s">
        <v>227</v>
      </c>
      <c r="G115" s="10" t="s">
        <v>219</v>
      </c>
      <c r="H115" s="11" t="str">
        <f>IF(OR(M115&lt;=0,N115&lt;=0),"SKIPPED - NONPOSITIVE",IF(OR(M115&lt;L115,N115&lt;L115),"SKIPPED - BELOW MIN",IF(OR(M115&gt;J115,N115&gt;K115),"SKIPPED - EXCEEDS BASE",IF(COUNTIFS($M$73:M114,M115,$N$73:N114,N115)&gt;0,"SKIPPED - DUPLICATE","VALID - GENERATED"))))</f>
        <v>VALID - GENERATED</v>
      </c>
      <c r="I115" s="10" t="s">
        <v>284</v>
      </c>
      <c r="J115" s="12">
        <f>'05-ISO Reference'!$B$6</f>
        <v>594</v>
      </c>
      <c r="K115" s="12">
        <f>'05-ISO Reference'!$C$6</f>
        <v>841</v>
      </c>
      <c r="L115" s="12">
        <f>'01-Process Controls'!$G$5</f>
        <v>3</v>
      </c>
      <c r="M115" s="12">
        <f>ROUNDDOWN(MIN(J115,K115)*'04-Variant Rules'!$D$47,0)</f>
        <v>356</v>
      </c>
      <c r="N115" s="12">
        <f>ROUNDDOWN(MIN(J115,K115)*'04-Variant Rules'!$D$47,0)</f>
        <v>356</v>
      </c>
      <c r="O115" s="9">
        <v>42</v>
      </c>
    </row>
    <row r="116" spans="1:15" ht="21" customHeight="1">
      <c r="A116" s="9" t="s">
        <v>327</v>
      </c>
      <c r="B116" s="12">
        <f>IF(LEFT(H116,5)="VALID",M116,"")</f>
        <v>297</v>
      </c>
      <c r="C116" s="12">
        <f>IF(LEFT(H116,5)="VALID",N116,"")</f>
        <v>297</v>
      </c>
      <c r="D116" s="10" t="s">
        <v>82</v>
      </c>
      <c r="E116" s="10" t="s">
        <v>283</v>
      </c>
      <c r="F116" s="10" t="s">
        <v>229</v>
      </c>
      <c r="G116" s="10" t="s">
        <v>219</v>
      </c>
      <c r="H116" s="11" t="str">
        <f>IF(OR(M116&lt;=0,N116&lt;=0),"SKIPPED - NONPOSITIVE",IF(OR(M116&lt;L116,N116&lt;L116),"SKIPPED - BELOW MIN",IF(OR(M116&gt;J116,N116&gt;K116),"SKIPPED - EXCEEDS BASE",IF(COUNTIFS($M$73:M115,M116,$N$73:N115,N116)&gt;0,"SKIPPED - DUPLICATE","VALID - GENERATED"))))</f>
        <v>VALID - GENERATED</v>
      </c>
      <c r="I116" s="10" t="s">
        <v>284</v>
      </c>
      <c r="J116" s="12">
        <f>'05-ISO Reference'!$B$6</f>
        <v>594</v>
      </c>
      <c r="K116" s="12">
        <f>'05-ISO Reference'!$C$6</f>
        <v>841</v>
      </c>
      <c r="L116" s="12">
        <f>'01-Process Controls'!$G$5</f>
        <v>3</v>
      </c>
      <c r="M116" s="12">
        <f>ROUNDDOWN(MIN(J116,K116)*'04-Variant Rules'!$D$48,0)</f>
        <v>297</v>
      </c>
      <c r="N116" s="12">
        <f>ROUNDDOWN(MIN(J116,K116)*'04-Variant Rules'!$D$48,0)</f>
        <v>297</v>
      </c>
      <c r="O116" s="9">
        <v>43</v>
      </c>
    </row>
    <row r="117" spans="1:15" ht="21" customHeight="1">
      <c r="A117" s="9" t="s">
        <v>328</v>
      </c>
      <c r="B117" s="12">
        <f>IF(LEFT(H117,5)="VALID",M117,"")</f>
        <v>237</v>
      </c>
      <c r="C117" s="12">
        <f>IF(LEFT(H117,5)="VALID",N117,"")</f>
        <v>237</v>
      </c>
      <c r="D117" s="10" t="s">
        <v>82</v>
      </c>
      <c r="E117" s="10" t="s">
        <v>283</v>
      </c>
      <c r="F117" s="10" t="s">
        <v>231</v>
      </c>
      <c r="G117" s="10" t="s">
        <v>219</v>
      </c>
      <c r="H117" s="11" t="str">
        <f>IF(OR(M117&lt;=0,N117&lt;=0),"SKIPPED - NONPOSITIVE",IF(OR(M117&lt;L117,N117&lt;L117),"SKIPPED - BELOW MIN",IF(OR(M117&gt;J117,N117&gt;K117),"SKIPPED - EXCEEDS BASE",IF(COUNTIFS($M$73:M116,M117,$N$73:N116,N117)&gt;0,"SKIPPED - DUPLICATE","VALID - GENERATED"))))</f>
        <v>VALID - GENERATED</v>
      </c>
      <c r="I117" s="10" t="s">
        <v>284</v>
      </c>
      <c r="J117" s="12">
        <f>'05-ISO Reference'!$B$6</f>
        <v>594</v>
      </c>
      <c r="K117" s="12">
        <f>'05-ISO Reference'!$C$6</f>
        <v>841</v>
      </c>
      <c r="L117" s="12">
        <f>'01-Process Controls'!$G$5</f>
        <v>3</v>
      </c>
      <c r="M117" s="12">
        <f>ROUNDDOWN(MIN(J117,K117)*'04-Variant Rules'!$D$49,0)</f>
        <v>237</v>
      </c>
      <c r="N117" s="12">
        <f>ROUNDDOWN(MIN(J117,K117)*'04-Variant Rules'!$D$49,0)</f>
        <v>237</v>
      </c>
      <c r="O117" s="9">
        <v>44</v>
      </c>
    </row>
    <row r="118" spans="1:15" ht="21" customHeight="1">
      <c r="A118" s="9" t="s">
        <v>329</v>
      </c>
      <c r="B118" s="12">
        <f>IF(LEFT(H118,5)="VALID",M118,"")</f>
        <v>198</v>
      </c>
      <c r="C118" s="12">
        <f>IF(LEFT(H118,5)="VALID",N118,"")</f>
        <v>198</v>
      </c>
      <c r="D118" s="10" t="s">
        <v>82</v>
      </c>
      <c r="E118" s="10" t="s">
        <v>283</v>
      </c>
      <c r="F118" s="10" t="s">
        <v>233</v>
      </c>
      <c r="G118" s="10" t="s">
        <v>219</v>
      </c>
      <c r="H118" s="11" t="str">
        <f>IF(OR(M118&lt;=0,N118&lt;=0),"SKIPPED - NONPOSITIVE",IF(OR(M118&lt;L118,N118&lt;L118),"SKIPPED - BELOW MIN",IF(OR(M118&gt;J118,N118&gt;K118),"SKIPPED - EXCEEDS BASE",IF(COUNTIFS($M$73:M117,M118,$N$73:N117,N118)&gt;0,"SKIPPED - DUPLICATE","VALID - GENERATED"))))</f>
        <v>VALID - GENERATED</v>
      </c>
      <c r="I118" s="10" t="s">
        <v>284</v>
      </c>
      <c r="J118" s="12">
        <f>'05-ISO Reference'!$B$6</f>
        <v>594</v>
      </c>
      <c r="K118" s="12">
        <f>'05-ISO Reference'!$C$6</f>
        <v>841</v>
      </c>
      <c r="L118" s="12">
        <f>'01-Process Controls'!$G$5</f>
        <v>3</v>
      </c>
      <c r="M118" s="12">
        <f>ROUNDDOWN(MIN(J118,K118)*'04-Variant Rules'!$D$50,0)</f>
        <v>198</v>
      </c>
      <c r="N118" s="12">
        <f>ROUNDDOWN(MIN(J118,K118)*'04-Variant Rules'!$D$50,0)</f>
        <v>198</v>
      </c>
      <c r="O118" s="9">
        <v>45</v>
      </c>
    </row>
    <row r="119" spans="1:15" ht="21" customHeight="1">
      <c r="A119" s="9" t="s">
        <v>330</v>
      </c>
      <c r="B119" s="12">
        <f>IF(LEFT(H119,5)="VALID",M119,"")</f>
        <v>148</v>
      </c>
      <c r="C119" s="12">
        <f>IF(LEFT(H119,5)="VALID",N119,"")</f>
        <v>148</v>
      </c>
      <c r="D119" s="10" t="s">
        <v>82</v>
      </c>
      <c r="E119" s="10" t="s">
        <v>283</v>
      </c>
      <c r="F119" s="10" t="s">
        <v>235</v>
      </c>
      <c r="G119" s="10" t="s">
        <v>219</v>
      </c>
      <c r="H119" s="11" t="str">
        <f>IF(OR(M119&lt;=0,N119&lt;=0),"SKIPPED - NONPOSITIVE",IF(OR(M119&lt;L119,N119&lt;L119),"SKIPPED - BELOW MIN",IF(OR(M119&gt;J119,N119&gt;K119),"SKIPPED - EXCEEDS BASE",IF(COUNTIFS($M$73:M118,M119,$N$73:N118,N119)&gt;0,"SKIPPED - DUPLICATE","VALID - GENERATED"))))</f>
        <v>VALID - GENERATED</v>
      </c>
      <c r="I119" s="10" t="s">
        <v>284</v>
      </c>
      <c r="J119" s="12">
        <f>'05-ISO Reference'!$B$6</f>
        <v>594</v>
      </c>
      <c r="K119" s="12">
        <f>'05-ISO Reference'!$C$6</f>
        <v>841</v>
      </c>
      <c r="L119" s="12">
        <f>'01-Process Controls'!$G$5</f>
        <v>3</v>
      </c>
      <c r="M119" s="12">
        <f>ROUNDDOWN(MIN(J119,K119)*'04-Variant Rules'!$D$51,0)</f>
        <v>148</v>
      </c>
      <c r="N119" s="12">
        <f>ROUNDDOWN(MIN(J119,K119)*'04-Variant Rules'!$D$51,0)</f>
        <v>148</v>
      </c>
      <c r="O119" s="9">
        <v>46</v>
      </c>
    </row>
    <row r="120" spans="1:15" ht="21" customHeight="1">
      <c r="A120" s="9" t="s">
        <v>331</v>
      </c>
      <c r="B120" s="12">
        <f>IF(LEFT(H120,5)="VALID",M120,"")</f>
        <v>118</v>
      </c>
      <c r="C120" s="12">
        <f>IF(LEFT(H120,5)="VALID",N120,"")</f>
        <v>118</v>
      </c>
      <c r="D120" s="10" t="s">
        <v>82</v>
      </c>
      <c r="E120" s="10" t="s">
        <v>283</v>
      </c>
      <c r="F120" s="10" t="s">
        <v>237</v>
      </c>
      <c r="G120" s="10" t="s">
        <v>219</v>
      </c>
      <c r="H120" s="11" t="str">
        <f>IF(OR(M120&lt;=0,N120&lt;=0),"SKIPPED - NONPOSITIVE",IF(OR(M120&lt;L120,N120&lt;L120),"SKIPPED - BELOW MIN",IF(OR(M120&gt;J120,N120&gt;K120),"SKIPPED - EXCEEDS BASE",IF(COUNTIFS($M$73:M119,M120,$N$73:N119,N120)&gt;0,"SKIPPED - DUPLICATE","VALID - GENERATED"))))</f>
        <v>VALID - GENERATED</v>
      </c>
      <c r="I120" s="10" t="s">
        <v>284</v>
      </c>
      <c r="J120" s="12">
        <f>'05-ISO Reference'!$B$6</f>
        <v>594</v>
      </c>
      <c r="K120" s="12">
        <f>'05-ISO Reference'!$C$6</f>
        <v>841</v>
      </c>
      <c r="L120" s="12">
        <f>'01-Process Controls'!$G$5</f>
        <v>3</v>
      </c>
      <c r="M120" s="12">
        <f>ROUNDDOWN(MIN(J120,K120)*'04-Variant Rules'!$D$52,0)</f>
        <v>118</v>
      </c>
      <c r="N120" s="12">
        <f>ROUNDDOWN(MIN(J120,K120)*'04-Variant Rules'!$D$52,0)</f>
        <v>118</v>
      </c>
      <c r="O120" s="9">
        <v>47</v>
      </c>
    </row>
    <row r="121" spans="1:15" ht="21" customHeight="1">
      <c r="A121" s="9" t="s">
        <v>332</v>
      </c>
      <c r="B121" s="12">
        <f>IF(LEFT(H121,5)="VALID",M121,"")</f>
        <v>594</v>
      </c>
      <c r="C121" s="12">
        <f>IF(LEFT(H121,5)="VALID",N121,"")</f>
        <v>445</v>
      </c>
      <c r="D121" s="10" t="s">
        <v>82</v>
      </c>
      <c r="E121" s="10" t="s">
        <v>283</v>
      </c>
      <c r="F121" s="10" t="s">
        <v>239</v>
      </c>
      <c r="G121" s="10" t="s">
        <v>240</v>
      </c>
      <c r="H121" s="11" t="str">
        <f>IF(OR(M121&lt;=0,N121&lt;=0),"SKIPPED - NONPOSITIVE",IF(OR(M121&lt;L121,N121&lt;L121),"SKIPPED - BELOW MIN",IF(OR(M121&gt;J121,N121&gt;K121),"SKIPPED - EXCEEDS BASE",IF(COUNTIFS($M$73:M120,M121,$N$73:N120,N121)&gt;0,"SKIPPED - DUPLICATE","VALID - GENERATED"))))</f>
        <v>VALID - GENERATED</v>
      </c>
      <c r="I121" s="10" t="s">
        <v>284</v>
      </c>
      <c r="J121" s="12">
        <f>'05-ISO Reference'!$B$6</f>
        <v>594</v>
      </c>
      <c r="K121" s="12">
        <f>'05-ISO Reference'!$C$6</f>
        <v>841</v>
      </c>
      <c r="L121" s="12">
        <f>'01-Process Controls'!$G$5</f>
        <v>3</v>
      </c>
      <c r="M121" s="12">
        <f>ROUNDDOWN(MIN(J121,K121*'04-Variant Rules'!$D$53),0)</f>
        <v>594</v>
      </c>
      <c r="N121" s="12">
        <f>ROUNDDOWN(M121/'04-Variant Rules'!$D$53,0)</f>
        <v>445</v>
      </c>
      <c r="O121" s="9">
        <v>48</v>
      </c>
    </row>
    <row r="122" spans="1:15" ht="21" customHeight="1">
      <c r="A122" s="9" t="s">
        <v>333</v>
      </c>
      <c r="B122" s="12">
        <f>IF(LEFT(H122,5)="VALID",M122,"")</f>
        <v>594</v>
      </c>
      <c r="C122" s="12">
        <f>IF(LEFT(H122,5)="VALID",N122,"")</f>
        <v>792</v>
      </c>
      <c r="D122" s="10" t="s">
        <v>82</v>
      </c>
      <c r="E122" s="10" t="s">
        <v>283</v>
      </c>
      <c r="F122" s="10" t="s">
        <v>242</v>
      </c>
      <c r="G122" s="10" t="s">
        <v>243</v>
      </c>
      <c r="H122" s="11" t="str">
        <f>IF(OR(M122&lt;=0,N122&lt;=0),"SKIPPED - NONPOSITIVE",IF(OR(M122&lt;L122,N122&lt;L122),"SKIPPED - BELOW MIN",IF(OR(M122&gt;J122,N122&gt;K122),"SKIPPED - EXCEEDS BASE",IF(COUNTIFS($M$73:M121,M122,$N$73:N121,N122)&gt;0,"SKIPPED - DUPLICATE","VALID - GENERATED"))))</f>
        <v>VALID - GENERATED</v>
      </c>
      <c r="I122" s="10" t="s">
        <v>284</v>
      </c>
      <c r="J122" s="12">
        <f>'05-ISO Reference'!$B$6</f>
        <v>594</v>
      </c>
      <c r="K122" s="12">
        <f>'05-ISO Reference'!$C$6</f>
        <v>841</v>
      </c>
      <c r="L122" s="12">
        <f>'01-Process Controls'!$G$5</f>
        <v>3</v>
      </c>
      <c r="M122" s="12">
        <f>ROUNDDOWN(MIN(J122,K122*'04-Variant Rules'!$D$54),0)</f>
        <v>594</v>
      </c>
      <c r="N122" s="12">
        <f>ROUNDDOWN(M122/'04-Variant Rules'!$D$54,0)</f>
        <v>792</v>
      </c>
      <c r="O122" s="9">
        <v>49</v>
      </c>
    </row>
    <row r="123" spans="1:15" ht="21" customHeight="1">
      <c r="A123" s="9" t="s">
        <v>334</v>
      </c>
      <c r="B123" s="12">
        <f>IF(LEFT(H123,5)="VALID",M123,"")</f>
        <v>594</v>
      </c>
      <c r="C123" s="12">
        <f>IF(LEFT(H123,5)="VALID",N123,"")</f>
        <v>396</v>
      </c>
      <c r="D123" s="10" t="s">
        <v>82</v>
      </c>
      <c r="E123" s="10" t="s">
        <v>283</v>
      </c>
      <c r="F123" s="10" t="s">
        <v>245</v>
      </c>
      <c r="G123" s="10" t="s">
        <v>246</v>
      </c>
      <c r="H123" s="11" t="str">
        <f>IF(OR(M123&lt;=0,N123&lt;=0),"SKIPPED - NONPOSITIVE",IF(OR(M123&lt;L123,N123&lt;L123),"SKIPPED - BELOW MIN",IF(OR(M123&gt;J123,N123&gt;K123),"SKIPPED - EXCEEDS BASE",IF(COUNTIFS($M$73:M122,M123,$N$73:N122,N123)&gt;0,"SKIPPED - DUPLICATE","VALID - GENERATED"))))</f>
        <v>VALID - GENERATED</v>
      </c>
      <c r="I123" s="10" t="s">
        <v>284</v>
      </c>
      <c r="J123" s="12">
        <f>'05-ISO Reference'!$B$6</f>
        <v>594</v>
      </c>
      <c r="K123" s="12">
        <f>'05-ISO Reference'!$C$6</f>
        <v>841</v>
      </c>
      <c r="L123" s="12">
        <f>'01-Process Controls'!$G$5</f>
        <v>3</v>
      </c>
      <c r="M123" s="12">
        <f>ROUNDDOWN(MIN(J123,K123*'04-Variant Rules'!$D$55),0)</f>
        <v>594</v>
      </c>
      <c r="N123" s="12">
        <f>ROUNDDOWN(M123/'04-Variant Rules'!$D$55,0)</f>
        <v>396</v>
      </c>
      <c r="O123" s="9">
        <v>50</v>
      </c>
    </row>
    <row r="124" spans="1:15" ht="21" customHeight="1">
      <c r="A124" s="9" t="s">
        <v>335</v>
      </c>
      <c r="B124" s="12">
        <f>IF(LEFT(H124,5)="VALID",M124,"")</f>
        <v>560</v>
      </c>
      <c r="C124" s="12">
        <f>IF(LEFT(H124,5)="VALID",N124,"")</f>
        <v>840</v>
      </c>
      <c r="D124" s="10" t="s">
        <v>82</v>
      </c>
      <c r="E124" s="10" t="s">
        <v>283</v>
      </c>
      <c r="F124" s="10" t="s">
        <v>248</v>
      </c>
      <c r="G124" s="10" t="s">
        <v>249</v>
      </c>
      <c r="H124" s="11" t="str">
        <f>IF(OR(M124&lt;=0,N124&lt;=0),"SKIPPED - NONPOSITIVE",IF(OR(M124&lt;L124,N124&lt;L124),"SKIPPED - BELOW MIN",IF(OR(M124&gt;J124,N124&gt;K124),"SKIPPED - EXCEEDS BASE",IF(COUNTIFS($M$73:M123,M124,$N$73:N123,N124)&gt;0,"SKIPPED - DUPLICATE","VALID - GENERATED"))))</f>
        <v>VALID - GENERATED</v>
      </c>
      <c r="I124" s="10" t="s">
        <v>284</v>
      </c>
      <c r="J124" s="12">
        <f>'05-ISO Reference'!$B$6</f>
        <v>594</v>
      </c>
      <c r="K124" s="12">
        <f>'05-ISO Reference'!$C$6</f>
        <v>841</v>
      </c>
      <c r="L124" s="12">
        <f>'01-Process Controls'!$G$5</f>
        <v>3</v>
      </c>
      <c r="M124" s="12">
        <f>ROUNDDOWN(MIN(J124,K124*'04-Variant Rules'!$D$56),0)</f>
        <v>560</v>
      </c>
      <c r="N124" s="12">
        <f>ROUNDDOWN(M124/'04-Variant Rules'!$D$56,0)</f>
        <v>840</v>
      </c>
      <c r="O124" s="9">
        <v>51</v>
      </c>
    </row>
    <row r="125" spans="1:15" ht="21" customHeight="1">
      <c r="A125" s="9" t="s">
        <v>336</v>
      </c>
      <c r="B125" s="12">
        <f>IF(LEFT(H125,5)="VALID",M125,"")</f>
        <v>594</v>
      </c>
      <c r="C125" s="12">
        <f>IF(LEFT(H125,5)="VALID",N125,"")</f>
        <v>334</v>
      </c>
      <c r="D125" s="10" t="s">
        <v>82</v>
      </c>
      <c r="E125" s="10" t="s">
        <v>283</v>
      </c>
      <c r="F125" s="10" t="s">
        <v>251</v>
      </c>
      <c r="G125" s="10" t="s">
        <v>252</v>
      </c>
      <c r="H125" s="11" t="str">
        <f>IF(OR(M125&lt;=0,N125&lt;=0),"SKIPPED - NONPOSITIVE",IF(OR(M125&lt;L125,N125&lt;L125),"SKIPPED - BELOW MIN",IF(OR(M125&gt;J125,N125&gt;K125),"SKIPPED - EXCEEDS BASE",IF(COUNTIFS($M$73:M124,M125,$N$73:N124,N125)&gt;0,"SKIPPED - DUPLICATE","VALID - GENERATED"))))</f>
        <v>VALID - GENERATED</v>
      </c>
      <c r="I125" s="10" t="s">
        <v>284</v>
      </c>
      <c r="J125" s="12">
        <f>'05-ISO Reference'!$B$6</f>
        <v>594</v>
      </c>
      <c r="K125" s="12">
        <f>'05-ISO Reference'!$C$6</f>
        <v>841</v>
      </c>
      <c r="L125" s="12">
        <f>'01-Process Controls'!$G$5</f>
        <v>3</v>
      </c>
      <c r="M125" s="12">
        <f>ROUNDDOWN(MIN(J125,K125*'04-Variant Rules'!$D$57),0)</f>
        <v>594</v>
      </c>
      <c r="N125" s="12">
        <f>ROUNDDOWN(M125/'04-Variant Rules'!$D$57,0)</f>
        <v>334</v>
      </c>
      <c r="O125" s="9">
        <v>52</v>
      </c>
    </row>
    <row r="126" spans="1:15" ht="21" customHeight="1">
      <c r="A126" s="9" t="s">
        <v>337</v>
      </c>
      <c r="B126" s="12">
        <f>IF(LEFT(H126,5)="VALID",M126,"")</f>
        <v>473</v>
      </c>
      <c r="C126" s="12">
        <f>IF(LEFT(H126,5)="VALID",N126,"")</f>
        <v>840</v>
      </c>
      <c r="D126" s="10" t="s">
        <v>82</v>
      </c>
      <c r="E126" s="10" t="s">
        <v>283</v>
      </c>
      <c r="F126" s="10" t="s">
        <v>254</v>
      </c>
      <c r="G126" s="10" t="s">
        <v>255</v>
      </c>
      <c r="H126" s="11" t="str">
        <f>IF(OR(M126&lt;=0,N126&lt;=0),"SKIPPED - NONPOSITIVE",IF(OR(M126&lt;L126,N126&lt;L126),"SKIPPED - BELOW MIN",IF(OR(M126&gt;J126,N126&gt;K126),"SKIPPED - EXCEEDS BASE",IF(COUNTIFS($M$73:M125,M126,$N$73:N125,N126)&gt;0,"SKIPPED - DUPLICATE","VALID - GENERATED"))))</f>
        <v>VALID - GENERATED</v>
      </c>
      <c r="I126" s="10" t="s">
        <v>284</v>
      </c>
      <c r="J126" s="12">
        <f>'05-ISO Reference'!$B$6</f>
        <v>594</v>
      </c>
      <c r="K126" s="12">
        <f>'05-ISO Reference'!$C$6</f>
        <v>841</v>
      </c>
      <c r="L126" s="12">
        <f>'01-Process Controls'!$G$5</f>
        <v>3</v>
      </c>
      <c r="M126" s="12">
        <f>ROUNDDOWN(MIN(J126,K126*'04-Variant Rules'!$D$58),0)</f>
        <v>473</v>
      </c>
      <c r="N126" s="12">
        <f>ROUNDDOWN(M126/'04-Variant Rules'!$D$58,0)</f>
        <v>840</v>
      </c>
      <c r="O126" s="9">
        <v>53</v>
      </c>
    </row>
    <row r="127" spans="1:15" ht="21" customHeight="1">
      <c r="A127" s="9" t="s">
        <v>338</v>
      </c>
      <c r="B127" s="12">
        <f>IF(LEFT(H127,5)="VALID",M127,"")</f>
        <v>594</v>
      </c>
      <c r="C127" s="12">
        <f>IF(LEFT(H127,5)="VALID",N127,"")</f>
        <v>297</v>
      </c>
      <c r="D127" s="10" t="s">
        <v>82</v>
      </c>
      <c r="E127" s="10" t="s">
        <v>283</v>
      </c>
      <c r="F127" s="10" t="s">
        <v>257</v>
      </c>
      <c r="G127" s="10" t="s">
        <v>258</v>
      </c>
      <c r="H127" s="11" t="str">
        <f>IF(OR(M127&lt;=0,N127&lt;=0),"SKIPPED - NONPOSITIVE",IF(OR(M127&lt;L127,N127&lt;L127),"SKIPPED - BELOW MIN",IF(OR(M127&gt;J127,N127&gt;K127),"SKIPPED - EXCEEDS BASE",IF(COUNTIFS($M$73:M126,M127,$N$73:N126,N127)&gt;0,"SKIPPED - DUPLICATE","VALID - GENERATED"))))</f>
        <v>VALID - GENERATED</v>
      </c>
      <c r="I127" s="10" t="s">
        <v>284</v>
      </c>
      <c r="J127" s="12">
        <f>'05-ISO Reference'!$B$6</f>
        <v>594</v>
      </c>
      <c r="K127" s="12">
        <f>'05-ISO Reference'!$C$6</f>
        <v>841</v>
      </c>
      <c r="L127" s="12">
        <f>'01-Process Controls'!$G$5</f>
        <v>3</v>
      </c>
      <c r="M127" s="12">
        <f>ROUNDDOWN(MIN(J127,K127*'04-Variant Rules'!$D$59),0)</f>
        <v>594</v>
      </c>
      <c r="N127" s="12">
        <f>ROUNDDOWN(M127/'04-Variant Rules'!$D$59,0)</f>
        <v>297</v>
      </c>
      <c r="O127" s="9">
        <v>54</v>
      </c>
    </row>
    <row r="128" spans="1:15" ht="21" customHeight="1">
      <c r="A128" s="9" t="s">
        <v>339</v>
      </c>
      <c r="B128" s="12">
        <f>IF(LEFT(H128,5)="VALID",M128,"")</f>
        <v>420</v>
      </c>
      <c r="C128" s="12">
        <f>IF(LEFT(H128,5)="VALID",N128,"")</f>
        <v>840</v>
      </c>
      <c r="D128" s="10" t="s">
        <v>82</v>
      </c>
      <c r="E128" s="10" t="s">
        <v>283</v>
      </c>
      <c r="F128" s="10" t="s">
        <v>260</v>
      </c>
      <c r="G128" s="10" t="s">
        <v>261</v>
      </c>
      <c r="H128" s="11" t="str">
        <f>IF(OR(M128&lt;=0,N128&lt;=0),"SKIPPED - NONPOSITIVE",IF(OR(M128&lt;L128,N128&lt;L128),"SKIPPED - BELOW MIN",IF(OR(M128&gt;J128,N128&gt;K128),"SKIPPED - EXCEEDS BASE",IF(COUNTIFS($M$73:M127,M128,$N$73:N127,N128)&gt;0,"SKIPPED - DUPLICATE","VALID - GENERATED"))))</f>
        <v>VALID - GENERATED</v>
      </c>
      <c r="I128" s="10" t="s">
        <v>284</v>
      </c>
      <c r="J128" s="12">
        <f>'05-ISO Reference'!$B$6</f>
        <v>594</v>
      </c>
      <c r="K128" s="12">
        <f>'05-ISO Reference'!$C$6</f>
        <v>841</v>
      </c>
      <c r="L128" s="12">
        <f>'01-Process Controls'!$G$5</f>
        <v>3</v>
      </c>
      <c r="M128" s="12">
        <f>ROUNDDOWN(MIN(J128,K128*'04-Variant Rules'!$D$60),0)</f>
        <v>420</v>
      </c>
      <c r="N128" s="12">
        <f>ROUNDDOWN(M128/'04-Variant Rules'!$D$60,0)</f>
        <v>840</v>
      </c>
      <c r="O128" s="9">
        <v>55</v>
      </c>
    </row>
    <row r="129" spans="1:15" ht="21" customHeight="1">
      <c r="A129" s="9" t="s">
        <v>340</v>
      </c>
      <c r="B129" s="48"/>
      <c r="C129" s="48"/>
      <c r="D129" s="10" t="s">
        <v>263</v>
      </c>
      <c r="E129" s="10" t="s">
        <v>341</v>
      </c>
      <c r="F129" s="10" t="s">
        <v>265</v>
      </c>
      <c r="G129" s="10" t="s">
        <v>266</v>
      </c>
      <c r="H129" s="11" t="str">
        <f>IF(AND(B129="",C129=""),"CUSTOM BLANK",IF(OR(B129="",C129=""),"ERROR - ENTER BOTH",IF(OR(B129&lt;=0,C129&lt;=0),"ERROR - NONPOSITIVE",IF(OR(B129&lt;L129,C129&lt;L129),"ERROR - BELOW MIN",IF(OR(AND(B129&lt;=J129,C129&lt;=K129),AND(B129&lt;=K129,C129&lt;=J129)),"VALID - CUSTOM","ERROR - EXCEEDS BASE")))))</f>
        <v>CUSTOM BLANK</v>
      </c>
      <c r="I129" s="10" t="s">
        <v>267</v>
      </c>
      <c r="J129" s="12">
        <f>'05-ISO Reference'!$B$6</f>
        <v>594</v>
      </c>
      <c r="K129" s="12">
        <f>'05-ISO Reference'!$C$6</f>
        <v>841</v>
      </c>
      <c r="L129" s="12">
        <f>'01-Process Controls'!$G$5</f>
        <v>3</v>
      </c>
      <c r="M129" s="8"/>
      <c r="N129" s="8"/>
    </row>
    <row r="130" spans="1:15" ht="21" customHeight="1">
      <c r="A130" s="9" t="s">
        <v>342</v>
      </c>
      <c r="B130" s="48"/>
      <c r="C130" s="48"/>
      <c r="D130" s="10" t="s">
        <v>263</v>
      </c>
      <c r="E130" s="10" t="s">
        <v>341</v>
      </c>
      <c r="F130" s="10" t="s">
        <v>265</v>
      </c>
      <c r="G130" s="10" t="s">
        <v>266</v>
      </c>
      <c r="H130" s="11" t="str">
        <f>IF(AND(B130="",C130=""),"CUSTOM BLANK",IF(OR(B130="",C130=""),"ERROR - ENTER BOTH",IF(OR(B130&lt;=0,C130&lt;=0),"ERROR - NONPOSITIVE",IF(OR(B130&lt;L130,C130&lt;L130),"ERROR - BELOW MIN",IF(OR(AND(B130&lt;=J130,C130&lt;=K130),AND(B130&lt;=K130,C130&lt;=J130)),"VALID - CUSTOM","ERROR - EXCEEDS BASE")))))</f>
        <v>CUSTOM BLANK</v>
      </c>
      <c r="I130" s="10" t="s">
        <v>267</v>
      </c>
      <c r="J130" s="12">
        <f>'05-ISO Reference'!$B$6</f>
        <v>594</v>
      </c>
      <c r="K130" s="12">
        <f>'05-ISO Reference'!$C$6</f>
        <v>841</v>
      </c>
      <c r="L130" s="12">
        <f>'01-Process Controls'!$G$5</f>
        <v>3</v>
      </c>
      <c r="M130" s="8"/>
      <c r="N130" s="8"/>
    </row>
    <row r="131" spans="1:15" ht="21" customHeight="1">
      <c r="A131" s="9" t="s">
        <v>343</v>
      </c>
      <c r="B131" s="48"/>
      <c r="C131" s="48"/>
      <c r="D131" s="10" t="s">
        <v>263</v>
      </c>
      <c r="E131" s="10" t="s">
        <v>341</v>
      </c>
      <c r="F131" s="10" t="s">
        <v>265</v>
      </c>
      <c r="G131" s="10" t="s">
        <v>266</v>
      </c>
      <c r="H131" s="11" t="str">
        <f>IF(AND(B131="",C131=""),"CUSTOM BLANK",IF(OR(B131="",C131=""),"ERROR - ENTER BOTH",IF(OR(B131&lt;=0,C131&lt;=0),"ERROR - NONPOSITIVE",IF(OR(B131&lt;L131,C131&lt;L131),"ERROR - BELOW MIN",IF(OR(AND(B131&lt;=J131,C131&lt;=K131),AND(B131&lt;=K131,C131&lt;=J131)),"VALID - CUSTOM","ERROR - EXCEEDS BASE")))))</f>
        <v>CUSTOM BLANK</v>
      </c>
      <c r="I131" s="10" t="s">
        <v>267</v>
      </c>
      <c r="J131" s="12">
        <f>'05-ISO Reference'!$B$6</f>
        <v>594</v>
      </c>
      <c r="K131" s="12">
        <f>'05-ISO Reference'!$C$6</f>
        <v>841</v>
      </c>
      <c r="L131" s="12">
        <f>'01-Process Controls'!$G$5</f>
        <v>3</v>
      </c>
      <c r="M131" s="8"/>
      <c r="N131" s="8"/>
    </row>
    <row r="132" spans="1:15" ht="21" customHeight="1">
      <c r="A132" s="9" t="s">
        <v>344</v>
      </c>
      <c r="B132" s="48"/>
      <c r="C132" s="48"/>
      <c r="D132" s="10" t="s">
        <v>263</v>
      </c>
      <c r="E132" s="10" t="s">
        <v>341</v>
      </c>
      <c r="F132" s="10" t="s">
        <v>265</v>
      </c>
      <c r="G132" s="10" t="s">
        <v>266</v>
      </c>
      <c r="H132" s="11" t="str">
        <f>IF(AND(B132="",C132=""),"CUSTOM BLANK",IF(OR(B132="",C132=""),"ERROR - ENTER BOTH",IF(OR(B132&lt;=0,C132&lt;=0),"ERROR - NONPOSITIVE",IF(OR(B132&lt;L132,C132&lt;L132),"ERROR - BELOW MIN",IF(OR(AND(B132&lt;=J132,C132&lt;=K132),AND(B132&lt;=K132,C132&lt;=J132)),"VALID - CUSTOM","ERROR - EXCEEDS BASE")))))</f>
        <v>CUSTOM BLANK</v>
      </c>
      <c r="I132" s="10" t="s">
        <v>267</v>
      </c>
      <c r="J132" s="12">
        <f>'05-ISO Reference'!$B$6</f>
        <v>594</v>
      </c>
      <c r="K132" s="12">
        <f>'05-ISO Reference'!$C$6</f>
        <v>841</v>
      </c>
      <c r="L132" s="12">
        <f>'01-Process Controls'!$G$5</f>
        <v>3</v>
      </c>
      <c r="M132" s="8"/>
      <c r="N132" s="8"/>
    </row>
    <row r="133" spans="1:15" ht="21" customHeight="1">
      <c r="A133" s="9" t="s">
        <v>345</v>
      </c>
      <c r="B133" s="48"/>
      <c r="C133" s="48"/>
      <c r="D133" s="10" t="s">
        <v>263</v>
      </c>
      <c r="E133" s="10" t="s">
        <v>341</v>
      </c>
      <c r="F133" s="10" t="s">
        <v>265</v>
      </c>
      <c r="G133" s="10" t="s">
        <v>266</v>
      </c>
      <c r="H133" s="11" t="str">
        <f>IF(AND(B133="",C133=""),"CUSTOM BLANK",IF(OR(B133="",C133=""),"ERROR - ENTER BOTH",IF(OR(B133&lt;=0,C133&lt;=0),"ERROR - NONPOSITIVE",IF(OR(B133&lt;L133,C133&lt;L133),"ERROR - BELOW MIN",IF(OR(AND(B133&lt;=J133,C133&lt;=K133),AND(B133&lt;=K133,C133&lt;=J133)),"VALID - CUSTOM","ERROR - EXCEEDS BASE")))))</f>
        <v>CUSTOM BLANK</v>
      </c>
      <c r="I133" s="10" t="s">
        <v>267</v>
      </c>
      <c r="J133" s="12">
        <f>'05-ISO Reference'!$B$6</f>
        <v>594</v>
      </c>
      <c r="K133" s="12">
        <f>'05-ISO Reference'!$C$6</f>
        <v>841</v>
      </c>
      <c r="L133" s="12">
        <f>'01-Process Controls'!$G$5</f>
        <v>3</v>
      </c>
      <c r="M133" s="8"/>
      <c r="N133" s="8"/>
    </row>
    <row r="134" spans="1:15" ht="21" customHeight="1">
      <c r="A134" s="9" t="s">
        <v>346</v>
      </c>
      <c r="B134" s="48"/>
      <c r="C134" s="48"/>
      <c r="D134" s="10" t="s">
        <v>263</v>
      </c>
      <c r="E134" s="10" t="s">
        <v>341</v>
      </c>
      <c r="F134" s="10" t="s">
        <v>265</v>
      </c>
      <c r="G134" s="10" t="s">
        <v>266</v>
      </c>
      <c r="H134" s="11" t="str">
        <f>IF(AND(B134="",C134=""),"CUSTOM BLANK",IF(OR(B134="",C134=""),"ERROR - ENTER BOTH",IF(OR(B134&lt;=0,C134&lt;=0),"ERROR - NONPOSITIVE",IF(OR(B134&lt;L134,C134&lt;L134),"ERROR - BELOW MIN",IF(OR(AND(B134&lt;=J134,C134&lt;=K134),AND(B134&lt;=K134,C134&lt;=J134)),"VALID - CUSTOM","ERROR - EXCEEDS BASE")))))</f>
        <v>CUSTOM BLANK</v>
      </c>
      <c r="I134" s="10" t="s">
        <v>267</v>
      </c>
      <c r="J134" s="12">
        <f>'05-ISO Reference'!$B$6</f>
        <v>594</v>
      </c>
      <c r="K134" s="12">
        <f>'05-ISO Reference'!$C$6</f>
        <v>841</v>
      </c>
      <c r="L134" s="12">
        <f>'01-Process Controls'!$G$5</f>
        <v>3</v>
      </c>
      <c r="M134" s="8"/>
      <c r="N134" s="8"/>
    </row>
    <row r="135" spans="1:15" ht="21" customHeight="1">
      <c r="A135" s="9" t="s">
        <v>347</v>
      </c>
      <c r="B135" s="48"/>
      <c r="C135" s="48"/>
      <c r="D135" s="10" t="s">
        <v>263</v>
      </c>
      <c r="E135" s="10" t="s">
        <v>341</v>
      </c>
      <c r="F135" s="10" t="s">
        <v>265</v>
      </c>
      <c r="G135" s="10" t="s">
        <v>266</v>
      </c>
      <c r="H135" s="11" t="str">
        <f>IF(AND(B135="",C135=""),"CUSTOM BLANK",IF(OR(B135="",C135=""),"ERROR - ENTER BOTH",IF(OR(B135&lt;=0,C135&lt;=0),"ERROR - NONPOSITIVE",IF(OR(B135&lt;L135,C135&lt;L135),"ERROR - BELOW MIN",IF(OR(AND(B135&lt;=J135,C135&lt;=K135),AND(B135&lt;=K135,C135&lt;=J135)),"VALID - CUSTOM","ERROR - EXCEEDS BASE")))))</f>
        <v>CUSTOM BLANK</v>
      </c>
      <c r="I135" s="10" t="s">
        <v>267</v>
      </c>
      <c r="J135" s="12">
        <f>'05-ISO Reference'!$B$6</f>
        <v>594</v>
      </c>
      <c r="K135" s="12">
        <f>'05-ISO Reference'!$C$6</f>
        <v>841</v>
      </c>
      <c r="L135" s="12">
        <f>'01-Process Controls'!$G$5</f>
        <v>3</v>
      </c>
      <c r="M135" s="8"/>
      <c r="N135" s="8"/>
    </row>
    <row r="136" spans="1:15" ht="21" customHeight="1">
      <c r="A136" s="9" t="s">
        <v>348</v>
      </c>
      <c r="B136" s="48"/>
      <c r="C136" s="48"/>
      <c r="D136" s="10" t="s">
        <v>263</v>
      </c>
      <c r="E136" s="10" t="s">
        <v>341</v>
      </c>
      <c r="F136" s="10" t="s">
        <v>265</v>
      </c>
      <c r="G136" s="10" t="s">
        <v>266</v>
      </c>
      <c r="H136" s="11" t="str">
        <f>IF(AND(B136="",C136=""),"CUSTOM BLANK",IF(OR(B136="",C136=""),"ERROR - ENTER BOTH",IF(OR(B136&lt;=0,C136&lt;=0),"ERROR - NONPOSITIVE",IF(OR(B136&lt;L136,C136&lt;L136),"ERROR - BELOW MIN",IF(OR(AND(B136&lt;=J136,C136&lt;=K136),AND(B136&lt;=K136,C136&lt;=J136)),"VALID - CUSTOM","ERROR - EXCEEDS BASE")))))</f>
        <v>CUSTOM BLANK</v>
      </c>
      <c r="I136" s="10" t="s">
        <v>267</v>
      </c>
      <c r="J136" s="12">
        <f>'05-ISO Reference'!$B$6</f>
        <v>594</v>
      </c>
      <c r="K136" s="12">
        <f>'05-ISO Reference'!$C$6</f>
        <v>841</v>
      </c>
      <c r="L136" s="12">
        <f>'01-Process Controls'!$G$5</f>
        <v>3</v>
      </c>
      <c r="M136" s="8"/>
      <c r="N136" s="8"/>
    </row>
    <row r="137" spans="1:15" ht="21" customHeight="1">
      <c r="A137" s="9" t="s">
        <v>349</v>
      </c>
      <c r="B137" s="48"/>
      <c r="C137" s="48"/>
      <c r="D137" s="10" t="s">
        <v>263</v>
      </c>
      <c r="E137" s="10" t="s">
        <v>341</v>
      </c>
      <c r="F137" s="10" t="s">
        <v>265</v>
      </c>
      <c r="G137" s="10" t="s">
        <v>266</v>
      </c>
      <c r="H137" s="11" t="str">
        <f>IF(AND(B137="",C137=""),"CUSTOM BLANK",IF(OR(B137="",C137=""),"ERROR - ENTER BOTH",IF(OR(B137&lt;=0,C137&lt;=0),"ERROR - NONPOSITIVE",IF(OR(B137&lt;L137,C137&lt;L137),"ERROR - BELOW MIN",IF(OR(AND(B137&lt;=J137,C137&lt;=K137),AND(B137&lt;=K137,C137&lt;=J137)),"VALID - CUSTOM","ERROR - EXCEEDS BASE")))))</f>
        <v>CUSTOM BLANK</v>
      </c>
      <c r="I137" s="10" t="s">
        <v>267</v>
      </c>
      <c r="J137" s="12">
        <f>'05-ISO Reference'!$B$6</f>
        <v>594</v>
      </c>
      <c r="K137" s="12">
        <f>'05-ISO Reference'!$C$6</f>
        <v>841</v>
      </c>
      <c r="L137" s="12">
        <f>'01-Process Controls'!$G$5</f>
        <v>3</v>
      </c>
      <c r="M137" s="8"/>
      <c r="N137" s="8"/>
    </row>
    <row r="138" spans="1:15" ht="21" customHeight="1">
      <c r="A138" s="9" t="s">
        <v>350</v>
      </c>
      <c r="B138" s="48"/>
      <c r="C138" s="48"/>
      <c r="D138" s="10" t="s">
        <v>263</v>
      </c>
      <c r="E138" s="10" t="s">
        <v>341</v>
      </c>
      <c r="F138" s="10" t="s">
        <v>265</v>
      </c>
      <c r="G138" s="10" t="s">
        <v>266</v>
      </c>
      <c r="H138" s="11" t="str">
        <f>IF(AND(B138="",C138=""),"CUSTOM BLANK",IF(OR(B138="",C138=""),"ERROR - ENTER BOTH",IF(OR(B138&lt;=0,C138&lt;=0),"ERROR - NONPOSITIVE",IF(OR(B138&lt;L138,C138&lt;L138),"ERROR - BELOW MIN",IF(OR(AND(B138&lt;=J138,C138&lt;=K138),AND(B138&lt;=K138,C138&lt;=J138)),"VALID - CUSTOM","ERROR - EXCEEDS BASE")))))</f>
        <v>CUSTOM BLANK</v>
      </c>
      <c r="I138" s="10" t="s">
        <v>267</v>
      </c>
      <c r="J138" s="12">
        <f>'05-ISO Reference'!$B$6</f>
        <v>594</v>
      </c>
      <c r="K138" s="12">
        <f>'05-ISO Reference'!$C$6</f>
        <v>841</v>
      </c>
      <c r="L138" s="12">
        <f>'01-Process Controls'!$G$5</f>
        <v>3</v>
      </c>
      <c r="M138" s="8"/>
      <c r="N138" s="8"/>
    </row>
    <row r="139" spans="1:15" ht="21" customHeight="1">
      <c r="A139" s="9" t="s">
        <v>351</v>
      </c>
      <c r="B139" s="48"/>
      <c r="C139" s="48"/>
      <c r="D139" s="10" t="s">
        <v>263</v>
      </c>
      <c r="E139" s="10" t="s">
        <v>341</v>
      </c>
      <c r="F139" s="10" t="s">
        <v>265</v>
      </c>
      <c r="G139" s="10" t="s">
        <v>266</v>
      </c>
      <c r="H139" s="11" t="str">
        <f>IF(AND(B139="",C139=""),"CUSTOM BLANK",IF(OR(B139="",C139=""),"ERROR - ENTER BOTH",IF(OR(B139&lt;=0,C139&lt;=0),"ERROR - NONPOSITIVE",IF(OR(B139&lt;L139,C139&lt;L139),"ERROR - BELOW MIN",IF(OR(AND(B139&lt;=J139,C139&lt;=K139),AND(B139&lt;=K139,C139&lt;=J139)),"VALID - CUSTOM","ERROR - EXCEEDS BASE")))))</f>
        <v>CUSTOM BLANK</v>
      </c>
      <c r="I139" s="10" t="s">
        <v>267</v>
      </c>
      <c r="J139" s="12">
        <f>'05-ISO Reference'!$B$6</f>
        <v>594</v>
      </c>
      <c r="K139" s="12">
        <f>'05-ISO Reference'!$C$6</f>
        <v>841</v>
      </c>
      <c r="L139" s="12">
        <f>'01-Process Controls'!$G$5</f>
        <v>3</v>
      </c>
      <c r="M139" s="8"/>
      <c r="N139" s="8"/>
    </row>
    <row r="140" spans="1:15" ht="21" customHeight="1">
      <c r="A140" s="9" t="s">
        <v>352</v>
      </c>
      <c r="B140" s="48"/>
      <c r="C140" s="48"/>
      <c r="D140" s="10" t="s">
        <v>263</v>
      </c>
      <c r="E140" s="10" t="s">
        <v>341</v>
      </c>
      <c r="F140" s="10" t="s">
        <v>265</v>
      </c>
      <c r="G140" s="10" t="s">
        <v>266</v>
      </c>
      <c r="H140" s="11" t="str">
        <f>IF(AND(B140="",C140=""),"CUSTOM BLANK",IF(OR(B140="",C140=""),"ERROR - ENTER BOTH",IF(OR(B140&lt;=0,C140&lt;=0),"ERROR - NONPOSITIVE",IF(OR(B140&lt;L140,C140&lt;L140),"ERROR - BELOW MIN",IF(OR(AND(B140&lt;=J140,C140&lt;=K140),AND(B140&lt;=K140,C140&lt;=J140)),"VALID - CUSTOM","ERROR - EXCEEDS BASE")))))</f>
        <v>CUSTOM BLANK</v>
      </c>
      <c r="I140" s="10" t="s">
        <v>267</v>
      </c>
      <c r="J140" s="12">
        <f>'05-ISO Reference'!$B$6</f>
        <v>594</v>
      </c>
      <c r="K140" s="12">
        <f>'05-ISO Reference'!$C$6</f>
        <v>841</v>
      </c>
      <c r="L140" s="12">
        <f>'01-Process Controls'!$G$5</f>
        <v>3</v>
      </c>
      <c r="M140" s="8"/>
      <c r="N140" s="8"/>
    </row>
    <row r="141" spans="1:15" ht="21" customHeight="1">
      <c r="A141" s="9" t="s">
        <v>353</v>
      </c>
      <c r="B141" s="48"/>
      <c r="C141" s="48"/>
      <c r="D141" s="10" t="s">
        <v>263</v>
      </c>
      <c r="E141" s="10" t="s">
        <v>341</v>
      </c>
      <c r="F141" s="10" t="s">
        <v>265</v>
      </c>
      <c r="G141" s="10" t="s">
        <v>266</v>
      </c>
      <c r="H141" s="11" t="str">
        <f>IF(AND(B141="",C141=""),"CUSTOM BLANK",IF(OR(B141="",C141=""),"ERROR - ENTER BOTH",IF(OR(B141&lt;=0,C141&lt;=0),"ERROR - NONPOSITIVE",IF(OR(B141&lt;L141,C141&lt;L141),"ERROR - BELOW MIN",IF(OR(AND(B141&lt;=J141,C141&lt;=K141),AND(B141&lt;=K141,C141&lt;=J141)),"VALID - CUSTOM","ERROR - EXCEEDS BASE")))))</f>
        <v>CUSTOM BLANK</v>
      </c>
      <c r="I141" s="10" t="s">
        <v>267</v>
      </c>
      <c r="J141" s="12">
        <f>'05-ISO Reference'!$B$6</f>
        <v>594</v>
      </c>
      <c r="K141" s="12">
        <f>'05-ISO Reference'!$C$6</f>
        <v>841</v>
      </c>
      <c r="L141" s="12">
        <f>'01-Process Controls'!$G$5</f>
        <v>3</v>
      </c>
      <c r="M141" s="8"/>
      <c r="N141" s="8"/>
    </row>
    <row r="142" spans="1:15" ht="21" customHeight="1">
      <c r="A142" s="9" t="s">
        <v>354</v>
      </c>
      <c r="B142" s="48"/>
      <c r="C142" s="48"/>
      <c r="D142" s="10" t="s">
        <v>263</v>
      </c>
      <c r="E142" s="10" t="s">
        <v>341</v>
      </c>
      <c r="F142" s="10" t="s">
        <v>265</v>
      </c>
      <c r="G142" s="10" t="s">
        <v>266</v>
      </c>
      <c r="H142" s="11" t="str">
        <f>IF(AND(B142="",C142=""),"CUSTOM BLANK",IF(OR(B142="",C142=""),"ERROR - ENTER BOTH",IF(OR(B142&lt;=0,C142&lt;=0),"ERROR - NONPOSITIVE",IF(OR(B142&lt;L142,C142&lt;L142),"ERROR - BELOW MIN",IF(OR(AND(B142&lt;=J142,C142&lt;=K142),AND(B142&lt;=K142,C142&lt;=J142)),"VALID - CUSTOM","ERROR - EXCEEDS BASE")))))</f>
        <v>CUSTOM BLANK</v>
      </c>
      <c r="I142" s="10" t="s">
        <v>267</v>
      </c>
      <c r="J142" s="12">
        <f>'05-ISO Reference'!$B$6</f>
        <v>594</v>
      </c>
      <c r="K142" s="12">
        <f>'05-ISO Reference'!$C$6</f>
        <v>841</v>
      </c>
      <c r="L142" s="12">
        <f>'01-Process Controls'!$G$5</f>
        <v>3</v>
      </c>
      <c r="M142" s="8"/>
      <c r="N142" s="8"/>
    </row>
    <row r="143" spans="1:15" ht="21" customHeight="1">
      <c r="A143" s="9" t="s">
        <v>355</v>
      </c>
      <c r="B143" s="48"/>
      <c r="C143" s="48"/>
      <c r="D143" s="10" t="s">
        <v>263</v>
      </c>
      <c r="E143" s="10" t="s">
        <v>341</v>
      </c>
      <c r="F143" s="10" t="s">
        <v>265</v>
      </c>
      <c r="G143" s="10" t="s">
        <v>266</v>
      </c>
      <c r="H143" s="11" t="str">
        <f>IF(AND(B143="",C143=""),"CUSTOM BLANK",IF(OR(B143="",C143=""),"ERROR - ENTER BOTH",IF(OR(B143&lt;=0,C143&lt;=0),"ERROR - NONPOSITIVE",IF(OR(B143&lt;L143,C143&lt;L143),"ERROR - BELOW MIN",IF(OR(AND(B143&lt;=J143,C143&lt;=K143),AND(B143&lt;=K143,C143&lt;=J143)),"VALID - CUSTOM","ERROR - EXCEEDS BASE")))))</f>
        <v>CUSTOM BLANK</v>
      </c>
      <c r="I143" s="10" t="s">
        <v>267</v>
      </c>
      <c r="J143" s="12">
        <f>'05-ISO Reference'!$B$6</f>
        <v>594</v>
      </c>
      <c r="K143" s="12">
        <f>'05-ISO Reference'!$C$6</f>
        <v>841</v>
      </c>
      <c r="L143" s="12">
        <f>'01-Process Controls'!$G$5</f>
        <v>3</v>
      </c>
      <c r="M143" s="8"/>
      <c r="N143" s="8"/>
    </row>
    <row r="144" spans="1:15" ht="21" customHeight="1">
      <c r="A144" s="44" t="s">
        <v>356</v>
      </c>
      <c r="B144" s="45">
        <f>IF(LEFT(H144,5)="VALID",M144,"")</f>
        <v>420</v>
      </c>
      <c r="C144" s="45">
        <f>IF(LEFT(H144,5)="VALID",N144,"")</f>
        <v>594</v>
      </c>
      <c r="D144" s="46" t="s">
        <v>82</v>
      </c>
      <c r="E144" s="46" t="s">
        <v>357</v>
      </c>
      <c r="F144" s="46" t="s">
        <v>122</v>
      </c>
      <c r="G144" s="46" t="s">
        <v>123</v>
      </c>
      <c r="H144" s="47" t="str">
        <f>"VALID - BASE"</f>
        <v>VALID - BASE</v>
      </c>
      <c r="I144" s="46" t="s">
        <v>358</v>
      </c>
      <c r="J144" s="12">
        <f>'05-ISO Reference'!$B$7</f>
        <v>420</v>
      </c>
      <c r="K144" s="12">
        <f>'05-ISO Reference'!$C$7</f>
        <v>594</v>
      </c>
      <c r="L144" s="12">
        <f>'01-Process Controls'!$G$5</f>
        <v>3</v>
      </c>
      <c r="M144" s="12">
        <f>ROUNDDOWN(J144,0)</f>
        <v>420</v>
      </c>
      <c r="N144" s="12">
        <f>ROUNDDOWN(K144,0)</f>
        <v>594</v>
      </c>
      <c r="O144" s="9">
        <v>0</v>
      </c>
    </row>
    <row r="145" spans="1:15" ht="21" customHeight="1">
      <c r="A145" s="9" t="s">
        <v>359</v>
      </c>
      <c r="B145" s="12">
        <f>IF(LEFT(H145,5)="VALID",M145,"")</f>
        <v>210</v>
      </c>
      <c r="C145" s="12">
        <f>IF(LEFT(H145,5)="VALID",N145,"")</f>
        <v>594</v>
      </c>
      <c r="D145" s="10" t="s">
        <v>82</v>
      </c>
      <c r="E145" s="10" t="s">
        <v>357</v>
      </c>
      <c r="F145" s="10" t="s">
        <v>126</v>
      </c>
      <c r="G145" s="10" t="s">
        <v>127</v>
      </c>
      <c r="H145" s="11" t="str">
        <f>IF(OR(M145&lt;=0,N145&lt;=0),"SKIPPED - NONPOSITIVE",IF(OR(M145&lt;L145,N145&lt;L145),"SKIPPED - BELOW MIN",IF(OR(M145&gt;J145,N145&gt;K145),"SKIPPED - EXCEEDS BASE",IF(COUNTIFS($M$144:M144,M145,$N$144:N144,N145)&gt;0,"SKIPPED - DUPLICATE","VALID - GENERATED"))))</f>
        <v>VALID - GENERATED</v>
      </c>
      <c r="I145" s="10" t="s">
        <v>358</v>
      </c>
      <c r="J145" s="12">
        <f>'05-ISO Reference'!$B$7</f>
        <v>420</v>
      </c>
      <c r="K145" s="12">
        <f>'05-ISO Reference'!$C$7</f>
        <v>594</v>
      </c>
      <c r="L145" s="12">
        <f>'01-Process Controls'!$G$5</f>
        <v>3</v>
      </c>
      <c r="M145" s="12">
        <f>ROUNDDOWN(J145*'04-Variant Rules'!$D$6,0)</f>
        <v>210</v>
      </c>
      <c r="N145" s="12">
        <f>ROUNDDOWN(K145,0)</f>
        <v>594</v>
      </c>
      <c r="O145" s="9">
        <v>1</v>
      </c>
    </row>
    <row r="146" spans="1:15" ht="21" customHeight="1">
      <c r="A146" s="9" t="s">
        <v>360</v>
      </c>
      <c r="B146" s="12">
        <f>IF(LEFT(H146,5)="VALID",M146,"")</f>
        <v>140</v>
      </c>
      <c r="C146" s="12">
        <f>IF(LEFT(H146,5)="VALID",N146,"")</f>
        <v>594</v>
      </c>
      <c r="D146" s="10" t="s">
        <v>82</v>
      </c>
      <c r="E146" s="10" t="s">
        <v>357</v>
      </c>
      <c r="F146" s="10" t="s">
        <v>129</v>
      </c>
      <c r="G146" s="10" t="s">
        <v>130</v>
      </c>
      <c r="H146" s="11" t="str">
        <f>IF(OR(M146&lt;=0,N146&lt;=0),"SKIPPED - NONPOSITIVE",IF(OR(M146&lt;L146,N146&lt;L146),"SKIPPED - BELOW MIN",IF(OR(M146&gt;J146,N146&gt;K146),"SKIPPED - EXCEEDS BASE",IF(COUNTIFS($M$144:M145,M146,$N$144:N145,N146)&gt;0,"SKIPPED - DUPLICATE","VALID - GENERATED"))))</f>
        <v>VALID - GENERATED</v>
      </c>
      <c r="I146" s="10" t="s">
        <v>358</v>
      </c>
      <c r="J146" s="12">
        <f>'05-ISO Reference'!$B$7</f>
        <v>420</v>
      </c>
      <c r="K146" s="12">
        <f>'05-ISO Reference'!$C$7</f>
        <v>594</v>
      </c>
      <c r="L146" s="12">
        <f>'01-Process Controls'!$G$5</f>
        <v>3</v>
      </c>
      <c r="M146" s="12">
        <f>ROUNDDOWN(J146*'04-Variant Rules'!$D$7,0)</f>
        <v>140</v>
      </c>
      <c r="N146" s="12">
        <f>ROUNDDOWN(K146,0)</f>
        <v>594</v>
      </c>
      <c r="O146" s="9">
        <v>2</v>
      </c>
    </row>
    <row r="147" spans="1:15" ht="21" customHeight="1">
      <c r="A147" s="9" t="s">
        <v>361</v>
      </c>
      <c r="B147" s="12">
        <f>IF(LEFT(H147,5)="VALID",M147,"")</f>
        <v>105</v>
      </c>
      <c r="C147" s="12">
        <f>IF(LEFT(H147,5)="VALID",N147,"")</f>
        <v>594</v>
      </c>
      <c r="D147" s="10" t="s">
        <v>82</v>
      </c>
      <c r="E147" s="10" t="s">
        <v>357</v>
      </c>
      <c r="F147" s="10" t="s">
        <v>132</v>
      </c>
      <c r="G147" s="10" t="s">
        <v>133</v>
      </c>
      <c r="H147" s="11" t="str">
        <f>IF(OR(M147&lt;=0,N147&lt;=0),"SKIPPED - NONPOSITIVE",IF(OR(M147&lt;L147,N147&lt;L147),"SKIPPED - BELOW MIN",IF(OR(M147&gt;J147,N147&gt;K147),"SKIPPED - EXCEEDS BASE",IF(COUNTIFS($M$144:M146,M147,$N$144:N146,N147)&gt;0,"SKIPPED - DUPLICATE","VALID - GENERATED"))))</f>
        <v>VALID - GENERATED</v>
      </c>
      <c r="I147" s="10" t="s">
        <v>358</v>
      </c>
      <c r="J147" s="12">
        <f>'05-ISO Reference'!$B$7</f>
        <v>420</v>
      </c>
      <c r="K147" s="12">
        <f>'05-ISO Reference'!$C$7</f>
        <v>594</v>
      </c>
      <c r="L147" s="12">
        <f>'01-Process Controls'!$G$5</f>
        <v>3</v>
      </c>
      <c r="M147" s="12">
        <f>ROUNDDOWN(J147*'04-Variant Rules'!$D$8,0)</f>
        <v>105</v>
      </c>
      <c r="N147" s="12">
        <f>ROUNDDOWN(K147,0)</f>
        <v>594</v>
      </c>
      <c r="O147" s="9">
        <v>3</v>
      </c>
    </row>
    <row r="148" spans="1:15" ht="21" customHeight="1">
      <c r="A148" s="9" t="s">
        <v>362</v>
      </c>
      <c r="B148" s="12">
        <f>IF(LEFT(H148,5)="VALID",M148,"")</f>
        <v>280</v>
      </c>
      <c r="C148" s="12">
        <f>IF(LEFT(H148,5)="VALID",N148,"")</f>
        <v>594</v>
      </c>
      <c r="D148" s="10" t="s">
        <v>82</v>
      </c>
      <c r="E148" s="10" t="s">
        <v>357</v>
      </c>
      <c r="F148" s="10" t="s">
        <v>135</v>
      </c>
      <c r="G148" s="10" t="s">
        <v>136</v>
      </c>
      <c r="H148" s="11" t="str">
        <f>IF(OR(M148&lt;=0,N148&lt;=0),"SKIPPED - NONPOSITIVE",IF(OR(M148&lt;L148,N148&lt;L148),"SKIPPED - BELOW MIN",IF(OR(M148&gt;J148,N148&gt;K148),"SKIPPED - EXCEEDS BASE",IF(COUNTIFS($M$144:M147,M148,$N$144:N147,N148)&gt;0,"SKIPPED - DUPLICATE","VALID - GENERATED"))))</f>
        <v>VALID - GENERATED</v>
      </c>
      <c r="I148" s="10" t="s">
        <v>358</v>
      </c>
      <c r="J148" s="12">
        <f>'05-ISO Reference'!$B$7</f>
        <v>420</v>
      </c>
      <c r="K148" s="12">
        <f>'05-ISO Reference'!$C$7</f>
        <v>594</v>
      </c>
      <c r="L148" s="12">
        <f>'01-Process Controls'!$G$5</f>
        <v>3</v>
      </c>
      <c r="M148" s="12">
        <f>ROUNDDOWN(J148*'04-Variant Rules'!$D$9,0)</f>
        <v>280</v>
      </c>
      <c r="N148" s="12">
        <f>ROUNDDOWN(K148,0)</f>
        <v>594</v>
      </c>
      <c r="O148" s="9">
        <v>4</v>
      </c>
    </row>
    <row r="149" spans="1:15" ht="21" customHeight="1">
      <c r="A149" s="9" t="s">
        <v>363</v>
      </c>
      <c r="B149" s="12">
        <f>IF(LEFT(H149,5)="VALID",M149,"")</f>
        <v>315</v>
      </c>
      <c r="C149" s="12">
        <f>IF(LEFT(H149,5)="VALID",N149,"")</f>
        <v>594</v>
      </c>
      <c r="D149" s="10" t="s">
        <v>82</v>
      </c>
      <c r="E149" s="10" t="s">
        <v>357</v>
      </c>
      <c r="F149" s="10" t="s">
        <v>138</v>
      </c>
      <c r="G149" s="10" t="s">
        <v>139</v>
      </c>
      <c r="H149" s="11" t="str">
        <f>IF(OR(M149&lt;=0,N149&lt;=0),"SKIPPED - NONPOSITIVE",IF(OR(M149&lt;L149,N149&lt;L149),"SKIPPED - BELOW MIN",IF(OR(M149&gt;J149,N149&gt;K149),"SKIPPED - EXCEEDS BASE",IF(COUNTIFS($M$144:M148,M149,$N$144:N148,N149)&gt;0,"SKIPPED - DUPLICATE","VALID - GENERATED"))))</f>
        <v>VALID - GENERATED</v>
      </c>
      <c r="I149" s="10" t="s">
        <v>358</v>
      </c>
      <c r="J149" s="12">
        <f>'05-ISO Reference'!$B$7</f>
        <v>420</v>
      </c>
      <c r="K149" s="12">
        <f>'05-ISO Reference'!$C$7</f>
        <v>594</v>
      </c>
      <c r="L149" s="12">
        <f>'01-Process Controls'!$G$5</f>
        <v>3</v>
      </c>
      <c r="M149" s="12">
        <f>ROUNDDOWN(J149*'04-Variant Rules'!$D$10,0)</f>
        <v>315</v>
      </c>
      <c r="N149" s="12">
        <f>ROUNDDOWN(K149,0)</f>
        <v>594</v>
      </c>
      <c r="O149" s="9">
        <v>5</v>
      </c>
    </row>
    <row r="150" spans="1:15" ht="21" customHeight="1">
      <c r="A150" s="9" t="s">
        <v>364</v>
      </c>
      <c r="B150" s="12">
        <f>IF(LEFT(H150,5)="VALID",M150,"")</f>
        <v>420</v>
      </c>
      <c r="C150" s="12">
        <f>IF(LEFT(H150,5)="VALID",N150,"")</f>
        <v>297</v>
      </c>
      <c r="D150" s="10" t="s">
        <v>82</v>
      </c>
      <c r="E150" s="10" t="s">
        <v>357</v>
      </c>
      <c r="F150" s="10" t="s">
        <v>141</v>
      </c>
      <c r="G150" s="10" t="s">
        <v>142</v>
      </c>
      <c r="H150" s="11" t="str">
        <f>IF(OR(M150&lt;=0,N150&lt;=0),"SKIPPED - NONPOSITIVE",IF(OR(M150&lt;L150,N150&lt;L150),"SKIPPED - BELOW MIN",IF(OR(M150&gt;J150,N150&gt;K150),"SKIPPED - EXCEEDS BASE",IF(COUNTIFS($M$144:M149,M150,$N$144:N149,N150)&gt;0,"SKIPPED - DUPLICATE","VALID - GENERATED"))))</f>
        <v>VALID - GENERATED</v>
      </c>
      <c r="I150" s="10" t="s">
        <v>358</v>
      </c>
      <c r="J150" s="12">
        <f>'05-ISO Reference'!$B$7</f>
        <v>420</v>
      </c>
      <c r="K150" s="12">
        <f>'05-ISO Reference'!$C$7</f>
        <v>594</v>
      </c>
      <c r="L150" s="12">
        <f>'01-Process Controls'!$G$5</f>
        <v>3</v>
      </c>
      <c r="M150" s="12">
        <f>ROUNDDOWN(J150,0)</f>
        <v>420</v>
      </c>
      <c r="N150" s="12">
        <f>ROUNDDOWN(K150*'04-Variant Rules'!$D$11,0)</f>
        <v>297</v>
      </c>
      <c r="O150" s="9">
        <v>6</v>
      </c>
    </row>
    <row r="151" spans="1:15" ht="21" customHeight="1">
      <c r="A151" s="9" t="s">
        <v>365</v>
      </c>
      <c r="B151" s="12">
        <f>IF(LEFT(H151,5)="VALID",M151,"")</f>
        <v>420</v>
      </c>
      <c r="C151" s="12">
        <f>IF(LEFT(H151,5)="VALID",N151,"")</f>
        <v>198</v>
      </c>
      <c r="D151" s="10" t="s">
        <v>82</v>
      </c>
      <c r="E151" s="10" t="s">
        <v>357</v>
      </c>
      <c r="F151" s="10" t="s">
        <v>144</v>
      </c>
      <c r="G151" s="10" t="s">
        <v>145</v>
      </c>
      <c r="H151" s="11" t="str">
        <f>IF(OR(M151&lt;=0,N151&lt;=0),"SKIPPED - NONPOSITIVE",IF(OR(M151&lt;L151,N151&lt;L151),"SKIPPED - BELOW MIN",IF(OR(M151&gt;J151,N151&gt;K151),"SKIPPED - EXCEEDS BASE",IF(COUNTIFS($M$144:M150,M151,$N$144:N150,N151)&gt;0,"SKIPPED - DUPLICATE","VALID - GENERATED"))))</f>
        <v>VALID - GENERATED</v>
      </c>
      <c r="I151" s="10" t="s">
        <v>358</v>
      </c>
      <c r="J151" s="12">
        <f>'05-ISO Reference'!$B$7</f>
        <v>420</v>
      </c>
      <c r="K151" s="12">
        <f>'05-ISO Reference'!$C$7</f>
        <v>594</v>
      </c>
      <c r="L151" s="12">
        <f>'01-Process Controls'!$G$5</f>
        <v>3</v>
      </c>
      <c r="M151" s="12">
        <f>ROUNDDOWN(J151,0)</f>
        <v>420</v>
      </c>
      <c r="N151" s="12">
        <f>ROUNDDOWN(K151*'04-Variant Rules'!$D$12,0)</f>
        <v>198</v>
      </c>
      <c r="O151" s="9">
        <v>7</v>
      </c>
    </row>
    <row r="152" spans="1:15" ht="21" customHeight="1">
      <c r="A152" s="9" t="s">
        <v>366</v>
      </c>
      <c r="B152" s="12">
        <f>IF(LEFT(H152,5)="VALID",M152,"")</f>
        <v>420</v>
      </c>
      <c r="C152" s="12">
        <f>IF(LEFT(H152,5)="VALID",N152,"")</f>
        <v>148</v>
      </c>
      <c r="D152" s="10" t="s">
        <v>82</v>
      </c>
      <c r="E152" s="10" t="s">
        <v>357</v>
      </c>
      <c r="F152" s="10" t="s">
        <v>147</v>
      </c>
      <c r="G152" s="10" t="s">
        <v>148</v>
      </c>
      <c r="H152" s="11" t="str">
        <f>IF(OR(M152&lt;=0,N152&lt;=0),"SKIPPED - NONPOSITIVE",IF(OR(M152&lt;L152,N152&lt;L152),"SKIPPED - BELOW MIN",IF(OR(M152&gt;J152,N152&gt;K152),"SKIPPED - EXCEEDS BASE",IF(COUNTIFS($M$144:M151,M152,$N$144:N151,N152)&gt;0,"SKIPPED - DUPLICATE","VALID - GENERATED"))))</f>
        <v>VALID - GENERATED</v>
      </c>
      <c r="I152" s="10" t="s">
        <v>358</v>
      </c>
      <c r="J152" s="12">
        <f>'05-ISO Reference'!$B$7</f>
        <v>420</v>
      </c>
      <c r="K152" s="12">
        <f>'05-ISO Reference'!$C$7</f>
        <v>594</v>
      </c>
      <c r="L152" s="12">
        <f>'01-Process Controls'!$G$5</f>
        <v>3</v>
      </c>
      <c r="M152" s="12">
        <f>ROUNDDOWN(J152,0)</f>
        <v>420</v>
      </c>
      <c r="N152" s="12">
        <f>ROUNDDOWN(K152*'04-Variant Rules'!$D$13,0)</f>
        <v>148</v>
      </c>
      <c r="O152" s="9">
        <v>8</v>
      </c>
    </row>
    <row r="153" spans="1:15" ht="21" customHeight="1">
      <c r="A153" s="9" t="s">
        <v>367</v>
      </c>
      <c r="B153" s="12">
        <f>IF(LEFT(H153,5)="VALID",M153,"")</f>
        <v>420</v>
      </c>
      <c r="C153" s="12">
        <f>IF(LEFT(H153,5)="VALID",N153,"")</f>
        <v>396</v>
      </c>
      <c r="D153" s="10" t="s">
        <v>82</v>
      </c>
      <c r="E153" s="10" t="s">
        <v>357</v>
      </c>
      <c r="F153" s="10" t="s">
        <v>150</v>
      </c>
      <c r="G153" s="10" t="s">
        <v>151</v>
      </c>
      <c r="H153" s="11" t="str">
        <f>IF(OR(M153&lt;=0,N153&lt;=0),"SKIPPED - NONPOSITIVE",IF(OR(M153&lt;L153,N153&lt;L153),"SKIPPED - BELOW MIN",IF(OR(M153&gt;J153,N153&gt;K153),"SKIPPED - EXCEEDS BASE",IF(COUNTIFS($M$144:M152,M153,$N$144:N152,N153)&gt;0,"SKIPPED - DUPLICATE","VALID - GENERATED"))))</f>
        <v>VALID - GENERATED</v>
      </c>
      <c r="I153" s="10" t="s">
        <v>358</v>
      </c>
      <c r="J153" s="12">
        <f>'05-ISO Reference'!$B$7</f>
        <v>420</v>
      </c>
      <c r="K153" s="12">
        <f>'05-ISO Reference'!$C$7</f>
        <v>594</v>
      </c>
      <c r="L153" s="12">
        <f>'01-Process Controls'!$G$5</f>
        <v>3</v>
      </c>
      <c r="M153" s="12">
        <f>ROUNDDOWN(J153,0)</f>
        <v>420</v>
      </c>
      <c r="N153" s="12">
        <f>ROUNDDOWN(K153*'04-Variant Rules'!$D$14,0)</f>
        <v>396</v>
      </c>
      <c r="O153" s="9">
        <v>9</v>
      </c>
    </row>
    <row r="154" spans="1:15" ht="21" customHeight="1">
      <c r="A154" s="9" t="s">
        <v>368</v>
      </c>
      <c r="B154" s="12">
        <f>IF(LEFT(H154,5)="VALID",M154,"")</f>
        <v>420</v>
      </c>
      <c r="C154" s="12">
        <f>IF(LEFT(H154,5)="VALID",N154,"")</f>
        <v>445</v>
      </c>
      <c r="D154" s="10" t="s">
        <v>82</v>
      </c>
      <c r="E154" s="10" t="s">
        <v>357</v>
      </c>
      <c r="F154" s="10" t="s">
        <v>153</v>
      </c>
      <c r="G154" s="10" t="s">
        <v>154</v>
      </c>
      <c r="H154" s="11" t="str">
        <f>IF(OR(M154&lt;=0,N154&lt;=0),"SKIPPED - NONPOSITIVE",IF(OR(M154&lt;L154,N154&lt;L154),"SKIPPED - BELOW MIN",IF(OR(M154&gt;J154,N154&gt;K154),"SKIPPED - EXCEEDS BASE",IF(COUNTIFS($M$144:M153,M154,$N$144:N153,N154)&gt;0,"SKIPPED - DUPLICATE","VALID - GENERATED"))))</f>
        <v>VALID - GENERATED</v>
      </c>
      <c r="I154" s="10" t="s">
        <v>358</v>
      </c>
      <c r="J154" s="12">
        <f>'05-ISO Reference'!$B$7</f>
        <v>420</v>
      </c>
      <c r="K154" s="12">
        <f>'05-ISO Reference'!$C$7</f>
        <v>594</v>
      </c>
      <c r="L154" s="12">
        <f>'01-Process Controls'!$G$5</f>
        <v>3</v>
      </c>
      <c r="M154" s="12">
        <f>ROUNDDOWN(J154,0)</f>
        <v>420</v>
      </c>
      <c r="N154" s="12">
        <f>ROUNDDOWN(K154*'04-Variant Rules'!$D$15,0)</f>
        <v>445</v>
      </c>
      <c r="O154" s="9">
        <v>10</v>
      </c>
    </row>
    <row r="155" spans="1:15" ht="21" customHeight="1">
      <c r="A155" s="9" t="s">
        <v>369</v>
      </c>
      <c r="B155" s="12">
        <f>IF(LEFT(H155,5)="VALID",M155,"")</f>
        <v>210</v>
      </c>
      <c r="C155" s="12">
        <f>IF(LEFT(H155,5)="VALID",N155,"")</f>
        <v>297</v>
      </c>
      <c r="D155" s="10" t="s">
        <v>82</v>
      </c>
      <c r="E155" s="10" t="s">
        <v>357</v>
      </c>
      <c r="F155" s="10" t="s">
        <v>156</v>
      </c>
      <c r="G155" s="10" t="s">
        <v>157</v>
      </c>
      <c r="H155" s="11" t="str">
        <f>IF(OR(M155&lt;=0,N155&lt;=0),"SKIPPED - NONPOSITIVE",IF(OR(M155&lt;L155,N155&lt;L155),"SKIPPED - BELOW MIN",IF(OR(M155&gt;J155,N155&gt;K155),"SKIPPED - EXCEEDS BASE",IF(COUNTIFS($M$144:M154,M155,$N$144:N154,N155)&gt;0,"SKIPPED - DUPLICATE","VALID - GENERATED"))))</f>
        <v>VALID - GENERATED</v>
      </c>
      <c r="I155" s="10" t="s">
        <v>358</v>
      </c>
      <c r="J155" s="12">
        <f>'05-ISO Reference'!$B$7</f>
        <v>420</v>
      </c>
      <c r="K155" s="12">
        <f>'05-ISO Reference'!$C$7</f>
        <v>594</v>
      </c>
      <c r="L155" s="12">
        <f>'01-Process Controls'!$G$5</f>
        <v>3</v>
      </c>
      <c r="M155" s="12">
        <f>ROUNDDOWN(J155*'04-Variant Rules'!$D$16,0)</f>
        <v>210</v>
      </c>
      <c r="N155" s="12">
        <f>ROUNDDOWN(K155*'04-Variant Rules'!$E$16,0)</f>
        <v>297</v>
      </c>
      <c r="O155" s="9">
        <v>11</v>
      </c>
    </row>
    <row r="156" spans="1:15" ht="21" customHeight="1">
      <c r="A156" s="9" t="s">
        <v>370</v>
      </c>
      <c r="B156" s="12">
        <f>IF(LEFT(H156,5)="VALID",M156,"")</f>
        <v>140</v>
      </c>
      <c r="C156" s="12">
        <f>IF(LEFT(H156,5)="VALID",N156,"")</f>
        <v>198</v>
      </c>
      <c r="D156" s="10" t="s">
        <v>82</v>
      </c>
      <c r="E156" s="10" t="s">
        <v>357</v>
      </c>
      <c r="F156" s="10" t="s">
        <v>159</v>
      </c>
      <c r="G156" s="10" t="s">
        <v>160</v>
      </c>
      <c r="H156" s="11" t="str">
        <f>IF(OR(M156&lt;=0,N156&lt;=0),"SKIPPED - NONPOSITIVE",IF(OR(M156&lt;L156,N156&lt;L156),"SKIPPED - BELOW MIN",IF(OR(M156&gt;J156,N156&gt;K156),"SKIPPED - EXCEEDS BASE",IF(COUNTIFS($M$144:M155,M156,$N$144:N155,N156)&gt;0,"SKIPPED - DUPLICATE","VALID - GENERATED"))))</f>
        <v>VALID - GENERATED</v>
      </c>
      <c r="I156" s="10" t="s">
        <v>358</v>
      </c>
      <c r="J156" s="12">
        <f>'05-ISO Reference'!$B$7</f>
        <v>420</v>
      </c>
      <c r="K156" s="12">
        <f>'05-ISO Reference'!$C$7</f>
        <v>594</v>
      </c>
      <c r="L156" s="12">
        <f>'01-Process Controls'!$G$5</f>
        <v>3</v>
      </c>
      <c r="M156" s="12">
        <f>ROUNDDOWN(J156*'04-Variant Rules'!$D$17,0)</f>
        <v>140</v>
      </c>
      <c r="N156" s="12">
        <f>ROUNDDOWN(K156*'04-Variant Rules'!$E$17,0)</f>
        <v>198</v>
      </c>
      <c r="O156" s="9">
        <v>12</v>
      </c>
    </row>
    <row r="157" spans="1:15" ht="21" customHeight="1">
      <c r="A157" s="9" t="s">
        <v>371</v>
      </c>
      <c r="B157" s="12">
        <f>IF(LEFT(H157,5)="VALID",M157,"")</f>
        <v>105</v>
      </c>
      <c r="C157" s="12">
        <f>IF(LEFT(H157,5)="VALID",N157,"")</f>
        <v>148</v>
      </c>
      <c r="D157" s="10" t="s">
        <v>82</v>
      </c>
      <c r="E157" s="10" t="s">
        <v>357</v>
      </c>
      <c r="F157" s="10" t="s">
        <v>162</v>
      </c>
      <c r="G157" s="10" t="s">
        <v>163</v>
      </c>
      <c r="H157" s="11" t="str">
        <f>IF(OR(M157&lt;=0,N157&lt;=0),"SKIPPED - NONPOSITIVE",IF(OR(M157&lt;L157,N157&lt;L157),"SKIPPED - BELOW MIN",IF(OR(M157&gt;J157,N157&gt;K157),"SKIPPED - EXCEEDS BASE",IF(COUNTIFS($M$144:M156,M157,$N$144:N156,N157)&gt;0,"SKIPPED - DUPLICATE","VALID - GENERATED"))))</f>
        <v>VALID - GENERATED</v>
      </c>
      <c r="I157" s="10" t="s">
        <v>358</v>
      </c>
      <c r="J157" s="12">
        <f>'05-ISO Reference'!$B$7</f>
        <v>420</v>
      </c>
      <c r="K157" s="12">
        <f>'05-ISO Reference'!$C$7</f>
        <v>594</v>
      </c>
      <c r="L157" s="12">
        <f>'01-Process Controls'!$G$5</f>
        <v>3</v>
      </c>
      <c r="M157" s="12">
        <f>ROUNDDOWN(J157*'04-Variant Rules'!$D$18,0)</f>
        <v>105</v>
      </c>
      <c r="N157" s="12">
        <f>ROUNDDOWN(K157*'04-Variant Rules'!$E$18,0)</f>
        <v>148</v>
      </c>
      <c r="O157" s="9">
        <v>13</v>
      </c>
    </row>
    <row r="158" spans="1:15" ht="21" customHeight="1">
      <c r="A158" s="9" t="s">
        <v>372</v>
      </c>
      <c r="B158" s="12">
        <f>IF(LEFT(H158,5)="VALID",M158,"")</f>
        <v>210</v>
      </c>
      <c r="C158" s="12">
        <f>IF(LEFT(H158,5)="VALID",N158,"")</f>
        <v>198</v>
      </c>
      <c r="D158" s="10" t="s">
        <v>82</v>
      </c>
      <c r="E158" s="10" t="s">
        <v>357</v>
      </c>
      <c r="F158" s="10" t="s">
        <v>165</v>
      </c>
      <c r="G158" s="10" t="s">
        <v>166</v>
      </c>
      <c r="H158" s="11" t="str">
        <f>IF(OR(M158&lt;=0,N158&lt;=0),"SKIPPED - NONPOSITIVE",IF(OR(M158&lt;L158,N158&lt;L158),"SKIPPED - BELOW MIN",IF(OR(M158&gt;J158,N158&gt;K158),"SKIPPED - EXCEEDS BASE",IF(COUNTIFS($M$144:M157,M158,$N$144:N157,N158)&gt;0,"SKIPPED - DUPLICATE","VALID - GENERATED"))))</f>
        <v>VALID - GENERATED</v>
      </c>
      <c r="I158" s="10" t="s">
        <v>358</v>
      </c>
      <c r="J158" s="12">
        <f>'05-ISO Reference'!$B$7</f>
        <v>420</v>
      </c>
      <c r="K158" s="12">
        <f>'05-ISO Reference'!$C$7</f>
        <v>594</v>
      </c>
      <c r="L158" s="12">
        <f>'01-Process Controls'!$G$5</f>
        <v>3</v>
      </c>
      <c r="M158" s="12">
        <f>ROUNDDOWN(J158*'04-Variant Rules'!$D$19,0)</f>
        <v>210</v>
      </c>
      <c r="N158" s="12">
        <f>ROUNDDOWN(K158*'04-Variant Rules'!$E$19,0)</f>
        <v>198</v>
      </c>
      <c r="O158" s="9">
        <v>14</v>
      </c>
    </row>
    <row r="159" spans="1:15" ht="21" customHeight="1">
      <c r="A159" s="9" t="s">
        <v>373</v>
      </c>
      <c r="B159" s="12">
        <f>IF(LEFT(H159,5)="VALID",M159,"")</f>
        <v>140</v>
      </c>
      <c r="C159" s="12">
        <f>IF(LEFT(H159,5)="VALID",N159,"")</f>
        <v>297</v>
      </c>
      <c r="D159" s="10" t="s">
        <v>82</v>
      </c>
      <c r="E159" s="10" t="s">
        <v>357</v>
      </c>
      <c r="F159" s="10" t="s">
        <v>168</v>
      </c>
      <c r="G159" s="10" t="s">
        <v>166</v>
      </c>
      <c r="H159" s="11" t="str">
        <f>IF(OR(M159&lt;=0,N159&lt;=0),"SKIPPED - NONPOSITIVE",IF(OR(M159&lt;L159,N159&lt;L159),"SKIPPED - BELOW MIN",IF(OR(M159&gt;J159,N159&gt;K159),"SKIPPED - EXCEEDS BASE",IF(COUNTIFS($M$144:M158,M159,$N$144:N158,N159)&gt;0,"SKIPPED - DUPLICATE","VALID - GENERATED"))))</f>
        <v>VALID - GENERATED</v>
      </c>
      <c r="I159" s="10" t="s">
        <v>358</v>
      </c>
      <c r="J159" s="12">
        <f>'05-ISO Reference'!$B$7</f>
        <v>420</v>
      </c>
      <c r="K159" s="12">
        <f>'05-ISO Reference'!$C$7</f>
        <v>594</v>
      </c>
      <c r="L159" s="12">
        <f>'01-Process Controls'!$G$5</f>
        <v>3</v>
      </c>
      <c r="M159" s="12">
        <f>ROUNDDOWN(J159*'04-Variant Rules'!$D$20,0)</f>
        <v>140</v>
      </c>
      <c r="N159" s="12">
        <f>ROUNDDOWN(K159*'04-Variant Rules'!$E$20,0)</f>
        <v>297</v>
      </c>
      <c r="O159" s="9">
        <v>15</v>
      </c>
    </row>
    <row r="160" spans="1:15" ht="21" customHeight="1">
      <c r="A160" s="9" t="s">
        <v>374</v>
      </c>
      <c r="B160" s="12">
        <f>IF(LEFT(H160,5)="VALID",M160,"")</f>
        <v>210</v>
      </c>
      <c r="C160" s="12">
        <f>IF(LEFT(H160,5)="VALID",N160,"")</f>
        <v>148</v>
      </c>
      <c r="D160" s="10" t="s">
        <v>82</v>
      </c>
      <c r="E160" s="10" t="s">
        <v>357</v>
      </c>
      <c r="F160" s="10" t="s">
        <v>170</v>
      </c>
      <c r="G160" s="10" t="s">
        <v>166</v>
      </c>
      <c r="H160" s="11" t="str">
        <f>IF(OR(M160&lt;=0,N160&lt;=0),"SKIPPED - NONPOSITIVE",IF(OR(M160&lt;L160,N160&lt;L160),"SKIPPED - BELOW MIN",IF(OR(M160&gt;J160,N160&gt;K160),"SKIPPED - EXCEEDS BASE",IF(COUNTIFS($M$144:M159,M160,$N$144:N159,N160)&gt;0,"SKIPPED - DUPLICATE","VALID - GENERATED"))))</f>
        <v>VALID - GENERATED</v>
      </c>
      <c r="I160" s="10" t="s">
        <v>358</v>
      </c>
      <c r="J160" s="12">
        <f>'05-ISO Reference'!$B$7</f>
        <v>420</v>
      </c>
      <c r="K160" s="12">
        <f>'05-ISO Reference'!$C$7</f>
        <v>594</v>
      </c>
      <c r="L160" s="12">
        <f>'01-Process Controls'!$G$5</f>
        <v>3</v>
      </c>
      <c r="M160" s="12">
        <f>ROUNDDOWN(J160*'04-Variant Rules'!$D$21,0)</f>
        <v>210</v>
      </c>
      <c r="N160" s="12">
        <f>ROUNDDOWN(K160*'04-Variant Rules'!$E$21,0)</f>
        <v>148</v>
      </c>
      <c r="O160" s="9">
        <v>16</v>
      </c>
    </row>
    <row r="161" spans="1:15" ht="21" customHeight="1">
      <c r="A161" s="9" t="s">
        <v>375</v>
      </c>
      <c r="B161" s="12">
        <f>IF(LEFT(H161,5)="VALID",M161,"")</f>
        <v>105</v>
      </c>
      <c r="C161" s="12">
        <f>IF(LEFT(H161,5)="VALID",N161,"")</f>
        <v>297</v>
      </c>
      <c r="D161" s="10" t="s">
        <v>82</v>
      </c>
      <c r="E161" s="10" t="s">
        <v>357</v>
      </c>
      <c r="F161" s="10" t="s">
        <v>172</v>
      </c>
      <c r="G161" s="10" t="s">
        <v>166</v>
      </c>
      <c r="H161" s="11" t="str">
        <f>IF(OR(M161&lt;=0,N161&lt;=0),"SKIPPED - NONPOSITIVE",IF(OR(M161&lt;L161,N161&lt;L161),"SKIPPED - BELOW MIN",IF(OR(M161&gt;J161,N161&gt;K161),"SKIPPED - EXCEEDS BASE",IF(COUNTIFS($M$144:M160,M161,$N$144:N160,N161)&gt;0,"SKIPPED - DUPLICATE","VALID - GENERATED"))))</f>
        <v>VALID - GENERATED</v>
      </c>
      <c r="I161" s="10" t="s">
        <v>358</v>
      </c>
      <c r="J161" s="12">
        <f>'05-ISO Reference'!$B$7</f>
        <v>420</v>
      </c>
      <c r="K161" s="12">
        <f>'05-ISO Reference'!$C$7</f>
        <v>594</v>
      </c>
      <c r="L161" s="12">
        <f>'01-Process Controls'!$G$5</f>
        <v>3</v>
      </c>
      <c r="M161" s="12">
        <f>ROUNDDOWN(J161*'04-Variant Rules'!$D$22,0)</f>
        <v>105</v>
      </c>
      <c r="N161" s="12">
        <f>ROUNDDOWN(K161*'04-Variant Rules'!$E$22,0)</f>
        <v>297</v>
      </c>
      <c r="O161" s="9">
        <v>17</v>
      </c>
    </row>
    <row r="162" spans="1:15" ht="21" customHeight="1">
      <c r="A162" s="9" t="s">
        <v>376</v>
      </c>
      <c r="B162" s="12">
        <f>IF(LEFT(H162,5)="VALID",M162,"")</f>
        <v>280</v>
      </c>
      <c r="C162" s="12">
        <f>IF(LEFT(H162,5)="VALID",N162,"")</f>
        <v>297</v>
      </c>
      <c r="D162" s="10" t="s">
        <v>82</v>
      </c>
      <c r="E162" s="10" t="s">
        <v>357</v>
      </c>
      <c r="F162" s="10" t="s">
        <v>174</v>
      </c>
      <c r="G162" s="10" t="s">
        <v>166</v>
      </c>
      <c r="H162" s="11" t="str">
        <f>IF(OR(M162&lt;=0,N162&lt;=0),"SKIPPED - NONPOSITIVE",IF(OR(M162&lt;L162,N162&lt;L162),"SKIPPED - BELOW MIN",IF(OR(M162&gt;J162,N162&gt;K162),"SKIPPED - EXCEEDS BASE",IF(COUNTIFS($M$144:M161,M162,$N$144:N161,N162)&gt;0,"SKIPPED - DUPLICATE","VALID - GENERATED"))))</f>
        <v>VALID - GENERATED</v>
      </c>
      <c r="I162" s="10" t="s">
        <v>358</v>
      </c>
      <c r="J162" s="12">
        <f>'05-ISO Reference'!$B$7</f>
        <v>420</v>
      </c>
      <c r="K162" s="12">
        <f>'05-ISO Reference'!$C$7</f>
        <v>594</v>
      </c>
      <c r="L162" s="12">
        <f>'01-Process Controls'!$G$5</f>
        <v>3</v>
      </c>
      <c r="M162" s="12">
        <f>ROUNDDOWN(J162*'04-Variant Rules'!$D$23,0)</f>
        <v>280</v>
      </c>
      <c r="N162" s="12">
        <f>ROUNDDOWN(K162*'04-Variant Rules'!$E$23,0)</f>
        <v>297</v>
      </c>
      <c r="O162" s="9">
        <v>18</v>
      </c>
    </row>
    <row r="163" spans="1:15" ht="21" customHeight="1">
      <c r="A163" s="9" t="s">
        <v>377</v>
      </c>
      <c r="B163" s="12">
        <f>IF(LEFT(H163,5)="VALID",M163,"")</f>
        <v>210</v>
      </c>
      <c r="C163" s="12">
        <f>IF(LEFT(H163,5)="VALID",N163,"")</f>
        <v>396</v>
      </c>
      <c r="D163" s="10" t="s">
        <v>82</v>
      </c>
      <c r="E163" s="10" t="s">
        <v>357</v>
      </c>
      <c r="F163" s="10" t="s">
        <v>176</v>
      </c>
      <c r="G163" s="10" t="s">
        <v>166</v>
      </c>
      <c r="H163" s="11" t="str">
        <f>IF(OR(M163&lt;=0,N163&lt;=0),"SKIPPED - NONPOSITIVE",IF(OR(M163&lt;L163,N163&lt;L163),"SKIPPED - BELOW MIN",IF(OR(M163&gt;J163,N163&gt;K163),"SKIPPED - EXCEEDS BASE",IF(COUNTIFS($M$144:M162,M163,$N$144:N162,N163)&gt;0,"SKIPPED - DUPLICATE","VALID - GENERATED"))))</f>
        <v>VALID - GENERATED</v>
      </c>
      <c r="I163" s="10" t="s">
        <v>358</v>
      </c>
      <c r="J163" s="12">
        <f>'05-ISO Reference'!$B$7</f>
        <v>420</v>
      </c>
      <c r="K163" s="12">
        <f>'05-ISO Reference'!$C$7</f>
        <v>594</v>
      </c>
      <c r="L163" s="12">
        <f>'01-Process Controls'!$G$5</f>
        <v>3</v>
      </c>
      <c r="M163" s="12">
        <f>ROUNDDOWN(J163*'04-Variant Rules'!$D$24,0)</f>
        <v>210</v>
      </c>
      <c r="N163" s="12">
        <f>ROUNDDOWN(K163*'04-Variant Rules'!$E$24,0)</f>
        <v>396</v>
      </c>
      <c r="O163" s="9">
        <v>19</v>
      </c>
    </row>
    <row r="164" spans="1:15" ht="21" customHeight="1">
      <c r="A164" s="9" t="s">
        <v>378</v>
      </c>
      <c r="B164" s="12">
        <f>IF(LEFT(H164,5)="VALID",M164,"")</f>
        <v>315</v>
      </c>
      <c r="C164" s="12">
        <f>IF(LEFT(H164,5)="VALID",N164,"")</f>
        <v>297</v>
      </c>
      <c r="D164" s="10" t="s">
        <v>82</v>
      </c>
      <c r="E164" s="10" t="s">
        <v>357</v>
      </c>
      <c r="F164" s="10" t="s">
        <v>178</v>
      </c>
      <c r="G164" s="10" t="s">
        <v>166</v>
      </c>
      <c r="H164" s="11" t="str">
        <f>IF(OR(M164&lt;=0,N164&lt;=0),"SKIPPED - NONPOSITIVE",IF(OR(M164&lt;L164,N164&lt;L164),"SKIPPED - BELOW MIN",IF(OR(M164&gt;J164,N164&gt;K164),"SKIPPED - EXCEEDS BASE",IF(COUNTIFS($M$144:M163,M164,$N$144:N163,N164)&gt;0,"SKIPPED - DUPLICATE","VALID - GENERATED"))))</f>
        <v>VALID - GENERATED</v>
      </c>
      <c r="I164" s="10" t="s">
        <v>358</v>
      </c>
      <c r="J164" s="12">
        <f>'05-ISO Reference'!$B$7</f>
        <v>420</v>
      </c>
      <c r="K164" s="12">
        <f>'05-ISO Reference'!$C$7</f>
        <v>594</v>
      </c>
      <c r="L164" s="12">
        <f>'01-Process Controls'!$G$5</f>
        <v>3</v>
      </c>
      <c r="M164" s="12">
        <f>ROUNDDOWN(J164*'04-Variant Rules'!$D$25,0)</f>
        <v>315</v>
      </c>
      <c r="N164" s="12">
        <f>ROUNDDOWN(K164*'04-Variant Rules'!$E$25,0)</f>
        <v>297</v>
      </c>
      <c r="O164" s="9">
        <v>20</v>
      </c>
    </row>
    <row r="165" spans="1:15" ht="21" customHeight="1">
      <c r="A165" s="9" t="s">
        <v>379</v>
      </c>
      <c r="B165" s="12">
        <f>IF(LEFT(H165,5)="VALID",M165,"")</f>
        <v>210</v>
      </c>
      <c r="C165" s="12">
        <f>IF(LEFT(H165,5)="VALID",N165,"")</f>
        <v>445</v>
      </c>
      <c r="D165" s="10" t="s">
        <v>82</v>
      </c>
      <c r="E165" s="10" t="s">
        <v>357</v>
      </c>
      <c r="F165" s="10" t="s">
        <v>180</v>
      </c>
      <c r="G165" s="10" t="s">
        <v>166</v>
      </c>
      <c r="H165" s="11" t="str">
        <f>IF(OR(M165&lt;=0,N165&lt;=0),"SKIPPED - NONPOSITIVE",IF(OR(M165&lt;L165,N165&lt;L165),"SKIPPED - BELOW MIN",IF(OR(M165&gt;J165,N165&gt;K165),"SKIPPED - EXCEEDS BASE",IF(COUNTIFS($M$144:M164,M165,$N$144:N164,N165)&gt;0,"SKIPPED - DUPLICATE","VALID - GENERATED"))))</f>
        <v>VALID - GENERATED</v>
      </c>
      <c r="I165" s="10" t="s">
        <v>358</v>
      </c>
      <c r="J165" s="12">
        <f>'05-ISO Reference'!$B$7</f>
        <v>420</v>
      </c>
      <c r="K165" s="12">
        <f>'05-ISO Reference'!$C$7</f>
        <v>594</v>
      </c>
      <c r="L165" s="12">
        <f>'01-Process Controls'!$G$5</f>
        <v>3</v>
      </c>
      <c r="M165" s="12">
        <f>ROUNDDOWN(J165*'04-Variant Rules'!$D$26,0)</f>
        <v>210</v>
      </c>
      <c r="N165" s="12">
        <f>ROUNDDOWN(K165*'04-Variant Rules'!$E$26,0)</f>
        <v>445</v>
      </c>
      <c r="O165" s="9">
        <v>21</v>
      </c>
    </row>
    <row r="166" spans="1:15" ht="21" customHeight="1">
      <c r="A166" s="9" t="s">
        <v>380</v>
      </c>
      <c r="B166" s="12">
        <f>IF(LEFT(H166,5)="VALID",M166,"")</f>
        <v>399</v>
      </c>
      <c r="C166" s="12">
        <f>IF(LEFT(H166,5)="VALID",N166,"")</f>
        <v>564</v>
      </c>
      <c r="D166" s="10" t="s">
        <v>82</v>
      </c>
      <c r="E166" s="10" t="s">
        <v>357</v>
      </c>
      <c r="F166" s="10" t="s">
        <v>182</v>
      </c>
      <c r="G166" s="10" t="s">
        <v>183</v>
      </c>
      <c r="H166" s="11" t="str">
        <f>IF(OR(M166&lt;=0,N166&lt;=0),"SKIPPED - NONPOSITIVE",IF(OR(M166&lt;L166,N166&lt;L166),"SKIPPED - BELOW MIN",IF(OR(M166&gt;J166,N166&gt;K166),"SKIPPED - EXCEEDS BASE",IF(COUNTIFS($M$144:M165,M166,$N$144:N165,N166)&gt;0,"SKIPPED - DUPLICATE","VALID - GENERATED"))))</f>
        <v>VALID - GENERATED</v>
      </c>
      <c r="I166" s="10" t="s">
        <v>358</v>
      </c>
      <c r="J166" s="12">
        <f>'05-ISO Reference'!$B$7</f>
        <v>420</v>
      </c>
      <c r="K166" s="12">
        <f>'05-ISO Reference'!$C$7</f>
        <v>594</v>
      </c>
      <c r="L166" s="12">
        <f>'01-Process Controls'!$G$5</f>
        <v>3</v>
      </c>
      <c r="M166" s="12">
        <f>ROUNDDOWN(J166*'04-Variant Rules'!$D$27,0)</f>
        <v>399</v>
      </c>
      <c r="N166" s="12">
        <f>ROUNDDOWN(K166*'04-Variant Rules'!$E$27,0)</f>
        <v>564</v>
      </c>
      <c r="O166" s="9">
        <v>22</v>
      </c>
    </row>
    <row r="167" spans="1:15" ht="21" customHeight="1">
      <c r="A167" s="9" t="s">
        <v>381</v>
      </c>
      <c r="B167" s="12">
        <f>IF(LEFT(H167,5)="VALID",M167,"")</f>
        <v>378</v>
      </c>
      <c r="C167" s="12">
        <f>IF(LEFT(H167,5)="VALID",N167,"")</f>
        <v>534</v>
      </c>
      <c r="D167" s="10" t="s">
        <v>82</v>
      </c>
      <c r="E167" s="10" t="s">
        <v>357</v>
      </c>
      <c r="F167" s="10" t="s">
        <v>185</v>
      </c>
      <c r="G167" s="10" t="s">
        <v>186</v>
      </c>
      <c r="H167" s="11" t="str">
        <f>IF(OR(M167&lt;=0,N167&lt;=0),"SKIPPED - NONPOSITIVE",IF(OR(M167&lt;L167,N167&lt;L167),"SKIPPED - BELOW MIN",IF(OR(M167&gt;J167,N167&gt;K167),"SKIPPED - EXCEEDS BASE",IF(COUNTIFS($M$144:M166,M167,$N$144:N166,N167)&gt;0,"SKIPPED - DUPLICATE","VALID - GENERATED"))))</f>
        <v>VALID - GENERATED</v>
      </c>
      <c r="I167" s="10" t="s">
        <v>358</v>
      </c>
      <c r="J167" s="12">
        <f>'05-ISO Reference'!$B$7</f>
        <v>420</v>
      </c>
      <c r="K167" s="12">
        <f>'05-ISO Reference'!$C$7</f>
        <v>594</v>
      </c>
      <c r="L167" s="12">
        <f>'01-Process Controls'!$G$5</f>
        <v>3</v>
      </c>
      <c r="M167" s="12">
        <f>ROUNDDOWN(J167*'04-Variant Rules'!$D$28,0)</f>
        <v>378</v>
      </c>
      <c r="N167" s="12">
        <f>ROUNDDOWN(K167*'04-Variant Rules'!$E$28,0)</f>
        <v>534</v>
      </c>
      <c r="O167" s="9">
        <v>23</v>
      </c>
    </row>
    <row r="168" spans="1:15" ht="21" customHeight="1">
      <c r="A168" s="9" t="s">
        <v>382</v>
      </c>
      <c r="B168" s="12">
        <f>IF(LEFT(H168,5)="VALID",M168,"")</f>
        <v>357</v>
      </c>
      <c r="C168" s="12">
        <f>IF(LEFT(H168,5)="VALID",N168,"")</f>
        <v>504</v>
      </c>
      <c r="D168" s="10" t="s">
        <v>82</v>
      </c>
      <c r="E168" s="10" t="s">
        <v>357</v>
      </c>
      <c r="F168" s="10" t="s">
        <v>188</v>
      </c>
      <c r="G168" s="10" t="s">
        <v>186</v>
      </c>
      <c r="H168" s="11" t="str">
        <f>IF(OR(M168&lt;=0,N168&lt;=0),"SKIPPED - NONPOSITIVE",IF(OR(M168&lt;L168,N168&lt;L168),"SKIPPED - BELOW MIN",IF(OR(M168&gt;J168,N168&gt;K168),"SKIPPED - EXCEEDS BASE",IF(COUNTIFS($M$144:M167,M168,$N$144:N167,N168)&gt;0,"SKIPPED - DUPLICATE","VALID - GENERATED"))))</f>
        <v>VALID - GENERATED</v>
      </c>
      <c r="I168" s="10" t="s">
        <v>358</v>
      </c>
      <c r="J168" s="12">
        <f>'05-ISO Reference'!$B$7</f>
        <v>420</v>
      </c>
      <c r="K168" s="12">
        <f>'05-ISO Reference'!$C$7</f>
        <v>594</v>
      </c>
      <c r="L168" s="12">
        <f>'01-Process Controls'!$G$5</f>
        <v>3</v>
      </c>
      <c r="M168" s="12">
        <f>ROUNDDOWN(J168*'04-Variant Rules'!$D$29,0)</f>
        <v>357</v>
      </c>
      <c r="N168" s="12">
        <f>ROUNDDOWN(K168*'04-Variant Rules'!$E$29,0)</f>
        <v>504</v>
      </c>
      <c r="O168" s="9">
        <v>24</v>
      </c>
    </row>
    <row r="169" spans="1:15" ht="21" customHeight="1">
      <c r="A169" s="9" t="s">
        <v>383</v>
      </c>
      <c r="B169" s="12">
        <f>IF(LEFT(H169,5)="VALID",M169,"")</f>
        <v>336</v>
      </c>
      <c r="C169" s="12">
        <f>IF(LEFT(H169,5)="VALID",N169,"")</f>
        <v>475</v>
      </c>
      <c r="D169" s="10" t="s">
        <v>82</v>
      </c>
      <c r="E169" s="10" t="s">
        <v>357</v>
      </c>
      <c r="F169" s="10" t="s">
        <v>190</v>
      </c>
      <c r="G169" s="10" t="s">
        <v>186</v>
      </c>
      <c r="H169" s="11" t="str">
        <f>IF(OR(M169&lt;=0,N169&lt;=0),"SKIPPED - NONPOSITIVE",IF(OR(M169&lt;L169,N169&lt;L169),"SKIPPED - BELOW MIN",IF(OR(M169&gt;J169,N169&gt;K169),"SKIPPED - EXCEEDS BASE",IF(COUNTIFS($M$144:M168,M169,$N$144:N168,N169)&gt;0,"SKIPPED - DUPLICATE","VALID - GENERATED"))))</f>
        <v>VALID - GENERATED</v>
      </c>
      <c r="I169" s="10" t="s">
        <v>358</v>
      </c>
      <c r="J169" s="12">
        <f>'05-ISO Reference'!$B$7</f>
        <v>420</v>
      </c>
      <c r="K169" s="12">
        <f>'05-ISO Reference'!$C$7</f>
        <v>594</v>
      </c>
      <c r="L169" s="12">
        <f>'01-Process Controls'!$G$5</f>
        <v>3</v>
      </c>
      <c r="M169" s="12">
        <f>ROUNDDOWN(J169*'04-Variant Rules'!$D$30,0)</f>
        <v>336</v>
      </c>
      <c r="N169" s="12">
        <f>ROUNDDOWN(K169*'04-Variant Rules'!$E$30,0)</f>
        <v>475</v>
      </c>
      <c r="O169" s="9">
        <v>25</v>
      </c>
    </row>
    <row r="170" spans="1:15" ht="21" customHeight="1">
      <c r="A170" s="9" t="s">
        <v>384</v>
      </c>
      <c r="B170" s="12">
        <f>IF(LEFT(H170,5)="VALID",M170,"")</f>
        <v>315</v>
      </c>
      <c r="C170" s="12">
        <f>IF(LEFT(H170,5)="VALID",N170,"")</f>
        <v>445</v>
      </c>
      <c r="D170" s="10" t="s">
        <v>82</v>
      </c>
      <c r="E170" s="10" t="s">
        <v>357</v>
      </c>
      <c r="F170" s="10" t="s">
        <v>192</v>
      </c>
      <c r="G170" s="10" t="s">
        <v>186</v>
      </c>
      <c r="H170" s="11" t="str">
        <f>IF(OR(M170&lt;=0,N170&lt;=0),"SKIPPED - NONPOSITIVE",IF(OR(M170&lt;L170,N170&lt;L170),"SKIPPED - BELOW MIN",IF(OR(M170&gt;J170,N170&gt;K170),"SKIPPED - EXCEEDS BASE",IF(COUNTIFS($M$144:M169,M170,$N$144:N169,N170)&gt;0,"SKIPPED - DUPLICATE","VALID - GENERATED"))))</f>
        <v>VALID - GENERATED</v>
      </c>
      <c r="I170" s="10" t="s">
        <v>358</v>
      </c>
      <c r="J170" s="12">
        <f>'05-ISO Reference'!$B$7</f>
        <v>420</v>
      </c>
      <c r="K170" s="12">
        <f>'05-ISO Reference'!$C$7</f>
        <v>594</v>
      </c>
      <c r="L170" s="12">
        <f>'01-Process Controls'!$G$5</f>
        <v>3</v>
      </c>
      <c r="M170" s="12">
        <f>ROUNDDOWN(J170*'04-Variant Rules'!$D$31,0)</f>
        <v>315</v>
      </c>
      <c r="N170" s="12">
        <f>ROUNDDOWN(K170*'04-Variant Rules'!$E$31,0)</f>
        <v>445</v>
      </c>
      <c r="O170" s="9">
        <v>26</v>
      </c>
    </row>
    <row r="171" spans="1:15" ht="21" customHeight="1">
      <c r="A171" s="9" t="s">
        <v>385</v>
      </c>
      <c r="B171" s="12">
        <f>IF(LEFT(H171,5)="VALID",M171,"")</f>
        <v>294</v>
      </c>
      <c r="C171" s="12">
        <f>IF(LEFT(H171,5)="VALID",N171,"")</f>
        <v>415</v>
      </c>
      <c r="D171" s="10" t="s">
        <v>82</v>
      </c>
      <c r="E171" s="10" t="s">
        <v>357</v>
      </c>
      <c r="F171" s="10" t="s">
        <v>194</v>
      </c>
      <c r="G171" s="10" t="s">
        <v>186</v>
      </c>
      <c r="H171" s="11" t="str">
        <f>IF(OR(M171&lt;=0,N171&lt;=0),"SKIPPED - NONPOSITIVE",IF(OR(M171&lt;L171,N171&lt;L171),"SKIPPED - BELOW MIN",IF(OR(M171&gt;J171,N171&gt;K171),"SKIPPED - EXCEEDS BASE",IF(COUNTIFS($M$144:M170,M171,$N$144:N170,N171)&gt;0,"SKIPPED - DUPLICATE","VALID - GENERATED"))))</f>
        <v>VALID - GENERATED</v>
      </c>
      <c r="I171" s="10" t="s">
        <v>358</v>
      </c>
      <c r="J171" s="12">
        <f>'05-ISO Reference'!$B$7</f>
        <v>420</v>
      </c>
      <c r="K171" s="12">
        <f>'05-ISO Reference'!$C$7</f>
        <v>594</v>
      </c>
      <c r="L171" s="12">
        <f>'01-Process Controls'!$G$5</f>
        <v>3</v>
      </c>
      <c r="M171" s="12">
        <f>ROUNDDOWN(J171*'04-Variant Rules'!$D$32,0)</f>
        <v>294</v>
      </c>
      <c r="N171" s="12">
        <f>ROUNDDOWN(K171*'04-Variant Rules'!$E$32,0)</f>
        <v>415</v>
      </c>
      <c r="O171" s="9">
        <v>27</v>
      </c>
    </row>
    <row r="172" spans="1:15" ht="21" customHeight="1">
      <c r="A172" s="9" t="s">
        <v>386</v>
      </c>
      <c r="B172" s="12">
        <f>IF(LEFT(H172,5)="VALID",M172,"")</f>
        <v>280</v>
      </c>
      <c r="C172" s="12">
        <f>IF(LEFT(H172,5)="VALID",N172,"")</f>
        <v>396</v>
      </c>
      <c r="D172" s="10" t="s">
        <v>82</v>
      </c>
      <c r="E172" s="10" t="s">
        <v>357</v>
      </c>
      <c r="F172" s="10" t="s">
        <v>196</v>
      </c>
      <c r="G172" s="10" t="s">
        <v>186</v>
      </c>
      <c r="H172" s="11" t="str">
        <f>IF(OR(M172&lt;=0,N172&lt;=0),"SKIPPED - NONPOSITIVE",IF(OR(M172&lt;L172,N172&lt;L172),"SKIPPED - BELOW MIN",IF(OR(M172&gt;J172,N172&gt;K172),"SKIPPED - EXCEEDS BASE",IF(COUNTIFS($M$144:M171,M172,$N$144:N171,N172)&gt;0,"SKIPPED - DUPLICATE","VALID - GENERATED"))))</f>
        <v>VALID - GENERATED</v>
      </c>
      <c r="I172" s="10" t="s">
        <v>358</v>
      </c>
      <c r="J172" s="12">
        <f>'05-ISO Reference'!$B$7</f>
        <v>420</v>
      </c>
      <c r="K172" s="12">
        <f>'05-ISO Reference'!$C$7</f>
        <v>594</v>
      </c>
      <c r="L172" s="12">
        <f>'01-Process Controls'!$G$5</f>
        <v>3</v>
      </c>
      <c r="M172" s="12">
        <f>ROUNDDOWN(J172*'04-Variant Rules'!$D$33,0)</f>
        <v>280</v>
      </c>
      <c r="N172" s="12">
        <f>ROUNDDOWN(K172*'04-Variant Rules'!$E$33,0)</f>
        <v>396</v>
      </c>
      <c r="O172" s="9">
        <v>28</v>
      </c>
    </row>
    <row r="173" spans="1:15" ht="21" customHeight="1">
      <c r="A173" s="9" t="s">
        <v>387</v>
      </c>
      <c r="B173" s="12">
        <f>IF(LEFT(H173,5)="VALID",M173,"")</f>
        <v>252</v>
      </c>
      <c r="C173" s="12">
        <f>IF(LEFT(H173,5)="VALID",N173,"")</f>
        <v>356</v>
      </c>
      <c r="D173" s="10" t="s">
        <v>82</v>
      </c>
      <c r="E173" s="10" t="s">
        <v>357</v>
      </c>
      <c r="F173" s="10" t="s">
        <v>198</v>
      </c>
      <c r="G173" s="10" t="s">
        <v>186</v>
      </c>
      <c r="H173" s="11" t="str">
        <f>IF(OR(M173&lt;=0,N173&lt;=0),"SKIPPED - NONPOSITIVE",IF(OR(M173&lt;L173,N173&lt;L173),"SKIPPED - BELOW MIN",IF(OR(M173&gt;J173,N173&gt;K173),"SKIPPED - EXCEEDS BASE",IF(COUNTIFS($M$144:M172,M173,$N$144:N172,N173)&gt;0,"SKIPPED - DUPLICATE","VALID - GENERATED"))))</f>
        <v>VALID - GENERATED</v>
      </c>
      <c r="I173" s="10" t="s">
        <v>358</v>
      </c>
      <c r="J173" s="12">
        <f>'05-ISO Reference'!$B$7</f>
        <v>420</v>
      </c>
      <c r="K173" s="12">
        <f>'05-ISO Reference'!$C$7</f>
        <v>594</v>
      </c>
      <c r="L173" s="12">
        <f>'01-Process Controls'!$G$5</f>
        <v>3</v>
      </c>
      <c r="M173" s="12">
        <f>ROUNDDOWN(J173*'04-Variant Rules'!$D$34,0)</f>
        <v>252</v>
      </c>
      <c r="N173" s="12">
        <f>ROUNDDOWN(K173*'04-Variant Rules'!$E$34,0)</f>
        <v>356</v>
      </c>
      <c r="O173" s="9">
        <v>29</v>
      </c>
    </row>
    <row r="174" spans="1:15" ht="21" customHeight="1">
      <c r="A174" s="9" t="s">
        <v>388</v>
      </c>
      <c r="B174" s="12">
        <f>IF(LEFT(H174,5)="VALID",M174,"")</f>
        <v>231</v>
      </c>
      <c r="C174" s="12">
        <f>IF(LEFT(H174,5)="VALID",N174,"")</f>
        <v>326</v>
      </c>
      <c r="D174" s="10" t="s">
        <v>82</v>
      </c>
      <c r="E174" s="10" t="s">
        <v>357</v>
      </c>
      <c r="F174" s="10" t="s">
        <v>200</v>
      </c>
      <c r="G174" s="10" t="s">
        <v>186</v>
      </c>
      <c r="H174" s="11" t="str">
        <f>IF(OR(M174&lt;=0,N174&lt;=0),"SKIPPED - NONPOSITIVE",IF(OR(M174&lt;L174,N174&lt;L174),"SKIPPED - BELOW MIN",IF(OR(M174&gt;J174,N174&gt;K174),"SKIPPED - EXCEEDS BASE",IF(COUNTIFS($M$144:M173,M174,$N$144:N173,N174)&gt;0,"SKIPPED - DUPLICATE","VALID - GENERATED"))))</f>
        <v>VALID - GENERATED</v>
      </c>
      <c r="I174" s="10" t="s">
        <v>358</v>
      </c>
      <c r="J174" s="12">
        <f>'05-ISO Reference'!$B$7</f>
        <v>420</v>
      </c>
      <c r="K174" s="12">
        <f>'05-ISO Reference'!$C$7</f>
        <v>594</v>
      </c>
      <c r="L174" s="12">
        <f>'01-Process Controls'!$G$5</f>
        <v>3</v>
      </c>
      <c r="M174" s="12">
        <f>ROUNDDOWN(J174*'04-Variant Rules'!$D$35,0)</f>
        <v>231</v>
      </c>
      <c r="N174" s="12">
        <f>ROUNDDOWN(K174*'04-Variant Rules'!$E$35,0)</f>
        <v>326</v>
      </c>
      <c r="O174" s="9">
        <v>30</v>
      </c>
    </row>
    <row r="175" spans="1:15" ht="21" customHeight="1">
      <c r="A175" s="9" t="s">
        <v>389</v>
      </c>
      <c r="B175" s="12">
        <f>IF(LEFT(H175,5)="VALID",M175,"")</f>
        <v>189</v>
      </c>
      <c r="C175" s="12">
        <f>IF(LEFT(H175,5)="VALID",N175,"")</f>
        <v>267</v>
      </c>
      <c r="D175" s="10" t="s">
        <v>82</v>
      </c>
      <c r="E175" s="10" t="s">
        <v>357</v>
      </c>
      <c r="F175" s="10" t="s">
        <v>202</v>
      </c>
      <c r="G175" s="10" t="s">
        <v>186</v>
      </c>
      <c r="H175" s="11" t="str">
        <f>IF(OR(M175&lt;=0,N175&lt;=0),"SKIPPED - NONPOSITIVE",IF(OR(M175&lt;L175,N175&lt;L175),"SKIPPED - BELOW MIN",IF(OR(M175&gt;J175,N175&gt;K175),"SKIPPED - EXCEEDS BASE",IF(COUNTIFS($M$144:M174,M175,$N$144:N174,N175)&gt;0,"SKIPPED - DUPLICATE","VALID - GENERATED"))))</f>
        <v>VALID - GENERATED</v>
      </c>
      <c r="I175" s="10" t="s">
        <v>358</v>
      </c>
      <c r="J175" s="12">
        <f>'05-ISO Reference'!$B$7</f>
        <v>420</v>
      </c>
      <c r="K175" s="12">
        <f>'05-ISO Reference'!$C$7</f>
        <v>594</v>
      </c>
      <c r="L175" s="12">
        <f>'01-Process Controls'!$G$5</f>
        <v>3</v>
      </c>
      <c r="M175" s="12">
        <f>ROUNDDOWN(J175*'04-Variant Rules'!$D$36,0)</f>
        <v>189</v>
      </c>
      <c r="N175" s="12">
        <f>ROUNDDOWN(K175*'04-Variant Rules'!$E$36,0)</f>
        <v>267</v>
      </c>
      <c r="O175" s="9">
        <v>31</v>
      </c>
    </row>
    <row r="176" spans="1:15" ht="21" customHeight="1">
      <c r="A176" s="9" t="s">
        <v>390</v>
      </c>
      <c r="B176" s="12">
        <f>IF(LEFT(H176,5)="VALID",M176,"")</f>
        <v>168</v>
      </c>
      <c r="C176" s="12">
        <f>IF(LEFT(H176,5)="VALID",N176,"")</f>
        <v>237</v>
      </c>
      <c r="D176" s="10" t="s">
        <v>82</v>
      </c>
      <c r="E176" s="10" t="s">
        <v>357</v>
      </c>
      <c r="F176" s="10" t="s">
        <v>204</v>
      </c>
      <c r="G176" s="10" t="s">
        <v>186</v>
      </c>
      <c r="H176" s="11" t="str">
        <f>IF(OR(M176&lt;=0,N176&lt;=0),"SKIPPED - NONPOSITIVE",IF(OR(M176&lt;L176,N176&lt;L176),"SKIPPED - BELOW MIN",IF(OR(M176&gt;J176,N176&gt;K176),"SKIPPED - EXCEEDS BASE",IF(COUNTIFS($M$144:M175,M176,$N$144:N175,N176)&gt;0,"SKIPPED - DUPLICATE","VALID - GENERATED"))))</f>
        <v>VALID - GENERATED</v>
      </c>
      <c r="I176" s="10" t="s">
        <v>358</v>
      </c>
      <c r="J176" s="12">
        <f>'05-ISO Reference'!$B$7</f>
        <v>420</v>
      </c>
      <c r="K176" s="12">
        <f>'05-ISO Reference'!$C$7</f>
        <v>594</v>
      </c>
      <c r="L176" s="12">
        <f>'01-Process Controls'!$G$5</f>
        <v>3</v>
      </c>
      <c r="M176" s="12">
        <f>ROUNDDOWN(J176*'04-Variant Rules'!$D$37,0)</f>
        <v>168</v>
      </c>
      <c r="N176" s="12">
        <f>ROUNDDOWN(K176*'04-Variant Rules'!$E$37,0)</f>
        <v>237</v>
      </c>
      <c r="O176" s="9">
        <v>32</v>
      </c>
    </row>
    <row r="177" spans="1:15" ht="21" customHeight="1">
      <c r="A177" s="9" t="s">
        <v>391</v>
      </c>
      <c r="B177" s="12">
        <f>IF(LEFT(H177,5)="VALID",M177,"")</f>
        <v>147</v>
      </c>
      <c r="C177" s="12">
        <f>IF(LEFT(H177,5)="VALID",N177,"")</f>
        <v>207</v>
      </c>
      <c r="D177" s="10" t="s">
        <v>82</v>
      </c>
      <c r="E177" s="10" t="s">
        <v>357</v>
      </c>
      <c r="F177" s="10" t="s">
        <v>206</v>
      </c>
      <c r="G177" s="10" t="s">
        <v>186</v>
      </c>
      <c r="H177" s="11" t="str">
        <f>IF(OR(M177&lt;=0,N177&lt;=0),"SKIPPED - NONPOSITIVE",IF(OR(M177&lt;L177,N177&lt;L177),"SKIPPED - BELOW MIN",IF(OR(M177&gt;J177,N177&gt;K177),"SKIPPED - EXCEEDS BASE",IF(COUNTIFS($M$144:M176,M177,$N$144:N176,N177)&gt;0,"SKIPPED - DUPLICATE","VALID - GENERATED"))))</f>
        <v>VALID - GENERATED</v>
      </c>
      <c r="I177" s="10" t="s">
        <v>358</v>
      </c>
      <c r="J177" s="12">
        <f>'05-ISO Reference'!$B$7</f>
        <v>420</v>
      </c>
      <c r="K177" s="12">
        <f>'05-ISO Reference'!$C$7</f>
        <v>594</v>
      </c>
      <c r="L177" s="12">
        <f>'01-Process Controls'!$G$5</f>
        <v>3</v>
      </c>
      <c r="M177" s="12">
        <f>ROUNDDOWN(J177*'04-Variant Rules'!$D$38,0)</f>
        <v>147</v>
      </c>
      <c r="N177" s="12">
        <f>ROUNDDOWN(K177*'04-Variant Rules'!$E$38,0)</f>
        <v>207</v>
      </c>
      <c r="O177" s="9">
        <v>33</v>
      </c>
    </row>
    <row r="178" spans="1:15" ht="21" customHeight="1">
      <c r="A178" s="9" t="s">
        <v>392</v>
      </c>
      <c r="B178" s="12">
        <f>IF(LEFT(H178,5)="VALID",M178,"")</f>
        <v>126</v>
      </c>
      <c r="C178" s="12">
        <f>IF(LEFT(H178,5)="VALID",N178,"")</f>
        <v>178</v>
      </c>
      <c r="D178" s="10" t="s">
        <v>82</v>
      </c>
      <c r="E178" s="10" t="s">
        <v>357</v>
      </c>
      <c r="F178" s="10" t="s">
        <v>208</v>
      </c>
      <c r="G178" s="10" t="s">
        <v>186</v>
      </c>
      <c r="H178" s="11" t="str">
        <f>IF(OR(M178&lt;=0,N178&lt;=0),"SKIPPED - NONPOSITIVE",IF(OR(M178&lt;L178,N178&lt;L178),"SKIPPED - BELOW MIN",IF(OR(M178&gt;J178,N178&gt;K178),"SKIPPED - EXCEEDS BASE",IF(COUNTIFS($M$144:M177,M178,$N$144:N177,N178)&gt;0,"SKIPPED - DUPLICATE","VALID - GENERATED"))))</f>
        <v>VALID - GENERATED</v>
      </c>
      <c r="I178" s="10" t="s">
        <v>358</v>
      </c>
      <c r="J178" s="12">
        <f>'05-ISO Reference'!$B$7</f>
        <v>420</v>
      </c>
      <c r="K178" s="12">
        <f>'05-ISO Reference'!$C$7</f>
        <v>594</v>
      </c>
      <c r="L178" s="12">
        <f>'01-Process Controls'!$G$5</f>
        <v>3</v>
      </c>
      <c r="M178" s="12">
        <f>ROUNDDOWN(J178*'04-Variant Rules'!$D$39,0)</f>
        <v>126</v>
      </c>
      <c r="N178" s="12">
        <f>ROUNDDOWN(K178*'04-Variant Rules'!$E$39,0)</f>
        <v>178</v>
      </c>
      <c r="O178" s="9">
        <v>34</v>
      </c>
    </row>
    <row r="179" spans="1:15" ht="21" customHeight="1">
      <c r="A179" s="9" t="s">
        <v>393</v>
      </c>
      <c r="B179" s="12">
        <f>IF(LEFT(H179,5)="VALID",M179,"")</f>
        <v>84</v>
      </c>
      <c r="C179" s="12">
        <f>IF(LEFT(H179,5)="VALID",N179,"")</f>
        <v>118</v>
      </c>
      <c r="D179" s="10" t="s">
        <v>82</v>
      </c>
      <c r="E179" s="10" t="s">
        <v>357</v>
      </c>
      <c r="F179" s="10" t="s">
        <v>210</v>
      </c>
      <c r="G179" s="10" t="s">
        <v>186</v>
      </c>
      <c r="H179" s="11" t="str">
        <f>IF(OR(M179&lt;=0,N179&lt;=0),"SKIPPED - NONPOSITIVE",IF(OR(M179&lt;L179,N179&lt;L179),"SKIPPED - BELOW MIN",IF(OR(M179&gt;J179,N179&gt;K179),"SKIPPED - EXCEEDS BASE",IF(COUNTIFS($M$144:M178,M179,$N$144:N178,N179)&gt;0,"SKIPPED - DUPLICATE","VALID - GENERATED"))))</f>
        <v>VALID - GENERATED</v>
      </c>
      <c r="I179" s="10" t="s">
        <v>358</v>
      </c>
      <c r="J179" s="12">
        <f>'05-ISO Reference'!$B$7</f>
        <v>420</v>
      </c>
      <c r="K179" s="12">
        <f>'05-ISO Reference'!$C$7</f>
        <v>594</v>
      </c>
      <c r="L179" s="12">
        <f>'01-Process Controls'!$G$5</f>
        <v>3</v>
      </c>
      <c r="M179" s="12">
        <f>ROUNDDOWN(J179*'04-Variant Rules'!$D$40,0)</f>
        <v>84</v>
      </c>
      <c r="N179" s="12">
        <f>ROUNDDOWN(K179*'04-Variant Rules'!$E$40,0)</f>
        <v>118</v>
      </c>
      <c r="O179" s="9">
        <v>35</v>
      </c>
    </row>
    <row r="180" spans="1:15" ht="21" customHeight="1">
      <c r="A180" s="9" t="s">
        <v>394</v>
      </c>
      <c r="B180" s="12">
        <f>IF(LEFT(H180,5)="VALID",M180,"")</f>
        <v>63</v>
      </c>
      <c r="C180" s="12">
        <f>IF(LEFT(H180,5)="VALID",N180,"")</f>
        <v>89</v>
      </c>
      <c r="D180" s="10" t="s">
        <v>82</v>
      </c>
      <c r="E180" s="10" t="s">
        <v>357</v>
      </c>
      <c r="F180" s="10" t="s">
        <v>212</v>
      </c>
      <c r="G180" s="10" t="s">
        <v>213</v>
      </c>
      <c r="H180" s="11" t="str">
        <f>IF(OR(M180&lt;=0,N180&lt;=0),"SKIPPED - NONPOSITIVE",IF(OR(M180&lt;L180,N180&lt;L180),"SKIPPED - BELOW MIN",IF(OR(M180&gt;J180,N180&gt;K180),"SKIPPED - EXCEEDS BASE",IF(COUNTIFS($M$144:M179,M180,$N$144:N179,N180)&gt;0,"SKIPPED - DUPLICATE","VALID - GENERATED"))))</f>
        <v>VALID - GENERATED</v>
      </c>
      <c r="I180" s="10" t="s">
        <v>358</v>
      </c>
      <c r="J180" s="12">
        <f>'05-ISO Reference'!$B$7</f>
        <v>420</v>
      </c>
      <c r="K180" s="12">
        <f>'05-ISO Reference'!$C$7</f>
        <v>594</v>
      </c>
      <c r="L180" s="12">
        <f>'01-Process Controls'!$G$5</f>
        <v>3</v>
      </c>
      <c r="M180" s="12">
        <f>ROUNDDOWN(J180*'04-Variant Rules'!$D$41,0)</f>
        <v>63</v>
      </c>
      <c r="N180" s="12">
        <f>ROUNDDOWN(K180*'04-Variant Rules'!$E$41,0)</f>
        <v>89</v>
      </c>
      <c r="O180" s="9">
        <v>36</v>
      </c>
    </row>
    <row r="181" spans="1:15" ht="21" customHeight="1">
      <c r="A181" s="9" t="s">
        <v>395</v>
      </c>
      <c r="B181" s="12">
        <f>IF(LEFT(H181,5)="VALID",M181,"")</f>
        <v>420</v>
      </c>
      <c r="C181" s="12">
        <f>IF(LEFT(H181,5)="VALID",N181,"")</f>
        <v>420</v>
      </c>
      <c r="D181" s="10" t="s">
        <v>82</v>
      </c>
      <c r="E181" s="10" t="s">
        <v>357</v>
      </c>
      <c r="F181" s="10" t="s">
        <v>215</v>
      </c>
      <c r="G181" s="10" t="s">
        <v>216</v>
      </c>
      <c r="H181" s="11" t="str">
        <f>IF(OR(M181&lt;=0,N181&lt;=0),"SKIPPED - NONPOSITIVE",IF(OR(M181&lt;L181,N181&lt;L181),"SKIPPED - BELOW MIN",IF(OR(M181&gt;J181,N181&gt;K181),"SKIPPED - EXCEEDS BASE",IF(COUNTIFS($M$144:M180,M181,$N$144:N180,N181)&gt;0,"SKIPPED - DUPLICATE","VALID - GENERATED"))))</f>
        <v>VALID - GENERATED</v>
      </c>
      <c r="I181" s="10" t="s">
        <v>358</v>
      </c>
      <c r="J181" s="12">
        <f>'05-ISO Reference'!$B$7</f>
        <v>420</v>
      </c>
      <c r="K181" s="12">
        <f>'05-ISO Reference'!$C$7</f>
        <v>594</v>
      </c>
      <c r="L181" s="12">
        <f>'01-Process Controls'!$G$5</f>
        <v>3</v>
      </c>
      <c r="M181" s="12">
        <f>ROUNDDOWN(MIN(J181,K181)*'04-Variant Rules'!$D$42,0)</f>
        <v>420</v>
      </c>
      <c r="N181" s="12">
        <f>ROUNDDOWN(MIN(J181,K181)*'04-Variant Rules'!$D$42,0)</f>
        <v>420</v>
      </c>
      <c r="O181" s="9">
        <v>37</v>
      </c>
    </row>
    <row r="182" spans="1:15" ht="21" customHeight="1">
      <c r="A182" s="9" t="s">
        <v>396</v>
      </c>
      <c r="B182" s="12">
        <f>IF(LEFT(H182,5)="VALID",M182,"")</f>
        <v>378</v>
      </c>
      <c r="C182" s="12">
        <f>IF(LEFT(H182,5)="VALID",N182,"")</f>
        <v>378</v>
      </c>
      <c r="D182" s="10" t="s">
        <v>82</v>
      </c>
      <c r="E182" s="10" t="s">
        <v>357</v>
      </c>
      <c r="F182" s="10" t="s">
        <v>218</v>
      </c>
      <c r="G182" s="10" t="s">
        <v>219</v>
      </c>
      <c r="H182" s="11" t="str">
        <f>IF(OR(M182&lt;=0,N182&lt;=0),"SKIPPED - NONPOSITIVE",IF(OR(M182&lt;L182,N182&lt;L182),"SKIPPED - BELOW MIN",IF(OR(M182&gt;J182,N182&gt;K182),"SKIPPED - EXCEEDS BASE",IF(COUNTIFS($M$144:M181,M182,$N$144:N181,N182)&gt;0,"SKIPPED - DUPLICATE","VALID - GENERATED"))))</f>
        <v>VALID - GENERATED</v>
      </c>
      <c r="I182" s="10" t="s">
        <v>358</v>
      </c>
      <c r="J182" s="12">
        <f>'05-ISO Reference'!$B$7</f>
        <v>420</v>
      </c>
      <c r="K182" s="12">
        <f>'05-ISO Reference'!$C$7</f>
        <v>594</v>
      </c>
      <c r="L182" s="12">
        <f>'01-Process Controls'!$G$5</f>
        <v>3</v>
      </c>
      <c r="M182" s="12">
        <f>ROUNDDOWN(MIN(J182,K182)*'04-Variant Rules'!$D$43,0)</f>
        <v>378</v>
      </c>
      <c r="N182" s="12">
        <f>ROUNDDOWN(MIN(J182,K182)*'04-Variant Rules'!$D$43,0)</f>
        <v>378</v>
      </c>
      <c r="O182" s="9">
        <v>38</v>
      </c>
    </row>
    <row r="183" spans="1:15" ht="21" customHeight="1">
      <c r="A183" s="9" t="s">
        <v>397</v>
      </c>
      <c r="B183" s="12">
        <f>IF(LEFT(H183,5)="VALID",M183,"")</f>
        <v>336</v>
      </c>
      <c r="C183" s="12">
        <f>IF(LEFT(H183,5)="VALID",N183,"")</f>
        <v>336</v>
      </c>
      <c r="D183" s="10" t="s">
        <v>82</v>
      </c>
      <c r="E183" s="10" t="s">
        <v>357</v>
      </c>
      <c r="F183" s="10" t="s">
        <v>221</v>
      </c>
      <c r="G183" s="10" t="s">
        <v>219</v>
      </c>
      <c r="H183" s="11" t="str">
        <f>IF(OR(M183&lt;=0,N183&lt;=0),"SKIPPED - NONPOSITIVE",IF(OR(M183&lt;L183,N183&lt;L183),"SKIPPED - BELOW MIN",IF(OR(M183&gt;J183,N183&gt;K183),"SKIPPED - EXCEEDS BASE",IF(COUNTIFS($M$144:M182,M183,$N$144:N182,N183)&gt;0,"SKIPPED - DUPLICATE","VALID - GENERATED"))))</f>
        <v>VALID - GENERATED</v>
      </c>
      <c r="I183" s="10" t="s">
        <v>358</v>
      </c>
      <c r="J183" s="12">
        <f>'05-ISO Reference'!$B$7</f>
        <v>420</v>
      </c>
      <c r="K183" s="12">
        <f>'05-ISO Reference'!$C$7</f>
        <v>594</v>
      </c>
      <c r="L183" s="12">
        <f>'01-Process Controls'!$G$5</f>
        <v>3</v>
      </c>
      <c r="M183" s="12">
        <f>ROUNDDOWN(MIN(J183,K183)*'04-Variant Rules'!$D$44,0)</f>
        <v>336</v>
      </c>
      <c r="N183" s="12">
        <f>ROUNDDOWN(MIN(J183,K183)*'04-Variant Rules'!$D$44,0)</f>
        <v>336</v>
      </c>
      <c r="O183" s="9">
        <v>39</v>
      </c>
    </row>
    <row r="184" spans="1:15" ht="21" customHeight="1">
      <c r="A184" s="9" t="s">
        <v>398</v>
      </c>
      <c r="B184" s="12">
        <f>IF(LEFT(H184,5)="VALID",M184,"")</f>
        <v>315</v>
      </c>
      <c r="C184" s="12">
        <f>IF(LEFT(H184,5)="VALID",N184,"")</f>
        <v>315</v>
      </c>
      <c r="D184" s="10" t="s">
        <v>82</v>
      </c>
      <c r="E184" s="10" t="s">
        <v>357</v>
      </c>
      <c r="F184" s="10" t="s">
        <v>223</v>
      </c>
      <c r="G184" s="10" t="s">
        <v>219</v>
      </c>
      <c r="H184" s="11" t="str">
        <f>IF(OR(M184&lt;=0,N184&lt;=0),"SKIPPED - NONPOSITIVE",IF(OR(M184&lt;L184,N184&lt;L184),"SKIPPED - BELOW MIN",IF(OR(M184&gt;J184,N184&gt;K184),"SKIPPED - EXCEEDS BASE",IF(COUNTIFS($M$144:M183,M184,$N$144:N183,N184)&gt;0,"SKIPPED - DUPLICATE","VALID - GENERATED"))))</f>
        <v>VALID - GENERATED</v>
      </c>
      <c r="I184" s="10" t="s">
        <v>358</v>
      </c>
      <c r="J184" s="12">
        <f>'05-ISO Reference'!$B$7</f>
        <v>420</v>
      </c>
      <c r="K184" s="12">
        <f>'05-ISO Reference'!$C$7</f>
        <v>594</v>
      </c>
      <c r="L184" s="12">
        <f>'01-Process Controls'!$G$5</f>
        <v>3</v>
      </c>
      <c r="M184" s="12">
        <f>ROUNDDOWN(MIN(J184,K184)*'04-Variant Rules'!$D$45,0)</f>
        <v>315</v>
      </c>
      <c r="N184" s="12">
        <f>ROUNDDOWN(MIN(J184,K184)*'04-Variant Rules'!$D$45,0)</f>
        <v>315</v>
      </c>
      <c r="O184" s="9">
        <v>40</v>
      </c>
    </row>
    <row r="185" spans="1:15" ht="21" customHeight="1">
      <c r="A185" s="9" t="s">
        <v>399</v>
      </c>
      <c r="B185" s="12">
        <f>IF(LEFT(H185,5)="VALID",M185,"")</f>
        <v>280</v>
      </c>
      <c r="C185" s="12">
        <f>IF(LEFT(H185,5)="VALID",N185,"")</f>
        <v>280</v>
      </c>
      <c r="D185" s="10" t="s">
        <v>82</v>
      </c>
      <c r="E185" s="10" t="s">
        <v>357</v>
      </c>
      <c r="F185" s="10" t="s">
        <v>225</v>
      </c>
      <c r="G185" s="10" t="s">
        <v>219</v>
      </c>
      <c r="H185" s="11" t="str">
        <f>IF(OR(M185&lt;=0,N185&lt;=0),"SKIPPED - NONPOSITIVE",IF(OR(M185&lt;L185,N185&lt;L185),"SKIPPED - BELOW MIN",IF(OR(M185&gt;J185,N185&gt;K185),"SKIPPED - EXCEEDS BASE",IF(COUNTIFS($M$144:M184,M185,$N$144:N184,N185)&gt;0,"SKIPPED - DUPLICATE","VALID - GENERATED"))))</f>
        <v>VALID - GENERATED</v>
      </c>
      <c r="I185" s="10" t="s">
        <v>358</v>
      </c>
      <c r="J185" s="12">
        <f>'05-ISO Reference'!$B$7</f>
        <v>420</v>
      </c>
      <c r="K185" s="12">
        <f>'05-ISO Reference'!$C$7</f>
        <v>594</v>
      </c>
      <c r="L185" s="12">
        <f>'01-Process Controls'!$G$5</f>
        <v>3</v>
      </c>
      <c r="M185" s="12">
        <f>ROUNDDOWN(MIN(J185,K185)*'04-Variant Rules'!$D$46,0)</f>
        <v>280</v>
      </c>
      <c r="N185" s="12">
        <f>ROUNDDOWN(MIN(J185,K185)*'04-Variant Rules'!$D$46,0)</f>
        <v>280</v>
      </c>
      <c r="O185" s="9">
        <v>41</v>
      </c>
    </row>
    <row r="186" spans="1:15" ht="21" customHeight="1">
      <c r="A186" s="9" t="s">
        <v>400</v>
      </c>
      <c r="B186" s="12">
        <f>IF(LEFT(H186,5)="VALID",M186,"")</f>
        <v>252</v>
      </c>
      <c r="C186" s="12">
        <f>IF(LEFT(H186,5)="VALID",N186,"")</f>
        <v>252</v>
      </c>
      <c r="D186" s="10" t="s">
        <v>82</v>
      </c>
      <c r="E186" s="10" t="s">
        <v>357</v>
      </c>
      <c r="F186" s="10" t="s">
        <v>227</v>
      </c>
      <c r="G186" s="10" t="s">
        <v>219</v>
      </c>
      <c r="H186" s="11" t="str">
        <f>IF(OR(M186&lt;=0,N186&lt;=0),"SKIPPED - NONPOSITIVE",IF(OR(M186&lt;L186,N186&lt;L186),"SKIPPED - BELOW MIN",IF(OR(M186&gt;J186,N186&gt;K186),"SKIPPED - EXCEEDS BASE",IF(COUNTIFS($M$144:M185,M186,$N$144:N185,N186)&gt;0,"SKIPPED - DUPLICATE","VALID - GENERATED"))))</f>
        <v>VALID - GENERATED</v>
      </c>
      <c r="I186" s="10" t="s">
        <v>358</v>
      </c>
      <c r="J186" s="12">
        <f>'05-ISO Reference'!$B$7</f>
        <v>420</v>
      </c>
      <c r="K186" s="12">
        <f>'05-ISO Reference'!$C$7</f>
        <v>594</v>
      </c>
      <c r="L186" s="12">
        <f>'01-Process Controls'!$G$5</f>
        <v>3</v>
      </c>
      <c r="M186" s="12">
        <f>ROUNDDOWN(MIN(J186,K186)*'04-Variant Rules'!$D$47,0)</f>
        <v>252</v>
      </c>
      <c r="N186" s="12">
        <f>ROUNDDOWN(MIN(J186,K186)*'04-Variant Rules'!$D$47,0)</f>
        <v>252</v>
      </c>
      <c r="O186" s="9">
        <v>42</v>
      </c>
    </row>
    <row r="187" spans="1:15" ht="21" customHeight="1">
      <c r="A187" s="9" t="s">
        <v>401</v>
      </c>
      <c r="B187" s="12">
        <f>IF(LEFT(H187,5)="VALID",M187,"")</f>
        <v>210</v>
      </c>
      <c r="C187" s="12">
        <f>IF(LEFT(H187,5)="VALID",N187,"")</f>
        <v>210</v>
      </c>
      <c r="D187" s="10" t="s">
        <v>82</v>
      </c>
      <c r="E187" s="10" t="s">
        <v>357</v>
      </c>
      <c r="F187" s="10" t="s">
        <v>229</v>
      </c>
      <c r="G187" s="10" t="s">
        <v>219</v>
      </c>
      <c r="H187" s="11" t="str">
        <f>IF(OR(M187&lt;=0,N187&lt;=0),"SKIPPED - NONPOSITIVE",IF(OR(M187&lt;L187,N187&lt;L187),"SKIPPED - BELOW MIN",IF(OR(M187&gt;J187,N187&gt;K187),"SKIPPED - EXCEEDS BASE",IF(COUNTIFS($M$144:M186,M187,$N$144:N186,N187)&gt;0,"SKIPPED - DUPLICATE","VALID - GENERATED"))))</f>
        <v>VALID - GENERATED</v>
      </c>
      <c r="I187" s="10" t="s">
        <v>358</v>
      </c>
      <c r="J187" s="12">
        <f>'05-ISO Reference'!$B$7</f>
        <v>420</v>
      </c>
      <c r="K187" s="12">
        <f>'05-ISO Reference'!$C$7</f>
        <v>594</v>
      </c>
      <c r="L187" s="12">
        <f>'01-Process Controls'!$G$5</f>
        <v>3</v>
      </c>
      <c r="M187" s="12">
        <f>ROUNDDOWN(MIN(J187,K187)*'04-Variant Rules'!$D$48,0)</f>
        <v>210</v>
      </c>
      <c r="N187" s="12">
        <f>ROUNDDOWN(MIN(J187,K187)*'04-Variant Rules'!$D$48,0)</f>
        <v>210</v>
      </c>
      <c r="O187" s="9">
        <v>43</v>
      </c>
    </row>
    <row r="188" spans="1:15" ht="21" customHeight="1">
      <c r="A188" s="9" t="s">
        <v>402</v>
      </c>
      <c r="B188" s="12">
        <f>IF(LEFT(H188,5)="VALID",M188,"")</f>
        <v>168</v>
      </c>
      <c r="C188" s="12">
        <f>IF(LEFT(H188,5)="VALID",N188,"")</f>
        <v>168</v>
      </c>
      <c r="D188" s="10" t="s">
        <v>82</v>
      </c>
      <c r="E188" s="10" t="s">
        <v>357</v>
      </c>
      <c r="F188" s="10" t="s">
        <v>231</v>
      </c>
      <c r="G188" s="10" t="s">
        <v>219</v>
      </c>
      <c r="H188" s="11" t="str">
        <f>IF(OR(M188&lt;=0,N188&lt;=0),"SKIPPED - NONPOSITIVE",IF(OR(M188&lt;L188,N188&lt;L188),"SKIPPED - BELOW MIN",IF(OR(M188&gt;J188,N188&gt;K188),"SKIPPED - EXCEEDS BASE",IF(COUNTIFS($M$144:M187,M188,$N$144:N187,N188)&gt;0,"SKIPPED - DUPLICATE","VALID - GENERATED"))))</f>
        <v>VALID - GENERATED</v>
      </c>
      <c r="I188" s="10" t="s">
        <v>358</v>
      </c>
      <c r="J188" s="12">
        <f>'05-ISO Reference'!$B$7</f>
        <v>420</v>
      </c>
      <c r="K188" s="12">
        <f>'05-ISO Reference'!$C$7</f>
        <v>594</v>
      </c>
      <c r="L188" s="12">
        <f>'01-Process Controls'!$G$5</f>
        <v>3</v>
      </c>
      <c r="M188" s="12">
        <f>ROUNDDOWN(MIN(J188,K188)*'04-Variant Rules'!$D$49,0)</f>
        <v>168</v>
      </c>
      <c r="N188" s="12">
        <f>ROUNDDOWN(MIN(J188,K188)*'04-Variant Rules'!$D$49,0)</f>
        <v>168</v>
      </c>
      <c r="O188" s="9">
        <v>44</v>
      </c>
    </row>
    <row r="189" spans="1:15" ht="21" customHeight="1">
      <c r="A189" s="9" t="s">
        <v>403</v>
      </c>
      <c r="B189" s="12">
        <f>IF(LEFT(H189,5)="VALID",M189,"")</f>
        <v>140</v>
      </c>
      <c r="C189" s="12">
        <f>IF(LEFT(H189,5)="VALID",N189,"")</f>
        <v>140</v>
      </c>
      <c r="D189" s="10" t="s">
        <v>82</v>
      </c>
      <c r="E189" s="10" t="s">
        <v>357</v>
      </c>
      <c r="F189" s="10" t="s">
        <v>233</v>
      </c>
      <c r="G189" s="10" t="s">
        <v>219</v>
      </c>
      <c r="H189" s="11" t="str">
        <f>IF(OR(M189&lt;=0,N189&lt;=0),"SKIPPED - NONPOSITIVE",IF(OR(M189&lt;L189,N189&lt;L189),"SKIPPED - BELOW MIN",IF(OR(M189&gt;J189,N189&gt;K189),"SKIPPED - EXCEEDS BASE",IF(COUNTIFS($M$144:M188,M189,$N$144:N188,N189)&gt;0,"SKIPPED - DUPLICATE","VALID - GENERATED"))))</f>
        <v>VALID - GENERATED</v>
      </c>
      <c r="I189" s="10" t="s">
        <v>358</v>
      </c>
      <c r="J189" s="12">
        <f>'05-ISO Reference'!$B$7</f>
        <v>420</v>
      </c>
      <c r="K189" s="12">
        <f>'05-ISO Reference'!$C$7</f>
        <v>594</v>
      </c>
      <c r="L189" s="12">
        <f>'01-Process Controls'!$G$5</f>
        <v>3</v>
      </c>
      <c r="M189" s="12">
        <f>ROUNDDOWN(MIN(J189,K189)*'04-Variant Rules'!$D$50,0)</f>
        <v>140</v>
      </c>
      <c r="N189" s="12">
        <f>ROUNDDOWN(MIN(J189,K189)*'04-Variant Rules'!$D$50,0)</f>
        <v>140</v>
      </c>
      <c r="O189" s="9">
        <v>45</v>
      </c>
    </row>
    <row r="190" spans="1:15" ht="21" customHeight="1">
      <c r="A190" s="9" t="s">
        <v>404</v>
      </c>
      <c r="B190" s="12">
        <f>IF(LEFT(H190,5)="VALID",M190,"")</f>
        <v>105</v>
      </c>
      <c r="C190" s="12">
        <f>IF(LEFT(H190,5)="VALID",N190,"")</f>
        <v>105</v>
      </c>
      <c r="D190" s="10" t="s">
        <v>82</v>
      </c>
      <c r="E190" s="10" t="s">
        <v>357</v>
      </c>
      <c r="F190" s="10" t="s">
        <v>235</v>
      </c>
      <c r="G190" s="10" t="s">
        <v>219</v>
      </c>
      <c r="H190" s="11" t="str">
        <f>IF(OR(M190&lt;=0,N190&lt;=0),"SKIPPED - NONPOSITIVE",IF(OR(M190&lt;L190,N190&lt;L190),"SKIPPED - BELOW MIN",IF(OR(M190&gt;J190,N190&gt;K190),"SKIPPED - EXCEEDS BASE",IF(COUNTIFS($M$144:M189,M190,$N$144:N189,N190)&gt;0,"SKIPPED - DUPLICATE","VALID - GENERATED"))))</f>
        <v>VALID - GENERATED</v>
      </c>
      <c r="I190" s="10" t="s">
        <v>358</v>
      </c>
      <c r="J190" s="12">
        <f>'05-ISO Reference'!$B$7</f>
        <v>420</v>
      </c>
      <c r="K190" s="12">
        <f>'05-ISO Reference'!$C$7</f>
        <v>594</v>
      </c>
      <c r="L190" s="12">
        <f>'01-Process Controls'!$G$5</f>
        <v>3</v>
      </c>
      <c r="M190" s="12">
        <f>ROUNDDOWN(MIN(J190,K190)*'04-Variant Rules'!$D$51,0)</f>
        <v>105</v>
      </c>
      <c r="N190" s="12">
        <f>ROUNDDOWN(MIN(J190,K190)*'04-Variant Rules'!$D$51,0)</f>
        <v>105</v>
      </c>
      <c r="O190" s="9">
        <v>46</v>
      </c>
    </row>
    <row r="191" spans="1:15" ht="21" customHeight="1">
      <c r="A191" s="9" t="s">
        <v>405</v>
      </c>
      <c r="B191" s="12">
        <f>IF(LEFT(H191,5)="VALID",M191,"")</f>
        <v>84</v>
      </c>
      <c r="C191" s="12">
        <f>IF(LEFT(H191,5)="VALID",N191,"")</f>
        <v>84</v>
      </c>
      <c r="D191" s="10" t="s">
        <v>82</v>
      </c>
      <c r="E191" s="10" t="s">
        <v>357</v>
      </c>
      <c r="F191" s="10" t="s">
        <v>237</v>
      </c>
      <c r="G191" s="10" t="s">
        <v>219</v>
      </c>
      <c r="H191" s="11" t="str">
        <f>IF(OR(M191&lt;=0,N191&lt;=0),"SKIPPED - NONPOSITIVE",IF(OR(M191&lt;L191,N191&lt;L191),"SKIPPED - BELOW MIN",IF(OR(M191&gt;J191,N191&gt;K191),"SKIPPED - EXCEEDS BASE",IF(COUNTIFS($M$144:M190,M191,$N$144:N190,N191)&gt;0,"SKIPPED - DUPLICATE","VALID - GENERATED"))))</f>
        <v>VALID - GENERATED</v>
      </c>
      <c r="I191" s="10" t="s">
        <v>358</v>
      </c>
      <c r="J191" s="12">
        <f>'05-ISO Reference'!$B$7</f>
        <v>420</v>
      </c>
      <c r="K191" s="12">
        <f>'05-ISO Reference'!$C$7</f>
        <v>594</v>
      </c>
      <c r="L191" s="12">
        <f>'01-Process Controls'!$G$5</f>
        <v>3</v>
      </c>
      <c r="M191" s="12">
        <f>ROUNDDOWN(MIN(J191,K191)*'04-Variant Rules'!$D$52,0)</f>
        <v>84</v>
      </c>
      <c r="N191" s="12">
        <f>ROUNDDOWN(MIN(J191,K191)*'04-Variant Rules'!$D$52,0)</f>
        <v>84</v>
      </c>
      <c r="O191" s="9">
        <v>47</v>
      </c>
    </row>
    <row r="192" spans="1:15" ht="21" customHeight="1">
      <c r="A192" s="9" t="s">
        <v>406</v>
      </c>
      <c r="B192" s="12">
        <f>IF(LEFT(H192,5)="VALID",M192,"")</f>
        <v>420</v>
      </c>
      <c r="C192" s="12">
        <f>IF(LEFT(H192,5)="VALID",N192,"")</f>
        <v>315</v>
      </c>
      <c r="D192" s="10" t="s">
        <v>82</v>
      </c>
      <c r="E192" s="10" t="s">
        <v>357</v>
      </c>
      <c r="F192" s="10" t="s">
        <v>239</v>
      </c>
      <c r="G192" s="10" t="s">
        <v>240</v>
      </c>
      <c r="H192" s="11" t="str">
        <f>IF(OR(M192&lt;=0,N192&lt;=0),"SKIPPED - NONPOSITIVE",IF(OR(M192&lt;L192,N192&lt;L192),"SKIPPED - BELOW MIN",IF(OR(M192&gt;J192,N192&gt;K192),"SKIPPED - EXCEEDS BASE",IF(COUNTIFS($M$144:M191,M192,$N$144:N191,N192)&gt;0,"SKIPPED - DUPLICATE","VALID - GENERATED"))))</f>
        <v>VALID - GENERATED</v>
      </c>
      <c r="I192" s="10" t="s">
        <v>358</v>
      </c>
      <c r="J192" s="12">
        <f>'05-ISO Reference'!$B$7</f>
        <v>420</v>
      </c>
      <c r="K192" s="12">
        <f>'05-ISO Reference'!$C$7</f>
        <v>594</v>
      </c>
      <c r="L192" s="12">
        <f>'01-Process Controls'!$G$5</f>
        <v>3</v>
      </c>
      <c r="M192" s="12">
        <f>ROUNDDOWN(MIN(J192,K192*'04-Variant Rules'!$D$53),0)</f>
        <v>420</v>
      </c>
      <c r="N192" s="12">
        <f>ROUNDDOWN(M192/'04-Variant Rules'!$D$53,0)</f>
        <v>315</v>
      </c>
      <c r="O192" s="9">
        <v>48</v>
      </c>
    </row>
    <row r="193" spans="1:15" ht="21" customHeight="1">
      <c r="A193" s="9" t="s">
        <v>407</v>
      </c>
      <c r="B193" s="12">
        <f>IF(LEFT(H193,5)="VALID",M193,"")</f>
        <v>420</v>
      </c>
      <c r="C193" s="12">
        <f>IF(LEFT(H193,5)="VALID",N193,"")</f>
        <v>560</v>
      </c>
      <c r="D193" s="10" t="s">
        <v>82</v>
      </c>
      <c r="E193" s="10" t="s">
        <v>357</v>
      </c>
      <c r="F193" s="10" t="s">
        <v>242</v>
      </c>
      <c r="G193" s="10" t="s">
        <v>243</v>
      </c>
      <c r="H193" s="11" t="str">
        <f>IF(OR(M193&lt;=0,N193&lt;=0),"SKIPPED - NONPOSITIVE",IF(OR(M193&lt;L193,N193&lt;L193),"SKIPPED - BELOW MIN",IF(OR(M193&gt;J193,N193&gt;K193),"SKIPPED - EXCEEDS BASE",IF(COUNTIFS($M$144:M192,M193,$N$144:N192,N193)&gt;0,"SKIPPED - DUPLICATE","VALID - GENERATED"))))</f>
        <v>VALID - GENERATED</v>
      </c>
      <c r="I193" s="10" t="s">
        <v>358</v>
      </c>
      <c r="J193" s="12">
        <f>'05-ISO Reference'!$B$7</f>
        <v>420</v>
      </c>
      <c r="K193" s="12">
        <f>'05-ISO Reference'!$C$7</f>
        <v>594</v>
      </c>
      <c r="L193" s="12">
        <f>'01-Process Controls'!$G$5</f>
        <v>3</v>
      </c>
      <c r="M193" s="12">
        <f>ROUNDDOWN(MIN(J193,K193*'04-Variant Rules'!$D$54),0)</f>
        <v>420</v>
      </c>
      <c r="N193" s="12">
        <f>ROUNDDOWN(M193/'04-Variant Rules'!$D$54,0)</f>
        <v>560</v>
      </c>
      <c r="O193" s="9">
        <v>49</v>
      </c>
    </row>
    <row r="194" spans="1:15" ht="21" customHeight="1">
      <c r="A194" s="9" t="s">
        <v>408</v>
      </c>
      <c r="B194" s="12">
        <f>IF(LEFT(H194,5)="VALID",M194,"")</f>
        <v>420</v>
      </c>
      <c r="C194" s="12">
        <f>IF(LEFT(H194,5)="VALID",N194,"")</f>
        <v>280</v>
      </c>
      <c r="D194" s="10" t="s">
        <v>82</v>
      </c>
      <c r="E194" s="10" t="s">
        <v>357</v>
      </c>
      <c r="F194" s="10" t="s">
        <v>245</v>
      </c>
      <c r="G194" s="10" t="s">
        <v>246</v>
      </c>
      <c r="H194" s="11" t="str">
        <f>IF(OR(M194&lt;=0,N194&lt;=0),"SKIPPED - NONPOSITIVE",IF(OR(M194&lt;L194,N194&lt;L194),"SKIPPED - BELOW MIN",IF(OR(M194&gt;J194,N194&gt;K194),"SKIPPED - EXCEEDS BASE",IF(COUNTIFS($M$144:M193,M194,$N$144:N193,N194)&gt;0,"SKIPPED - DUPLICATE","VALID - GENERATED"))))</f>
        <v>VALID - GENERATED</v>
      </c>
      <c r="I194" s="10" t="s">
        <v>358</v>
      </c>
      <c r="J194" s="12">
        <f>'05-ISO Reference'!$B$7</f>
        <v>420</v>
      </c>
      <c r="K194" s="12">
        <f>'05-ISO Reference'!$C$7</f>
        <v>594</v>
      </c>
      <c r="L194" s="12">
        <f>'01-Process Controls'!$G$5</f>
        <v>3</v>
      </c>
      <c r="M194" s="12">
        <f>ROUNDDOWN(MIN(J194,K194*'04-Variant Rules'!$D$55),0)</f>
        <v>420</v>
      </c>
      <c r="N194" s="12">
        <f>ROUNDDOWN(M194/'04-Variant Rules'!$D$55,0)</f>
        <v>280</v>
      </c>
      <c r="O194" s="9">
        <v>50</v>
      </c>
    </row>
    <row r="195" spans="1:15" ht="21" customHeight="1">
      <c r="A195" s="9" t="s">
        <v>409</v>
      </c>
      <c r="B195" s="12">
        <f>IF(LEFT(H195,5)="VALID",M195,"")</f>
        <v>396</v>
      </c>
      <c r="C195" s="12">
        <f>IF(LEFT(H195,5)="VALID",N195,"")</f>
        <v>594</v>
      </c>
      <c r="D195" s="10" t="s">
        <v>82</v>
      </c>
      <c r="E195" s="10" t="s">
        <v>357</v>
      </c>
      <c r="F195" s="10" t="s">
        <v>248</v>
      </c>
      <c r="G195" s="10" t="s">
        <v>249</v>
      </c>
      <c r="H195" s="11" t="str">
        <f>IF(OR(M195&lt;=0,N195&lt;=0),"SKIPPED - NONPOSITIVE",IF(OR(M195&lt;L195,N195&lt;L195),"SKIPPED - BELOW MIN",IF(OR(M195&gt;J195,N195&gt;K195),"SKIPPED - EXCEEDS BASE",IF(COUNTIFS($M$144:M194,M195,$N$144:N194,N195)&gt;0,"SKIPPED - DUPLICATE","VALID - GENERATED"))))</f>
        <v>VALID - GENERATED</v>
      </c>
      <c r="I195" s="10" t="s">
        <v>358</v>
      </c>
      <c r="J195" s="12">
        <f>'05-ISO Reference'!$B$7</f>
        <v>420</v>
      </c>
      <c r="K195" s="12">
        <f>'05-ISO Reference'!$C$7</f>
        <v>594</v>
      </c>
      <c r="L195" s="12">
        <f>'01-Process Controls'!$G$5</f>
        <v>3</v>
      </c>
      <c r="M195" s="12">
        <f>ROUNDDOWN(MIN(J195,K195*'04-Variant Rules'!$D$56),0)</f>
        <v>396</v>
      </c>
      <c r="N195" s="12">
        <f>ROUNDDOWN(M195/'04-Variant Rules'!$D$56,0)</f>
        <v>594</v>
      </c>
      <c r="O195" s="9">
        <v>51</v>
      </c>
    </row>
    <row r="196" spans="1:15" ht="21" customHeight="1">
      <c r="A196" s="9" t="s">
        <v>410</v>
      </c>
      <c r="B196" s="12">
        <f>IF(LEFT(H196,5)="VALID",M196,"")</f>
        <v>420</v>
      </c>
      <c r="C196" s="12">
        <f>IF(LEFT(H196,5)="VALID",N196,"")</f>
        <v>236</v>
      </c>
      <c r="D196" s="10" t="s">
        <v>82</v>
      </c>
      <c r="E196" s="10" t="s">
        <v>357</v>
      </c>
      <c r="F196" s="10" t="s">
        <v>251</v>
      </c>
      <c r="G196" s="10" t="s">
        <v>252</v>
      </c>
      <c r="H196" s="11" t="str">
        <f>IF(OR(M196&lt;=0,N196&lt;=0),"SKIPPED - NONPOSITIVE",IF(OR(M196&lt;L196,N196&lt;L196),"SKIPPED - BELOW MIN",IF(OR(M196&gt;J196,N196&gt;K196),"SKIPPED - EXCEEDS BASE",IF(COUNTIFS($M$144:M195,M196,$N$144:N195,N196)&gt;0,"SKIPPED - DUPLICATE","VALID - GENERATED"))))</f>
        <v>VALID - GENERATED</v>
      </c>
      <c r="I196" s="10" t="s">
        <v>358</v>
      </c>
      <c r="J196" s="12">
        <f>'05-ISO Reference'!$B$7</f>
        <v>420</v>
      </c>
      <c r="K196" s="12">
        <f>'05-ISO Reference'!$C$7</f>
        <v>594</v>
      </c>
      <c r="L196" s="12">
        <f>'01-Process Controls'!$G$5</f>
        <v>3</v>
      </c>
      <c r="M196" s="12">
        <f>ROUNDDOWN(MIN(J196,K196*'04-Variant Rules'!$D$57),0)</f>
        <v>420</v>
      </c>
      <c r="N196" s="12">
        <f>ROUNDDOWN(M196/'04-Variant Rules'!$D$57,0)</f>
        <v>236</v>
      </c>
      <c r="O196" s="9">
        <v>52</v>
      </c>
    </row>
    <row r="197" spans="1:15" ht="21" customHeight="1">
      <c r="A197" s="9" t="s">
        <v>411</v>
      </c>
      <c r="B197" s="12">
        <f>IF(LEFT(H197,5)="VALID",M197,"")</f>
        <v>334</v>
      </c>
      <c r="C197" s="12">
        <f>IF(LEFT(H197,5)="VALID",N197,"")</f>
        <v>593</v>
      </c>
      <c r="D197" s="10" t="s">
        <v>82</v>
      </c>
      <c r="E197" s="10" t="s">
        <v>357</v>
      </c>
      <c r="F197" s="10" t="s">
        <v>254</v>
      </c>
      <c r="G197" s="10" t="s">
        <v>255</v>
      </c>
      <c r="H197" s="11" t="str">
        <f>IF(OR(M197&lt;=0,N197&lt;=0),"SKIPPED - NONPOSITIVE",IF(OR(M197&lt;L197,N197&lt;L197),"SKIPPED - BELOW MIN",IF(OR(M197&gt;J197,N197&gt;K197),"SKIPPED - EXCEEDS BASE",IF(COUNTIFS($M$144:M196,M197,$N$144:N196,N197)&gt;0,"SKIPPED - DUPLICATE","VALID - GENERATED"))))</f>
        <v>VALID - GENERATED</v>
      </c>
      <c r="I197" s="10" t="s">
        <v>358</v>
      </c>
      <c r="J197" s="12">
        <f>'05-ISO Reference'!$B$7</f>
        <v>420</v>
      </c>
      <c r="K197" s="12">
        <f>'05-ISO Reference'!$C$7</f>
        <v>594</v>
      </c>
      <c r="L197" s="12">
        <f>'01-Process Controls'!$G$5</f>
        <v>3</v>
      </c>
      <c r="M197" s="12">
        <f>ROUNDDOWN(MIN(J197,K197*'04-Variant Rules'!$D$58),0)</f>
        <v>334</v>
      </c>
      <c r="N197" s="12">
        <f>ROUNDDOWN(M197/'04-Variant Rules'!$D$58,0)</f>
        <v>593</v>
      </c>
      <c r="O197" s="9">
        <v>53</v>
      </c>
    </row>
    <row r="198" spans="1:15" ht="21" customHeight="1">
      <c r="A198" s="9" t="s">
        <v>412</v>
      </c>
      <c r="B198" s="12">
        <f>IF(LEFT(H198,5)="VALID",M198,"")</f>
        <v>420</v>
      </c>
      <c r="C198" s="12">
        <f>IF(LEFT(H198,5)="VALID",N198,"")</f>
        <v>210</v>
      </c>
      <c r="D198" s="10" t="s">
        <v>82</v>
      </c>
      <c r="E198" s="10" t="s">
        <v>357</v>
      </c>
      <c r="F198" s="10" t="s">
        <v>257</v>
      </c>
      <c r="G198" s="10" t="s">
        <v>258</v>
      </c>
      <c r="H198" s="11" t="str">
        <f>IF(OR(M198&lt;=0,N198&lt;=0),"SKIPPED - NONPOSITIVE",IF(OR(M198&lt;L198,N198&lt;L198),"SKIPPED - BELOW MIN",IF(OR(M198&gt;J198,N198&gt;K198),"SKIPPED - EXCEEDS BASE",IF(COUNTIFS($M$144:M197,M198,$N$144:N197,N198)&gt;0,"SKIPPED - DUPLICATE","VALID - GENERATED"))))</f>
        <v>VALID - GENERATED</v>
      </c>
      <c r="I198" s="10" t="s">
        <v>358</v>
      </c>
      <c r="J198" s="12">
        <f>'05-ISO Reference'!$B$7</f>
        <v>420</v>
      </c>
      <c r="K198" s="12">
        <f>'05-ISO Reference'!$C$7</f>
        <v>594</v>
      </c>
      <c r="L198" s="12">
        <f>'01-Process Controls'!$G$5</f>
        <v>3</v>
      </c>
      <c r="M198" s="12">
        <f>ROUNDDOWN(MIN(J198,K198*'04-Variant Rules'!$D$59),0)</f>
        <v>420</v>
      </c>
      <c r="N198" s="12">
        <f>ROUNDDOWN(M198/'04-Variant Rules'!$D$59,0)</f>
        <v>210</v>
      </c>
      <c r="O198" s="9">
        <v>54</v>
      </c>
    </row>
    <row r="199" spans="1:15" ht="21" customHeight="1">
      <c r="A199" s="9" t="s">
        <v>413</v>
      </c>
      <c r="B199" s="12">
        <f>IF(LEFT(H199,5)="VALID",M199,"")</f>
        <v>297</v>
      </c>
      <c r="C199" s="12">
        <f>IF(LEFT(H199,5)="VALID",N199,"")</f>
        <v>594</v>
      </c>
      <c r="D199" s="10" t="s">
        <v>82</v>
      </c>
      <c r="E199" s="10" t="s">
        <v>357</v>
      </c>
      <c r="F199" s="10" t="s">
        <v>260</v>
      </c>
      <c r="G199" s="10" t="s">
        <v>261</v>
      </c>
      <c r="H199" s="11" t="str">
        <f>IF(OR(M199&lt;=0,N199&lt;=0),"SKIPPED - NONPOSITIVE",IF(OR(M199&lt;L199,N199&lt;L199),"SKIPPED - BELOW MIN",IF(OR(M199&gt;J199,N199&gt;K199),"SKIPPED - EXCEEDS BASE",IF(COUNTIFS($M$144:M198,M199,$N$144:N198,N199)&gt;0,"SKIPPED - DUPLICATE","VALID - GENERATED"))))</f>
        <v>VALID - GENERATED</v>
      </c>
      <c r="I199" s="10" t="s">
        <v>358</v>
      </c>
      <c r="J199" s="12">
        <f>'05-ISO Reference'!$B$7</f>
        <v>420</v>
      </c>
      <c r="K199" s="12">
        <f>'05-ISO Reference'!$C$7</f>
        <v>594</v>
      </c>
      <c r="L199" s="12">
        <f>'01-Process Controls'!$G$5</f>
        <v>3</v>
      </c>
      <c r="M199" s="12">
        <f>ROUNDDOWN(MIN(J199,K199*'04-Variant Rules'!$D$60),0)</f>
        <v>297</v>
      </c>
      <c r="N199" s="12">
        <f>ROUNDDOWN(M199/'04-Variant Rules'!$D$60,0)</f>
        <v>594</v>
      </c>
      <c r="O199" s="9">
        <v>55</v>
      </c>
    </row>
    <row r="200" spans="1:15" ht="21" customHeight="1">
      <c r="A200" s="9" t="s">
        <v>414</v>
      </c>
      <c r="B200" s="48"/>
      <c r="C200" s="48"/>
      <c r="D200" s="10" t="s">
        <v>263</v>
      </c>
      <c r="E200" s="10" t="s">
        <v>415</v>
      </c>
      <c r="F200" s="10" t="s">
        <v>265</v>
      </c>
      <c r="G200" s="10" t="s">
        <v>266</v>
      </c>
      <c r="H200" s="11" t="str">
        <f>IF(AND(B200="",C200=""),"CUSTOM BLANK",IF(OR(B200="",C200=""),"ERROR - ENTER BOTH",IF(OR(B200&lt;=0,C200&lt;=0),"ERROR - NONPOSITIVE",IF(OR(B200&lt;L200,C200&lt;L200),"ERROR - BELOW MIN",IF(OR(AND(B200&lt;=J200,C200&lt;=K200),AND(B200&lt;=K200,C200&lt;=J200)),"VALID - CUSTOM","ERROR - EXCEEDS BASE")))))</f>
        <v>CUSTOM BLANK</v>
      </c>
      <c r="I200" s="10" t="s">
        <v>267</v>
      </c>
      <c r="J200" s="12">
        <f>'05-ISO Reference'!$B$7</f>
        <v>420</v>
      </c>
      <c r="K200" s="12">
        <f>'05-ISO Reference'!$C$7</f>
        <v>594</v>
      </c>
      <c r="L200" s="12">
        <f>'01-Process Controls'!$G$5</f>
        <v>3</v>
      </c>
      <c r="M200" s="8"/>
      <c r="N200" s="8"/>
    </row>
    <row r="201" spans="1:15" ht="21" customHeight="1">
      <c r="A201" s="9" t="s">
        <v>416</v>
      </c>
      <c r="B201" s="48"/>
      <c r="C201" s="48"/>
      <c r="D201" s="10" t="s">
        <v>263</v>
      </c>
      <c r="E201" s="10" t="s">
        <v>415</v>
      </c>
      <c r="F201" s="10" t="s">
        <v>265</v>
      </c>
      <c r="G201" s="10" t="s">
        <v>266</v>
      </c>
      <c r="H201" s="11" t="str">
        <f>IF(AND(B201="",C201=""),"CUSTOM BLANK",IF(OR(B201="",C201=""),"ERROR - ENTER BOTH",IF(OR(B201&lt;=0,C201&lt;=0),"ERROR - NONPOSITIVE",IF(OR(B201&lt;L201,C201&lt;L201),"ERROR - BELOW MIN",IF(OR(AND(B201&lt;=J201,C201&lt;=K201),AND(B201&lt;=K201,C201&lt;=J201)),"VALID - CUSTOM","ERROR - EXCEEDS BASE")))))</f>
        <v>CUSTOM BLANK</v>
      </c>
      <c r="I201" s="10" t="s">
        <v>267</v>
      </c>
      <c r="J201" s="12">
        <f>'05-ISO Reference'!$B$7</f>
        <v>420</v>
      </c>
      <c r="K201" s="12">
        <f>'05-ISO Reference'!$C$7</f>
        <v>594</v>
      </c>
      <c r="L201" s="12">
        <f>'01-Process Controls'!$G$5</f>
        <v>3</v>
      </c>
      <c r="M201" s="8"/>
      <c r="N201" s="8"/>
    </row>
    <row r="202" spans="1:15" ht="21" customHeight="1">
      <c r="A202" s="9" t="s">
        <v>417</v>
      </c>
      <c r="B202" s="48"/>
      <c r="C202" s="48"/>
      <c r="D202" s="10" t="s">
        <v>263</v>
      </c>
      <c r="E202" s="10" t="s">
        <v>415</v>
      </c>
      <c r="F202" s="10" t="s">
        <v>265</v>
      </c>
      <c r="G202" s="10" t="s">
        <v>266</v>
      </c>
      <c r="H202" s="11" t="str">
        <f>IF(AND(B202="",C202=""),"CUSTOM BLANK",IF(OR(B202="",C202=""),"ERROR - ENTER BOTH",IF(OR(B202&lt;=0,C202&lt;=0),"ERROR - NONPOSITIVE",IF(OR(B202&lt;L202,C202&lt;L202),"ERROR - BELOW MIN",IF(OR(AND(B202&lt;=J202,C202&lt;=K202),AND(B202&lt;=K202,C202&lt;=J202)),"VALID - CUSTOM","ERROR - EXCEEDS BASE")))))</f>
        <v>CUSTOM BLANK</v>
      </c>
      <c r="I202" s="10" t="s">
        <v>267</v>
      </c>
      <c r="J202" s="12">
        <f>'05-ISO Reference'!$B$7</f>
        <v>420</v>
      </c>
      <c r="K202" s="12">
        <f>'05-ISO Reference'!$C$7</f>
        <v>594</v>
      </c>
      <c r="L202" s="12">
        <f>'01-Process Controls'!$G$5</f>
        <v>3</v>
      </c>
      <c r="M202" s="8"/>
      <c r="N202" s="8"/>
    </row>
    <row r="203" spans="1:15" ht="21" customHeight="1">
      <c r="A203" s="9" t="s">
        <v>418</v>
      </c>
      <c r="B203" s="48"/>
      <c r="C203" s="48"/>
      <c r="D203" s="10" t="s">
        <v>263</v>
      </c>
      <c r="E203" s="10" t="s">
        <v>415</v>
      </c>
      <c r="F203" s="10" t="s">
        <v>265</v>
      </c>
      <c r="G203" s="10" t="s">
        <v>266</v>
      </c>
      <c r="H203" s="11" t="str">
        <f>IF(AND(B203="",C203=""),"CUSTOM BLANK",IF(OR(B203="",C203=""),"ERROR - ENTER BOTH",IF(OR(B203&lt;=0,C203&lt;=0),"ERROR - NONPOSITIVE",IF(OR(B203&lt;L203,C203&lt;L203),"ERROR - BELOW MIN",IF(OR(AND(B203&lt;=J203,C203&lt;=K203),AND(B203&lt;=K203,C203&lt;=J203)),"VALID - CUSTOM","ERROR - EXCEEDS BASE")))))</f>
        <v>CUSTOM BLANK</v>
      </c>
      <c r="I203" s="10" t="s">
        <v>267</v>
      </c>
      <c r="J203" s="12">
        <f>'05-ISO Reference'!$B$7</f>
        <v>420</v>
      </c>
      <c r="K203" s="12">
        <f>'05-ISO Reference'!$C$7</f>
        <v>594</v>
      </c>
      <c r="L203" s="12">
        <f>'01-Process Controls'!$G$5</f>
        <v>3</v>
      </c>
      <c r="M203" s="8"/>
      <c r="N203" s="8"/>
    </row>
    <row r="204" spans="1:15" ht="21" customHeight="1">
      <c r="A204" s="9" t="s">
        <v>419</v>
      </c>
      <c r="B204" s="48"/>
      <c r="C204" s="48"/>
      <c r="D204" s="10" t="s">
        <v>263</v>
      </c>
      <c r="E204" s="10" t="s">
        <v>415</v>
      </c>
      <c r="F204" s="10" t="s">
        <v>265</v>
      </c>
      <c r="G204" s="10" t="s">
        <v>266</v>
      </c>
      <c r="H204" s="11" t="str">
        <f>IF(AND(B204="",C204=""),"CUSTOM BLANK",IF(OR(B204="",C204=""),"ERROR - ENTER BOTH",IF(OR(B204&lt;=0,C204&lt;=0),"ERROR - NONPOSITIVE",IF(OR(B204&lt;L204,C204&lt;L204),"ERROR - BELOW MIN",IF(OR(AND(B204&lt;=J204,C204&lt;=K204),AND(B204&lt;=K204,C204&lt;=J204)),"VALID - CUSTOM","ERROR - EXCEEDS BASE")))))</f>
        <v>CUSTOM BLANK</v>
      </c>
      <c r="I204" s="10" t="s">
        <v>267</v>
      </c>
      <c r="J204" s="12">
        <f>'05-ISO Reference'!$B$7</f>
        <v>420</v>
      </c>
      <c r="K204" s="12">
        <f>'05-ISO Reference'!$C$7</f>
        <v>594</v>
      </c>
      <c r="L204" s="12">
        <f>'01-Process Controls'!$G$5</f>
        <v>3</v>
      </c>
      <c r="M204" s="8"/>
      <c r="N204" s="8"/>
    </row>
    <row r="205" spans="1:15" ht="21" customHeight="1">
      <c r="A205" s="9" t="s">
        <v>420</v>
      </c>
      <c r="B205" s="48"/>
      <c r="C205" s="48"/>
      <c r="D205" s="10" t="s">
        <v>263</v>
      </c>
      <c r="E205" s="10" t="s">
        <v>415</v>
      </c>
      <c r="F205" s="10" t="s">
        <v>265</v>
      </c>
      <c r="G205" s="10" t="s">
        <v>266</v>
      </c>
      <c r="H205" s="11" t="str">
        <f>IF(AND(B205="",C205=""),"CUSTOM BLANK",IF(OR(B205="",C205=""),"ERROR - ENTER BOTH",IF(OR(B205&lt;=0,C205&lt;=0),"ERROR - NONPOSITIVE",IF(OR(B205&lt;L205,C205&lt;L205),"ERROR - BELOW MIN",IF(OR(AND(B205&lt;=J205,C205&lt;=K205),AND(B205&lt;=K205,C205&lt;=J205)),"VALID - CUSTOM","ERROR - EXCEEDS BASE")))))</f>
        <v>CUSTOM BLANK</v>
      </c>
      <c r="I205" s="10" t="s">
        <v>267</v>
      </c>
      <c r="J205" s="12">
        <f>'05-ISO Reference'!$B$7</f>
        <v>420</v>
      </c>
      <c r="K205" s="12">
        <f>'05-ISO Reference'!$C$7</f>
        <v>594</v>
      </c>
      <c r="L205" s="12">
        <f>'01-Process Controls'!$G$5</f>
        <v>3</v>
      </c>
      <c r="M205" s="8"/>
      <c r="N205" s="8"/>
    </row>
    <row r="206" spans="1:15" ht="21" customHeight="1">
      <c r="A206" s="9" t="s">
        <v>421</v>
      </c>
      <c r="B206" s="48"/>
      <c r="C206" s="48"/>
      <c r="D206" s="10" t="s">
        <v>263</v>
      </c>
      <c r="E206" s="10" t="s">
        <v>415</v>
      </c>
      <c r="F206" s="10" t="s">
        <v>265</v>
      </c>
      <c r="G206" s="10" t="s">
        <v>266</v>
      </c>
      <c r="H206" s="11" t="str">
        <f>IF(AND(B206="",C206=""),"CUSTOM BLANK",IF(OR(B206="",C206=""),"ERROR - ENTER BOTH",IF(OR(B206&lt;=0,C206&lt;=0),"ERROR - NONPOSITIVE",IF(OR(B206&lt;L206,C206&lt;L206),"ERROR - BELOW MIN",IF(OR(AND(B206&lt;=J206,C206&lt;=K206),AND(B206&lt;=K206,C206&lt;=J206)),"VALID - CUSTOM","ERROR - EXCEEDS BASE")))))</f>
        <v>CUSTOM BLANK</v>
      </c>
      <c r="I206" s="10" t="s">
        <v>267</v>
      </c>
      <c r="J206" s="12">
        <f>'05-ISO Reference'!$B$7</f>
        <v>420</v>
      </c>
      <c r="K206" s="12">
        <f>'05-ISO Reference'!$C$7</f>
        <v>594</v>
      </c>
      <c r="L206" s="12">
        <f>'01-Process Controls'!$G$5</f>
        <v>3</v>
      </c>
      <c r="M206" s="8"/>
      <c r="N206" s="8"/>
    </row>
    <row r="207" spans="1:15" ht="21" customHeight="1">
      <c r="A207" s="9" t="s">
        <v>422</v>
      </c>
      <c r="B207" s="48"/>
      <c r="C207" s="48"/>
      <c r="D207" s="10" t="s">
        <v>263</v>
      </c>
      <c r="E207" s="10" t="s">
        <v>415</v>
      </c>
      <c r="F207" s="10" t="s">
        <v>265</v>
      </c>
      <c r="G207" s="10" t="s">
        <v>266</v>
      </c>
      <c r="H207" s="11" t="str">
        <f>IF(AND(B207="",C207=""),"CUSTOM BLANK",IF(OR(B207="",C207=""),"ERROR - ENTER BOTH",IF(OR(B207&lt;=0,C207&lt;=0),"ERROR - NONPOSITIVE",IF(OR(B207&lt;L207,C207&lt;L207),"ERROR - BELOW MIN",IF(OR(AND(B207&lt;=J207,C207&lt;=K207),AND(B207&lt;=K207,C207&lt;=J207)),"VALID - CUSTOM","ERROR - EXCEEDS BASE")))))</f>
        <v>CUSTOM BLANK</v>
      </c>
      <c r="I207" s="10" t="s">
        <v>267</v>
      </c>
      <c r="J207" s="12">
        <f>'05-ISO Reference'!$B$7</f>
        <v>420</v>
      </c>
      <c r="K207" s="12">
        <f>'05-ISO Reference'!$C$7</f>
        <v>594</v>
      </c>
      <c r="L207" s="12">
        <f>'01-Process Controls'!$G$5</f>
        <v>3</v>
      </c>
      <c r="M207" s="8"/>
      <c r="N207" s="8"/>
    </row>
    <row r="208" spans="1:15" ht="21" customHeight="1">
      <c r="A208" s="9" t="s">
        <v>423</v>
      </c>
      <c r="B208" s="48"/>
      <c r="C208" s="48"/>
      <c r="D208" s="10" t="s">
        <v>263</v>
      </c>
      <c r="E208" s="10" t="s">
        <v>415</v>
      </c>
      <c r="F208" s="10" t="s">
        <v>265</v>
      </c>
      <c r="G208" s="10" t="s">
        <v>266</v>
      </c>
      <c r="H208" s="11" t="str">
        <f>IF(AND(B208="",C208=""),"CUSTOM BLANK",IF(OR(B208="",C208=""),"ERROR - ENTER BOTH",IF(OR(B208&lt;=0,C208&lt;=0),"ERROR - NONPOSITIVE",IF(OR(B208&lt;L208,C208&lt;L208),"ERROR - BELOW MIN",IF(OR(AND(B208&lt;=J208,C208&lt;=K208),AND(B208&lt;=K208,C208&lt;=J208)),"VALID - CUSTOM","ERROR - EXCEEDS BASE")))))</f>
        <v>CUSTOM BLANK</v>
      </c>
      <c r="I208" s="10" t="s">
        <v>267</v>
      </c>
      <c r="J208" s="12">
        <f>'05-ISO Reference'!$B$7</f>
        <v>420</v>
      </c>
      <c r="K208" s="12">
        <f>'05-ISO Reference'!$C$7</f>
        <v>594</v>
      </c>
      <c r="L208" s="12">
        <f>'01-Process Controls'!$G$5</f>
        <v>3</v>
      </c>
      <c r="M208" s="8"/>
      <c r="N208" s="8"/>
    </row>
    <row r="209" spans="1:15" ht="21" customHeight="1">
      <c r="A209" s="9" t="s">
        <v>424</v>
      </c>
      <c r="B209" s="48"/>
      <c r="C209" s="48"/>
      <c r="D209" s="10" t="s">
        <v>263</v>
      </c>
      <c r="E209" s="10" t="s">
        <v>415</v>
      </c>
      <c r="F209" s="10" t="s">
        <v>265</v>
      </c>
      <c r="G209" s="10" t="s">
        <v>266</v>
      </c>
      <c r="H209" s="11" t="str">
        <f>IF(AND(B209="",C209=""),"CUSTOM BLANK",IF(OR(B209="",C209=""),"ERROR - ENTER BOTH",IF(OR(B209&lt;=0,C209&lt;=0),"ERROR - NONPOSITIVE",IF(OR(B209&lt;L209,C209&lt;L209),"ERROR - BELOW MIN",IF(OR(AND(B209&lt;=J209,C209&lt;=K209),AND(B209&lt;=K209,C209&lt;=J209)),"VALID - CUSTOM","ERROR - EXCEEDS BASE")))))</f>
        <v>CUSTOM BLANK</v>
      </c>
      <c r="I209" s="10" t="s">
        <v>267</v>
      </c>
      <c r="J209" s="12">
        <f>'05-ISO Reference'!$B$7</f>
        <v>420</v>
      </c>
      <c r="K209" s="12">
        <f>'05-ISO Reference'!$C$7</f>
        <v>594</v>
      </c>
      <c r="L209" s="12">
        <f>'01-Process Controls'!$G$5</f>
        <v>3</v>
      </c>
      <c r="M209" s="8"/>
      <c r="N209" s="8"/>
    </row>
    <row r="210" spans="1:15" ht="21" customHeight="1">
      <c r="A210" s="9" t="s">
        <v>425</v>
      </c>
      <c r="B210" s="48"/>
      <c r="C210" s="48"/>
      <c r="D210" s="10" t="s">
        <v>263</v>
      </c>
      <c r="E210" s="10" t="s">
        <v>415</v>
      </c>
      <c r="F210" s="10" t="s">
        <v>265</v>
      </c>
      <c r="G210" s="10" t="s">
        <v>266</v>
      </c>
      <c r="H210" s="11" t="str">
        <f>IF(AND(B210="",C210=""),"CUSTOM BLANK",IF(OR(B210="",C210=""),"ERROR - ENTER BOTH",IF(OR(B210&lt;=0,C210&lt;=0),"ERROR - NONPOSITIVE",IF(OR(B210&lt;L210,C210&lt;L210),"ERROR - BELOW MIN",IF(OR(AND(B210&lt;=J210,C210&lt;=K210),AND(B210&lt;=K210,C210&lt;=J210)),"VALID - CUSTOM","ERROR - EXCEEDS BASE")))))</f>
        <v>CUSTOM BLANK</v>
      </c>
      <c r="I210" s="10" t="s">
        <v>267</v>
      </c>
      <c r="J210" s="12">
        <f>'05-ISO Reference'!$B$7</f>
        <v>420</v>
      </c>
      <c r="K210" s="12">
        <f>'05-ISO Reference'!$C$7</f>
        <v>594</v>
      </c>
      <c r="L210" s="12">
        <f>'01-Process Controls'!$G$5</f>
        <v>3</v>
      </c>
      <c r="M210" s="8"/>
      <c r="N210" s="8"/>
    </row>
    <row r="211" spans="1:15" ht="21" customHeight="1">
      <c r="A211" s="9" t="s">
        <v>426</v>
      </c>
      <c r="B211" s="48"/>
      <c r="C211" s="48"/>
      <c r="D211" s="10" t="s">
        <v>263</v>
      </c>
      <c r="E211" s="10" t="s">
        <v>415</v>
      </c>
      <c r="F211" s="10" t="s">
        <v>265</v>
      </c>
      <c r="G211" s="10" t="s">
        <v>266</v>
      </c>
      <c r="H211" s="11" t="str">
        <f>IF(AND(B211="",C211=""),"CUSTOM BLANK",IF(OR(B211="",C211=""),"ERROR - ENTER BOTH",IF(OR(B211&lt;=0,C211&lt;=0),"ERROR - NONPOSITIVE",IF(OR(B211&lt;L211,C211&lt;L211),"ERROR - BELOW MIN",IF(OR(AND(B211&lt;=J211,C211&lt;=K211),AND(B211&lt;=K211,C211&lt;=J211)),"VALID - CUSTOM","ERROR - EXCEEDS BASE")))))</f>
        <v>CUSTOM BLANK</v>
      </c>
      <c r="I211" s="10" t="s">
        <v>267</v>
      </c>
      <c r="J211" s="12">
        <f>'05-ISO Reference'!$B$7</f>
        <v>420</v>
      </c>
      <c r="K211" s="12">
        <f>'05-ISO Reference'!$C$7</f>
        <v>594</v>
      </c>
      <c r="L211" s="12">
        <f>'01-Process Controls'!$G$5</f>
        <v>3</v>
      </c>
      <c r="M211" s="8"/>
      <c r="N211" s="8"/>
    </row>
    <row r="212" spans="1:15" ht="21" customHeight="1">
      <c r="A212" s="9" t="s">
        <v>427</v>
      </c>
      <c r="B212" s="48"/>
      <c r="C212" s="48"/>
      <c r="D212" s="10" t="s">
        <v>263</v>
      </c>
      <c r="E212" s="10" t="s">
        <v>415</v>
      </c>
      <c r="F212" s="10" t="s">
        <v>265</v>
      </c>
      <c r="G212" s="10" t="s">
        <v>266</v>
      </c>
      <c r="H212" s="11" t="str">
        <f>IF(AND(B212="",C212=""),"CUSTOM BLANK",IF(OR(B212="",C212=""),"ERROR - ENTER BOTH",IF(OR(B212&lt;=0,C212&lt;=0),"ERROR - NONPOSITIVE",IF(OR(B212&lt;L212,C212&lt;L212),"ERROR - BELOW MIN",IF(OR(AND(B212&lt;=J212,C212&lt;=K212),AND(B212&lt;=K212,C212&lt;=J212)),"VALID - CUSTOM","ERROR - EXCEEDS BASE")))))</f>
        <v>CUSTOM BLANK</v>
      </c>
      <c r="I212" s="10" t="s">
        <v>267</v>
      </c>
      <c r="J212" s="12">
        <f>'05-ISO Reference'!$B$7</f>
        <v>420</v>
      </c>
      <c r="K212" s="12">
        <f>'05-ISO Reference'!$C$7</f>
        <v>594</v>
      </c>
      <c r="L212" s="12">
        <f>'01-Process Controls'!$G$5</f>
        <v>3</v>
      </c>
      <c r="M212" s="8"/>
      <c r="N212" s="8"/>
    </row>
    <row r="213" spans="1:15" ht="21" customHeight="1">
      <c r="A213" s="9" t="s">
        <v>428</v>
      </c>
      <c r="B213" s="48"/>
      <c r="C213" s="48"/>
      <c r="D213" s="10" t="s">
        <v>263</v>
      </c>
      <c r="E213" s="10" t="s">
        <v>415</v>
      </c>
      <c r="F213" s="10" t="s">
        <v>265</v>
      </c>
      <c r="G213" s="10" t="s">
        <v>266</v>
      </c>
      <c r="H213" s="11" t="str">
        <f>IF(AND(B213="",C213=""),"CUSTOM BLANK",IF(OR(B213="",C213=""),"ERROR - ENTER BOTH",IF(OR(B213&lt;=0,C213&lt;=0),"ERROR - NONPOSITIVE",IF(OR(B213&lt;L213,C213&lt;L213),"ERROR - BELOW MIN",IF(OR(AND(B213&lt;=J213,C213&lt;=K213),AND(B213&lt;=K213,C213&lt;=J213)),"VALID - CUSTOM","ERROR - EXCEEDS BASE")))))</f>
        <v>CUSTOM BLANK</v>
      </c>
      <c r="I213" s="10" t="s">
        <v>267</v>
      </c>
      <c r="J213" s="12">
        <f>'05-ISO Reference'!$B$7</f>
        <v>420</v>
      </c>
      <c r="K213" s="12">
        <f>'05-ISO Reference'!$C$7</f>
        <v>594</v>
      </c>
      <c r="L213" s="12">
        <f>'01-Process Controls'!$G$5</f>
        <v>3</v>
      </c>
      <c r="M213" s="8"/>
      <c r="N213" s="8"/>
    </row>
    <row r="214" spans="1:15" ht="21" customHeight="1">
      <c r="A214" s="9" t="s">
        <v>429</v>
      </c>
      <c r="B214" s="48"/>
      <c r="C214" s="48"/>
      <c r="D214" s="10" t="s">
        <v>263</v>
      </c>
      <c r="E214" s="10" t="s">
        <v>415</v>
      </c>
      <c r="F214" s="10" t="s">
        <v>265</v>
      </c>
      <c r="G214" s="10" t="s">
        <v>266</v>
      </c>
      <c r="H214" s="11" t="str">
        <f>IF(AND(B214="",C214=""),"CUSTOM BLANK",IF(OR(B214="",C214=""),"ERROR - ENTER BOTH",IF(OR(B214&lt;=0,C214&lt;=0),"ERROR - NONPOSITIVE",IF(OR(B214&lt;L214,C214&lt;L214),"ERROR - BELOW MIN",IF(OR(AND(B214&lt;=J214,C214&lt;=K214),AND(B214&lt;=K214,C214&lt;=J214)),"VALID - CUSTOM","ERROR - EXCEEDS BASE")))))</f>
        <v>CUSTOM BLANK</v>
      </c>
      <c r="I214" s="10" t="s">
        <v>267</v>
      </c>
      <c r="J214" s="12">
        <f>'05-ISO Reference'!$B$7</f>
        <v>420</v>
      </c>
      <c r="K214" s="12">
        <f>'05-ISO Reference'!$C$7</f>
        <v>594</v>
      </c>
      <c r="L214" s="12">
        <f>'01-Process Controls'!$G$5</f>
        <v>3</v>
      </c>
      <c r="M214" s="8"/>
      <c r="N214" s="8"/>
    </row>
    <row r="215" spans="1:15" ht="21" customHeight="1">
      <c r="A215" s="44" t="s">
        <v>430</v>
      </c>
      <c r="B215" s="45">
        <f>IF(LEFT(H215,5)="VALID",M215,"")</f>
        <v>297</v>
      </c>
      <c r="C215" s="45">
        <f>IF(LEFT(H215,5)="VALID",N215,"")</f>
        <v>420</v>
      </c>
      <c r="D215" s="46" t="s">
        <v>82</v>
      </c>
      <c r="E215" s="46" t="s">
        <v>431</v>
      </c>
      <c r="F215" s="46" t="s">
        <v>122</v>
      </c>
      <c r="G215" s="46" t="s">
        <v>123</v>
      </c>
      <c r="H215" s="47" t="str">
        <f>"VALID - BASE"</f>
        <v>VALID - BASE</v>
      </c>
      <c r="I215" s="46" t="s">
        <v>432</v>
      </c>
      <c r="J215" s="12">
        <f>'05-ISO Reference'!$B$8</f>
        <v>297</v>
      </c>
      <c r="K215" s="12">
        <f>'05-ISO Reference'!$C$8</f>
        <v>420</v>
      </c>
      <c r="L215" s="12">
        <f>'01-Process Controls'!$G$5</f>
        <v>3</v>
      </c>
      <c r="M215" s="12">
        <f>ROUNDDOWN(J215,0)</f>
        <v>297</v>
      </c>
      <c r="N215" s="12">
        <f>ROUNDDOWN(K215,0)</f>
        <v>420</v>
      </c>
      <c r="O215" s="9">
        <v>0</v>
      </c>
    </row>
    <row r="216" spans="1:15" ht="21" customHeight="1">
      <c r="A216" s="9" t="s">
        <v>433</v>
      </c>
      <c r="B216" s="12">
        <f>IF(LEFT(H216,5)="VALID",M216,"")</f>
        <v>148</v>
      </c>
      <c r="C216" s="12">
        <f>IF(LEFT(H216,5)="VALID",N216,"")</f>
        <v>420</v>
      </c>
      <c r="D216" s="10" t="s">
        <v>82</v>
      </c>
      <c r="E216" s="10" t="s">
        <v>431</v>
      </c>
      <c r="F216" s="10" t="s">
        <v>126</v>
      </c>
      <c r="G216" s="10" t="s">
        <v>127</v>
      </c>
      <c r="H216" s="11" t="str">
        <f>IF(OR(M216&lt;=0,N216&lt;=0),"SKIPPED - NONPOSITIVE",IF(OR(M216&lt;L216,N216&lt;L216),"SKIPPED - BELOW MIN",IF(OR(M216&gt;J216,N216&gt;K216),"SKIPPED - EXCEEDS BASE",IF(COUNTIFS($M$215:M215,M216,$N$215:N215,N216)&gt;0,"SKIPPED - DUPLICATE","VALID - GENERATED"))))</f>
        <v>VALID - GENERATED</v>
      </c>
      <c r="I216" s="10" t="s">
        <v>432</v>
      </c>
      <c r="J216" s="12">
        <f>'05-ISO Reference'!$B$8</f>
        <v>297</v>
      </c>
      <c r="K216" s="12">
        <f>'05-ISO Reference'!$C$8</f>
        <v>420</v>
      </c>
      <c r="L216" s="12">
        <f>'01-Process Controls'!$G$5</f>
        <v>3</v>
      </c>
      <c r="M216" s="12">
        <f>ROUNDDOWN(J216*'04-Variant Rules'!$D$6,0)</f>
        <v>148</v>
      </c>
      <c r="N216" s="12">
        <f>ROUNDDOWN(K216,0)</f>
        <v>420</v>
      </c>
      <c r="O216" s="9">
        <v>1</v>
      </c>
    </row>
    <row r="217" spans="1:15" ht="21" customHeight="1">
      <c r="A217" s="9" t="s">
        <v>434</v>
      </c>
      <c r="B217" s="12">
        <f>IF(LEFT(H217,5)="VALID",M217,"")</f>
        <v>99</v>
      </c>
      <c r="C217" s="12">
        <f>IF(LEFT(H217,5)="VALID",N217,"")</f>
        <v>420</v>
      </c>
      <c r="D217" s="10" t="s">
        <v>82</v>
      </c>
      <c r="E217" s="10" t="s">
        <v>431</v>
      </c>
      <c r="F217" s="10" t="s">
        <v>129</v>
      </c>
      <c r="G217" s="10" t="s">
        <v>130</v>
      </c>
      <c r="H217" s="11" t="str">
        <f>IF(OR(M217&lt;=0,N217&lt;=0),"SKIPPED - NONPOSITIVE",IF(OR(M217&lt;L217,N217&lt;L217),"SKIPPED - BELOW MIN",IF(OR(M217&gt;J217,N217&gt;K217),"SKIPPED - EXCEEDS BASE",IF(COUNTIFS($M$215:M216,M217,$N$215:N216,N217)&gt;0,"SKIPPED - DUPLICATE","VALID - GENERATED"))))</f>
        <v>VALID - GENERATED</v>
      </c>
      <c r="I217" s="10" t="s">
        <v>432</v>
      </c>
      <c r="J217" s="12">
        <f>'05-ISO Reference'!$B$8</f>
        <v>297</v>
      </c>
      <c r="K217" s="12">
        <f>'05-ISO Reference'!$C$8</f>
        <v>420</v>
      </c>
      <c r="L217" s="12">
        <f>'01-Process Controls'!$G$5</f>
        <v>3</v>
      </c>
      <c r="M217" s="12">
        <f>ROUNDDOWN(J217*'04-Variant Rules'!$D$7,0)</f>
        <v>99</v>
      </c>
      <c r="N217" s="12">
        <f>ROUNDDOWN(K217,0)</f>
        <v>420</v>
      </c>
      <c r="O217" s="9">
        <v>2</v>
      </c>
    </row>
    <row r="218" spans="1:15" ht="21" customHeight="1">
      <c r="A218" s="9" t="s">
        <v>435</v>
      </c>
      <c r="B218" s="12">
        <f>IF(LEFT(H218,5)="VALID",M218,"")</f>
        <v>74</v>
      </c>
      <c r="C218" s="12">
        <f>IF(LEFT(H218,5)="VALID",N218,"")</f>
        <v>420</v>
      </c>
      <c r="D218" s="10" t="s">
        <v>82</v>
      </c>
      <c r="E218" s="10" t="s">
        <v>431</v>
      </c>
      <c r="F218" s="10" t="s">
        <v>132</v>
      </c>
      <c r="G218" s="10" t="s">
        <v>133</v>
      </c>
      <c r="H218" s="11" t="str">
        <f>IF(OR(M218&lt;=0,N218&lt;=0),"SKIPPED - NONPOSITIVE",IF(OR(M218&lt;L218,N218&lt;L218),"SKIPPED - BELOW MIN",IF(OR(M218&gt;J218,N218&gt;K218),"SKIPPED - EXCEEDS BASE",IF(COUNTIFS($M$215:M217,M218,$N$215:N217,N218)&gt;0,"SKIPPED - DUPLICATE","VALID - GENERATED"))))</f>
        <v>VALID - GENERATED</v>
      </c>
      <c r="I218" s="10" t="s">
        <v>432</v>
      </c>
      <c r="J218" s="12">
        <f>'05-ISO Reference'!$B$8</f>
        <v>297</v>
      </c>
      <c r="K218" s="12">
        <f>'05-ISO Reference'!$C$8</f>
        <v>420</v>
      </c>
      <c r="L218" s="12">
        <f>'01-Process Controls'!$G$5</f>
        <v>3</v>
      </c>
      <c r="M218" s="12">
        <f>ROUNDDOWN(J218*'04-Variant Rules'!$D$8,0)</f>
        <v>74</v>
      </c>
      <c r="N218" s="12">
        <f>ROUNDDOWN(K218,0)</f>
        <v>420</v>
      </c>
      <c r="O218" s="9">
        <v>3</v>
      </c>
    </row>
    <row r="219" spans="1:15" ht="21" customHeight="1">
      <c r="A219" s="9" t="s">
        <v>436</v>
      </c>
      <c r="B219" s="12">
        <f>IF(LEFT(H219,5)="VALID",M219,"")</f>
        <v>198</v>
      </c>
      <c r="C219" s="12">
        <f>IF(LEFT(H219,5)="VALID",N219,"")</f>
        <v>420</v>
      </c>
      <c r="D219" s="10" t="s">
        <v>82</v>
      </c>
      <c r="E219" s="10" t="s">
        <v>431</v>
      </c>
      <c r="F219" s="10" t="s">
        <v>135</v>
      </c>
      <c r="G219" s="10" t="s">
        <v>136</v>
      </c>
      <c r="H219" s="11" t="str">
        <f>IF(OR(M219&lt;=0,N219&lt;=0),"SKIPPED - NONPOSITIVE",IF(OR(M219&lt;L219,N219&lt;L219),"SKIPPED - BELOW MIN",IF(OR(M219&gt;J219,N219&gt;K219),"SKIPPED - EXCEEDS BASE",IF(COUNTIFS($M$215:M218,M219,$N$215:N218,N219)&gt;0,"SKIPPED - DUPLICATE","VALID - GENERATED"))))</f>
        <v>VALID - GENERATED</v>
      </c>
      <c r="I219" s="10" t="s">
        <v>432</v>
      </c>
      <c r="J219" s="12">
        <f>'05-ISO Reference'!$B$8</f>
        <v>297</v>
      </c>
      <c r="K219" s="12">
        <f>'05-ISO Reference'!$C$8</f>
        <v>420</v>
      </c>
      <c r="L219" s="12">
        <f>'01-Process Controls'!$G$5</f>
        <v>3</v>
      </c>
      <c r="M219" s="12">
        <f>ROUNDDOWN(J219*'04-Variant Rules'!$D$9,0)</f>
        <v>198</v>
      </c>
      <c r="N219" s="12">
        <f>ROUNDDOWN(K219,0)</f>
        <v>420</v>
      </c>
      <c r="O219" s="9">
        <v>4</v>
      </c>
    </row>
    <row r="220" spans="1:15" ht="21" customHeight="1">
      <c r="A220" s="9" t="s">
        <v>437</v>
      </c>
      <c r="B220" s="12">
        <f>IF(LEFT(H220,5)="VALID",M220,"")</f>
        <v>222</v>
      </c>
      <c r="C220" s="12">
        <f>IF(LEFT(H220,5)="VALID",N220,"")</f>
        <v>420</v>
      </c>
      <c r="D220" s="10" t="s">
        <v>82</v>
      </c>
      <c r="E220" s="10" t="s">
        <v>431</v>
      </c>
      <c r="F220" s="10" t="s">
        <v>138</v>
      </c>
      <c r="G220" s="10" t="s">
        <v>139</v>
      </c>
      <c r="H220" s="11" t="str">
        <f>IF(OR(M220&lt;=0,N220&lt;=0),"SKIPPED - NONPOSITIVE",IF(OR(M220&lt;L220,N220&lt;L220),"SKIPPED - BELOW MIN",IF(OR(M220&gt;J220,N220&gt;K220),"SKIPPED - EXCEEDS BASE",IF(COUNTIFS($M$215:M219,M220,$N$215:N219,N220)&gt;0,"SKIPPED - DUPLICATE","VALID - GENERATED"))))</f>
        <v>VALID - GENERATED</v>
      </c>
      <c r="I220" s="10" t="s">
        <v>432</v>
      </c>
      <c r="J220" s="12">
        <f>'05-ISO Reference'!$B$8</f>
        <v>297</v>
      </c>
      <c r="K220" s="12">
        <f>'05-ISO Reference'!$C$8</f>
        <v>420</v>
      </c>
      <c r="L220" s="12">
        <f>'01-Process Controls'!$G$5</f>
        <v>3</v>
      </c>
      <c r="M220" s="12">
        <f>ROUNDDOWN(J220*'04-Variant Rules'!$D$10,0)</f>
        <v>222</v>
      </c>
      <c r="N220" s="12">
        <f>ROUNDDOWN(K220,0)</f>
        <v>420</v>
      </c>
      <c r="O220" s="9">
        <v>5</v>
      </c>
    </row>
    <row r="221" spans="1:15" ht="21" customHeight="1">
      <c r="A221" s="9" t="s">
        <v>438</v>
      </c>
      <c r="B221" s="12">
        <f>IF(LEFT(H221,5)="VALID",M221,"")</f>
        <v>297</v>
      </c>
      <c r="C221" s="12">
        <f>IF(LEFT(H221,5)="VALID",N221,"")</f>
        <v>210</v>
      </c>
      <c r="D221" s="10" t="s">
        <v>82</v>
      </c>
      <c r="E221" s="10" t="s">
        <v>431</v>
      </c>
      <c r="F221" s="10" t="s">
        <v>141</v>
      </c>
      <c r="G221" s="10" t="s">
        <v>142</v>
      </c>
      <c r="H221" s="11" t="str">
        <f>IF(OR(M221&lt;=0,N221&lt;=0),"SKIPPED - NONPOSITIVE",IF(OR(M221&lt;L221,N221&lt;L221),"SKIPPED - BELOW MIN",IF(OR(M221&gt;J221,N221&gt;K221),"SKIPPED - EXCEEDS BASE",IF(COUNTIFS($M$215:M220,M221,$N$215:N220,N221)&gt;0,"SKIPPED - DUPLICATE","VALID - GENERATED"))))</f>
        <v>VALID - GENERATED</v>
      </c>
      <c r="I221" s="10" t="s">
        <v>432</v>
      </c>
      <c r="J221" s="12">
        <f>'05-ISO Reference'!$B$8</f>
        <v>297</v>
      </c>
      <c r="K221" s="12">
        <f>'05-ISO Reference'!$C$8</f>
        <v>420</v>
      </c>
      <c r="L221" s="12">
        <f>'01-Process Controls'!$G$5</f>
        <v>3</v>
      </c>
      <c r="M221" s="12">
        <f>ROUNDDOWN(J221,0)</f>
        <v>297</v>
      </c>
      <c r="N221" s="12">
        <f>ROUNDDOWN(K221*'04-Variant Rules'!$D$11,0)</f>
        <v>210</v>
      </c>
      <c r="O221" s="9">
        <v>6</v>
      </c>
    </row>
    <row r="222" spans="1:15" ht="21" customHeight="1">
      <c r="A222" s="9" t="s">
        <v>439</v>
      </c>
      <c r="B222" s="12">
        <f>IF(LEFT(H222,5)="VALID",M222,"")</f>
        <v>297</v>
      </c>
      <c r="C222" s="12">
        <f>IF(LEFT(H222,5)="VALID",N222,"")</f>
        <v>140</v>
      </c>
      <c r="D222" s="10" t="s">
        <v>82</v>
      </c>
      <c r="E222" s="10" t="s">
        <v>431</v>
      </c>
      <c r="F222" s="10" t="s">
        <v>144</v>
      </c>
      <c r="G222" s="10" t="s">
        <v>145</v>
      </c>
      <c r="H222" s="11" t="str">
        <f>IF(OR(M222&lt;=0,N222&lt;=0),"SKIPPED - NONPOSITIVE",IF(OR(M222&lt;L222,N222&lt;L222),"SKIPPED - BELOW MIN",IF(OR(M222&gt;J222,N222&gt;K222),"SKIPPED - EXCEEDS BASE",IF(COUNTIFS($M$215:M221,M222,$N$215:N221,N222)&gt;0,"SKIPPED - DUPLICATE","VALID - GENERATED"))))</f>
        <v>VALID - GENERATED</v>
      </c>
      <c r="I222" s="10" t="s">
        <v>432</v>
      </c>
      <c r="J222" s="12">
        <f>'05-ISO Reference'!$B$8</f>
        <v>297</v>
      </c>
      <c r="K222" s="12">
        <f>'05-ISO Reference'!$C$8</f>
        <v>420</v>
      </c>
      <c r="L222" s="12">
        <f>'01-Process Controls'!$G$5</f>
        <v>3</v>
      </c>
      <c r="M222" s="12">
        <f>ROUNDDOWN(J222,0)</f>
        <v>297</v>
      </c>
      <c r="N222" s="12">
        <f>ROUNDDOWN(K222*'04-Variant Rules'!$D$12,0)</f>
        <v>140</v>
      </c>
      <c r="O222" s="9">
        <v>7</v>
      </c>
    </row>
    <row r="223" spans="1:15" ht="21" customHeight="1">
      <c r="A223" s="9" t="s">
        <v>440</v>
      </c>
      <c r="B223" s="12">
        <f>IF(LEFT(H223,5)="VALID",M223,"")</f>
        <v>297</v>
      </c>
      <c r="C223" s="12">
        <f>IF(LEFT(H223,5)="VALID",N223,"")</f>
        <v>105</v>
      </c>
      <c r="D223" s="10" t="s">
        <v>82</v>
      </c>
      <c r="E223" s="10" t="s">
        <v>431</v>
      </c>
      <c r="F223" s="10" t="s">
        <v>147</v>
      </c>
      <c r="G223" s="10" t="s">
        <v>148</v>
      </c>
      <c r="H223" s="11" t="str">
        <f>IF(OR(M223&lt;=0,N223&lt;=0),"SKIPPED - NONPOSITIVE",IF(OR(M223&lt;L223,N223&lt;L223),"SKIPPED - BELOW MIN",IF(OR(M223&gt;J223,N223&gt;K223),"SKIPPED - EXCEEDS BASE",IF(COUNTIFS($M$215:M222,M223,$N$215:N222,N223)&gt;0,"SKIPPED - DUPLICATE","VALID - GENERATED"))))</f>
        <v>VALID - GENERATED</v>
      </c>
      <c r="I223" s="10" t="s">
        <v>432</v>
      </c>
      <c r="J223" s="12">
        <f>'05-ISO Reference'!$B$8</f>
        <v>297</v>
      </c>
      <c r="K223" s="12">
        <f>'05-ISO Reference'!$C$8</f>
        <v>420</v>
      </c>
      <c r="L223" s="12">
        <f>'01-Process Controls'!$G$5</f>
        <v>3</v>
      </c>
      <c r="M223" s="12">
        <f>ROUNDDOWN(J223,0)</f>
        <v>297</v>
      </c>
      <c r="N223" s="12">
        <f>ROUNDDOWN(K223*'04-Variant Rules'!$D$13,0)</f>
        <v>105</v>
      </c>
      <c r="O223" s="9">
        <v>8</v>
      </c>
    </row>
    <row r="224" spans="1:15" ht="21" customHeight="1">
      <c r="A224" s="9" t="s">
        <v>441</v>
      </c>
      <c r="B224" s="12">
        <f>IF(LEFT(H224,5)="VALID",M224,"")</f>
        <v>297</v>
      </c>
      <c r="C224" s="12">
        <f>IF(LEFT(H224,5)="VALID",N224,"")</f>
        <v>280</v>
      </c>
      <c r="D224" s="10" t="s">
        <v>82</v>
      </c>
      <c r="E224" s="10" t="s">
        <v>431</v>
      </c>
      <c r="F224" s="10" t="s">
        <v>150</v>
      </c>
      <c r="G224" s="10" t="s">
        <v>151</v>
      </c>
      <c r="H224" s="11" t="str">
        <f>IF(OR(M224&lt;=0,N224&lt;=0),"SKIPPED - NONPOSITIVE",IF(OR(M224&lt;L224,N224&lt;L224),"SKIPPED - BELOW MIN",IF(OR(M224&gt;J224,N224&gt;K224),"SKIPPED - EXCEEDS BASE",IF(COUNTIFS($M$215:M223,M224,$N$215:N223,N224)&gt;0,"SKIPPED - DUPLICATE","VALID - GENERATED"))))</f>
        <v>VALID - GENERATED</v>
      </c>
      <c r="I224" s="10" t="s">
        <v>432</v>
      </c>
      <c r="J224" s="12">
        <f>'05-ISO Reference'!$B$8</f>
        <v>297</v>
      </c>
      <c r="K224" s="12">
        <f>'05-ISO Reference'!$C$8</f>
        <v>420</v>
      </c>
      <c r="L224" s="12">
        <f>'01-Process Controls'!$G$5</f>
        <v>3</v>
      </c>
      <c r="M224" s="12">
        <f>ROUNDDOWN(J224,0)</f>
        <v>297</v>
      </c>
      <c r="N224" s="12">
        <f>ROUNDDOWN(K224*'04-Variant Rules'!$D$14,0)</f>
        <v>280</v>
      </c>
      <c r="O224" s="9">
        <v>9</v>
      </c>
    </row>
    <row r="225" spans="1:15" ht="21" customHeight="1">
      <c r="A225" s="9" t="s">
        <v>442</v>
      </c>
      <c r="B225" s="12">
        <f>IF(LEFT(H225,5)="VALID",M225,"")</f>
        <v>297</v>
      </c>
      <c r="C225" s="12">
        <f>IF(LEFT(H225,5)="VALID",N225,"")</f>
        <v>315</v>
      </c>
      <c r="D225" s="10" t="s">
        <v>82</v>
      </c>
      <c r="E225" s="10" t="s">
        <v>431</v>
      </c>
      <c r="F225" s="10" t="s">
        <v>153</v>
      </c>
      <c r="G225" s="10" t="s">
        <v>154</v>
      </c>
      <c r="H225" s="11" t="str">
        <f>IF(OR(M225&lt;=0,N225&lt;=0),"SKIPPED - NONPOSITIVE",IF(OR(M225&lt;L225,N225&lt;L225),"SKIPPED - BELOW MIN",IF(OR(M225&gt;J225,N225&gt;K225),"SKIPPED - EXCEEDS BASE",IF(COUNTIFS($M$215:M224,M225,$N$215:N224,N225)&gt;0,"SKIPPED - DUPLICATE","VALID - GENERATED"))))</f>
        <v>VALID - GENERATED</v>
      </c>
      <c r="I225" s="10" t="s">
        <v>432</v>
      </c>
      <c r="J225" s="12">
        <f>'05-ISO Reference'!$B$8</f>
        <v>297</v>
      </c>
      <c r="K225" s="12">
        <f>'05-ISO Reference'!$C$8</f>
        <v>420</v>
      </c>
      <c r="L225" s="12">
        <f>'01-Process Controls'!$G$5</f>
        <v>3</v>
      </c>
      <c r="M225" s="12">
        <f>ROUNDDOWN(J225,0)</f>
        <v>297</v>
      </c>
      <c r="N225" s="12">
        <f>ROUNDDOWN(K225*'04-Variant Rules'!$D$15,0)</f>
        <v>315</v>
      </c>
      <c r="O225" s="9">
        <v>10</v>
      </c>
    </row>
    <row r="226" spans="1:15" ht="21" customHeight="1">
      <c r="A226" s="9" t="s">
        <v>443</v>
      </c>
      <c r="B226" s="12">
        <f>IF(LEFT(H226,5)="VALID",M226,"")</f>
        <v>148</v>
      </c>
      <c r="C226" s="12">
        <f>IF(LEFT(H226,5)="VALID",N226,"")</f>
        <v>210</v>
      </c>
      <c r="D226" s="10" t="s">
        <v>82</v>
      </c>
      <c r="E226" s="10" t="s">
        <v>431</v>
      </c>
      <c r="F226" s="10" t="s">
        <v>156</v>
      </c>
      <c r="G226" s="10" t="s">
        <v>157</v>
      </c>
      <c r="H226" s="11" t="str">
        <f>IF(OR(M226&lt;=0,N226&lt;=0),"SKIPPED - NONPOSITIVE",IF(OR(M226&lt;L226,N226&lt;L226),"SKIPPED - BELOW MIN",IF(OR(M226&gt;J226,N226&gt;K226),"SKIPPED - EXCEEDS BASE",IF(COUNTIFS($M$215:M225,M226,$N$215:N225,N226)&gt;0,"SKIPPED - DUPLICATE","VALID - GENERATED"))))</f>
        <v>VALID - GENERATED</v>
      </c>
      <c r="I226" s="10" t="s">
        <v>432</v>
      </c>
      <c r="J226" s="12">
        <f>'05-ISO Reference'!$B$8</f>
        <v>297</v>
      </c>
      <c r="K226" s="12">
        <f>'05-ISO Reference'!$C$8</f>
        <v>420</v>
      </c>
      <c r="L226" s="12">
        <f>'01-Process Controls'!$G$5</f>
        <v>3</v>
      </c>
      <c r="M226" s="12">
        <f>ROUNDDOWN(J226*'04-Variant Rules'!$D$16,0)</f>
        <v>148</v>
      </c>
      <c r="N226" s="12">
        <f>ROUNDDOWN(K226*'04-Variant Rules'!$E$16,0)</f>
        <v>210</v>
      </c>
      <c r="O226" s="9">
        <v>11</v>
      </c>
    </row>
    <row r="227" spans="1:15" ht="21" customHeight="1">
      <c r="A227" s="9" t="s">
        <v>444</v>
      </c>
      <c r="B227" s="12">
        <f>IF(LEFT(H227,5)="VALID",M227,"")</f>
        <v>99</v>
      </c>
      <c r="C227" s="12">
        <f>IF(LEFT(H227,5)="VALID",N227,"")</f>
        <v>140</v>
      </c>
      <c r="D227" s="10" t="s">
        <v>82</v>
      </c>
      <c r="E227" s="10" t="s">
        <v>431</v>
      </c>
      <c r="F227" s="10" t="s">
        <v>159</v>
      </c>
      <c r="G227" s="10" t="s">
        <v>160</v>
      </c>
      <c r="H227" s="11" t="str">
        <f>IF(OR(M227&lt;=0,N227&lt;=0),"SKIPPED - NONPOSITIVE",IF(OR(M227&lt;L227,N227&lt;L227),"SKIPPED - BELOW MIN",IF(OR(M227&gt;J227,N227&gt;K227),"SKIPPED - EXCEEDS BASE",IF(COUNTIFS($M$215:M226,M227,$N$215:N226,N227)&gt;0,"SKIPPED - DUPLICATE","VALID - GENERATED"))))</f>
        <v>VALID - GENERATED</v>
      </c>
      <c r="I227" s="10" t="s">
        <v>432</v>
      </c>
      <c r="J227" s="12">
        <f>'05-ISO Reference'!$B$8</f>
        <v>297</v>
      </c>
      <c r="K227" s="12">
        <f>'05-ISO Reference'!$C$8</f>
        <v>420</v>
      </c>
      <c r="L227" s="12">
        <f>'01-Process Controls'!$G$5</f>
        <v>3</v>
      </c>
      <c r="M227" s="12">
        <f>ROUNDDOWN(J227*'04-Variant Rules'!$D$17,0)</f>
        <v>99</v>
      </c>
      <c r="N227" s="12">
        <f>ROUNDDOWN(K227*'04-Variant Rules'!$E$17,0)</f>
        <v>140</v>
      </c>
      <c r="O227" s="9">
        <v>12</v>
      </c>
    </row>
    <row r="228" spans="1:15" ht="21" customHeight="1">
      <c r="A228" s="9" t="s">
        <v>445</v>
      </c>
      <c r="B228" s="12">
        <f>IF(LEFT(H228,5)="VALID",M228,"")</f>
        <v>74</v>
      </c>
      <c r="C228" s="12">
        <f>IF(LEFT(H228,5)="VALID",N228,"")</f>
        <v>105</v>
      </c>
      <c r="D228" s="10" t="s">
        <v>82</v>
      </c>
      <c r="E228" s="10" t="s">
        <v>431</v>
      </c>
      <c r="F228" s="10" t="s">
        <v>162</v>
      </c>
      <c r="G228" s="10" t="s">
        <v>163</v>
      </c>
      <c r="H228" s="11" t="str">
        <f>IF(OR(M228&lt;=0,N228&lt;=0),"SKIPPED - NONPOSITIVE",IF(OR(M228&lt;L228,N228&lt;L228),"SKIPPED - BELOW MIN",IF(OR(M228&gt;J228,N228&gt;K228),"SKIPPED - EXCEEDS BASE",IF(COUNTIFS($M$215:M227,M228,$N$215:N227,N228)&gt;0,"SKIPPED - DUPLICATE","VALID - GENERATED"))))</f>
        <v>VALID - GENERATED</v>
      </c>
      <c r="I228" s="10" t="s">
        <v>432</v>
      </c>
      <c r="J228" s="12">
        <f>'05-ISO Reference'!$B$8</f>
        <v>297</v>
      </c>
      <c r="K228" s="12">
        <f>'05-ISO Reference'!$C$8</f>
        <v>420</v>
      </c>
      <c r="L228" s="12">
        <f>'01-Process Controls'!$G$5</f>
        <v>3</v>
      </c>
      <c r="M228" s="12">
        <f>ROUNDDOWN(J228*'04-Variant Rules'!$D$18,0)</f>
        <v>74</v>
      </c>
      <c r="N228" s="12">
        <f>ROUNDDOWN(K228*'04-Variant Rules'!$E$18,0)</f>
        <v>105</v>
      </c>
      <c r="O228" s="9">
        <v>13</v>
      </c>
    </row>
    <row r="229" spans="1:15" ht="21" customHeight="1">
      <c r="A229" s="9" t="s">
        <v>446</v>
      </c>
      <c r="B229" s="12">
        <f>IF(LEFT(H229,5)="VALID",M229,"")</f>
        <v>148</v>
      </c>
      <c r="C229" s="12">
        <f>IF(LEFT(H229,5)="VALID",N229,"")</f>
        <v>140</v>
      </c>
      <c r="D229" s="10" t="s">
        <v>82</v>
      </c>
      <c r="E229" s="10" t="s">
        <v>431</v>
      </c>
      <c r="F229" s="10" t="s">
        <v>165</v>
      </c>
      <c r="G229" s="10" t="s">
        <v>166</v>
      </c>
      <c r="H229" s="11" t="str">
        <f>IF(OR(M229&lt;=0,N229&lt;=0),"SKIPPED - NONPOSITIVE",IF(OR(M229&lt;L229,N229&lt;L229),"SKIPPED - BELOW MIN",IF(OR(M229&gt;J229,N229&gt;K229),"SKIPPED - EXCEEDS BASE",IF(COUNTIFS($M$215:M228,M229,$N$215:N228,N229)&gt;0,"SKIPPED - DUPLICATE","VALID - GENERATED"))))</f>
        <v>VALID - GENERATED</v>
      </c>
      <c r="I229" s="10" t="s">
        <v>432</v>
      </c>
      <c r="J229" s="12">
        <f>'05-ISO Reference'!$B$8</f>
        <v>297</v>
      </c>
      <c r="K229" s="12">
        <f>'05-ISO Reference'!$C$8</f>
        <v>420</v>
      </c>
      <c r="L229" s="12">
        <f>'01-Process Controls'!$G$5</f>
        <v>3</v>
      </c>
      <c r="M229" s="12">
        <f>ROUNDDOWN(J229*'04-Variant Rules'!$D$19,0)</f>
        <v>148</v>
      </c>
      <c r="N229" s="12">
        <f>ROUNDDOWN(K229*'04-Variant Rules'!$E$19,0)</f>
        <v>140</v>
      </c>
      <c r="O229" s="9">
        <v>14</v>
      </c>
    </row>
    <row r="230" spans="1:15" ht="21" customHeight="1">
      <c r="A230" s="9" t="s">
        <v>447</v>
      </c>
      <c r="B230" s="12">
        <f>IF(LEFT(H230,5)="VALID",M230,"")</f>
        <v>99</v>
      </c>
      <c r="C230" s="12">
        <f>IF(LEFT(H230,5)="VALID",N230,"")</f>
        <v>210</v>
      </c>
      <c r="D230" s="10" t="s">
        <v>82</v>
      </c>
      <c r="E230" s="10" t="s">
        <v>431</v>
      </c>
      <c r="F230" s="10" t="s">
        <v>168</v>
      </c>
      <c r="G230" s="10" t="s">
        <v>166</v>
      </c>
      <c r="H230" s="11" t="str">
        <f>IF(OR(M230&lt;=0,N230&lt;=0),"SKIPPED - NONPOSITIVE",IF(OR(M230&lt;L230,N230&lt;L230),"SKIPPED - BELOW MIN",IF(OR(M230&gt;J230,N230&gt;K230),"SKIPPED - EXCEEDS BASE",IF(COUNTIFS($M$215:M229,M230,$N$215:N229,N230)&gt;0,"SKIPPED - DUPLICATE","VALID - GENERATED"))))</f>
        <v>VALID - GENERATED</v>
      </c>
      <c r="I230" s="10" t="s">
        <v>432</v>
      </c>
      <c r="J230" s="12">
        <f>'05-ISO Reference'!$B$8</f>
        <v>297</v>
      </c>
      <c r="K230" s="12">
        <f>'05-ISO Reference'!$C$8</f>
        <v>420</v>
      </c>
      <c r="L230" s="12">
        <f>'01-Process Controls'!$G$5</f>
        <v>3</v>
      </c>
      <c r="M230" s="12">
        <f>ROUNDDOWN(J230*'04-Variant Rules'!$D$20,0)</f>
        <v>99</v>
      </c>
      <c r="N230" s="12">
        <f>ROUNDDOWN(K230*'04-Variant Rules'!$E$20,0)</f>
        <v>210</v>
      </c>
      <c r="O230" s="9">
        <v>15</v>
      </c>
    </row>
    <row r="231" spans="1:15" ht="21" customHeight="1">
      <c r="A231" s="9" t="s">
        <v>448</v>
      </c>
      <c r="B231" s="12">
        <f>IF(LEFT(H231,5)="VALID",M231,"")</f>
        <v>148</v>
      </c>
      <c r="C231" s="12">
        <f>IF(LEFT(H231,5)="VALID",N231,"")</f>
        <v>105</v>
      </c>
      <c r="D231" s="10" t="s">
        <v>82</v>
      </c>
      <c r="E231" s="10" t="s">
        <v>431</v>
      </c>
      <c r="F231" s="10" t="s">
        <v>170</v>
      </c>
      <c r="G231" s="10" t="s">
        <v>166</v>
      </c>
      <c r="H231" s="11" t="str">
        <f>IF(OR(M231&lt;=0,N231&lt;=0),"SKIPPED - NONPOSITIVE",IF(OR(M231&lt;L231,N231&lt;L231),"SKIPPED - BELOW MIN",IF(OR(M231&gt;J231,N231&gt;K231),"SKIPPED - EXCEEDS BASE",IF(COUNTIFS($M$215:M230,M231,$N$215:N230,N231)&gt;0,"SKIPPED - DUPLICATE","VALID - GENERATED"))))</f>
        <v>VALID - GENERATED</v>
      </c>
      <c r="I231" s="10" t="s">
        <v>432</v>
      </c>
      <c r="J231" s="12">
        <f>'05-ISO Reference'!$B$8</f>
        <v>297</v>
      </c>
      <c r="K231" s="12">
        <f>'05-ISO Reference'!$C$8</f>
        <v>420</v>
      </c>
      <c r="L231" s="12">
        <f>'01-Process Controls'!$G$5</f>
        <v>3</v>
      </c>
      <c r="M231" s="12">
        <f>ROUNDDOWN(J231*'04-Variant Rules'!$D$21,0)</f>
        <v>148</v>
      </c>
      <c r="N231" s="12">
        <f>ROUNDDOWN(K231*'04-Variant Rules'!$E$21,0)</f>
        <v>105</v>
      </c>
      <c r="O231" s="9">
        <v>16</v>
      </c>
    </row>
    <row r="232" spans="1:15" ht="21" customHeight="1">
      <c r="A232" s="9" t="s">
        <v>449</v>
      </c>
      <c r="B232" s="12">
        <f>IF(LEFT(H232,5)="VALID",M232,"")</f>
        <v>74</v>
      </c>
      <c r="C232" s="12">
        <f>IF(LEFT(H232,5)="VALID",N232,"")</f>
        <v>210</v>
      </c>
      <c r="D232" s="10" t="s">
        <v>82</v>
      </c>
      <c r="E232" s="10" t="s">
        <v>431</v>
      </c>
      <c r="F232" s="10" t="s">
        <v>172</v>
      </c>
      <c r="G232" s="10" t="s">
        <v>166</v>
      </c>
      <c r="H232" s="11" t="str">
        <f>IF(OR(M232&lt;=0,N232&lt;=0),"SKIPPED - NONPOSITIVE",IF(OR(M232&lt;L232,N232&lt;L232),"SKIPPED - BELOW MIN",IF(OR(M232&gt;J232,N232&gt;K232),"SKIPPED - EXCEEDS BASE",IF(COUNTIFS($M$215:M231,M232,$N$215:N231,N232)&gt;0,"SKIPPED - DUPLICATE","VALID - GENERATED"))))</f>
        <v>VALID - GENERATED</v>
      </c>
      <c r="I232" s="10" t="s">
        <v>432</v>
      </c>
      <c r="J232" s="12">
        <f>'05-ISO Reference'!$B$8</f>
        <v>297</v>
      </c>
      <c r="K232" s="12">
        <f>'05-ISO Reference'!$C$8</f>
        <v>420</v>
      </c>
      <c r="L232" s="12">
        <f>'01-Process Controls'!$G$5</f>
        <v>3</v>
      </c>
      <c r="M232" s="12">
        <f>ROUNDDOWN(J232*'04-Variant Rules'!$D$22,0)</f>
        <v>74</v>
      </c>
      <c r="N232" s="12">
        <f>ROUNDDOWN(K232*'04-Variant Rules'!$E$22,0)</f>
        <v>210</v>
      </c>
      <c r="O232" s="9">
        <v>17</v>
      </c>
    </row>
    <row r="233" spans="1:15" ht="21" customHeight="1">
      <c r="A233" s="9" t="s">
        <v>450</v>
      </c>
      <c r="B233" s="12">
        <f>IF(LEFT(H233,5)="VALID",M233,"")</f>
        <v>198</v>
      </c>
      <c r="C233" s="12">
        <f>IF(LEFT(H233,5)="VALID",N233,"")</f>
        <v>210</v>
      </c>
      <c r="D233" s="10" t="s">
        <v>82</v>
      </c>
      <c r="E233" s="10" t="s">
        <v>431</v>
      </c>
      <c r="F233" s="10" t="s">
        <v>174</v>
      </c>
      <c r="G233" s="10" t="s">
        <v>166</v>
      </c>
      <c r="H233" s="11" t="str">
        <f>IF(OR(M233&lt;=0,N233&lt;=0),"SKIPPED - NONPOSITIVE",IF(OR(M233&lt;L233,N233&lt;L233),"SKIPPED - BELOW MIN",IF(OR(M233&gt;J233,N233&gt;K233),"SKIPPED - EXCEEDS BASE",IF(COUNTIFS($M$215:M232,M233,$N$215:N232,N233)&gt;0,"SKIPPED - DUPLICATE","VALID - GENERATED"))))</f>
        <v>VALID - GENERATED</v>
      </c>
      <c r="I233" s="10" t="s">
        <v>432</v>
      </c>
      <c r="J233" s="12">
        <f>'05-ISO Reference'!$B$8</f>
        <v>297</v>
      </c>
      <c r="K233" s="12">
        <f>'05-ISO Reference'!$C$8</f>
        <v>420</v>
      </c>
      <c r="L233" s="12">
        <f>'01-Process Controls'!$G$5</f>
        <v>3</v>
      </c>
      <c r="M233" s="12">
        <f>ROUNDDOWN(J233*'04-Variant Rules'!$D$23,0)</f>
        <v>198</v>
      </c>
      <c r="N233" s="12">
        <f>ROUNDDOWN(K233*'04-Variant Rules'!$E$23,0)</f>
        <v>210</v>
      </c>
      <c r="O233" s="9">
        <v>18</v>
      </c>
    </row>
    <row r="234" spans="1:15" ht="21" customHeight="1">
      <c r="A234" s="9" t="s">
        <v>451</v>
      </c>
      <c r="B234" s="12">
        <f>IF(LEFT(H234,5)="VALID",M234,"")</f>
        <v>148</v>
      </c>
      <c r="C234" s="12">
        <f>IF(LEFT(H234,5)="VALID",N234,"")</f>
        <v>280</v>
      </c>
      <c r="D234" s="10" t="s">
        <v>82</v>
      </c>
      <c r="E234" s="10" t="s">
        <v>431</v>
      </c>
      <c r="F234" s="10" t="s">
        <v>176</v>
      </c>
      <c r="G234" s="10" t="s">
        <v>166</v>
      </c>
      <c r="H234" s="11" t="str">
        <f>IF(OR(M234&lt;=0,N234&lt;=0),"SKIPPED - NONPOSITIVE",IF(OR(M234&lt;L234,N234&lt;L234),"SKIPPED - BELOW MIN",IF(OR(M234&gt;J234,N234&gt;K234),"SKIPPED - EXCEEDS BASE",IF(COUNTIFS($M$215:M233,M234,$N$215:N233,N234)&gt;0,"SKIPPED - DUPLICATE","VALID - GENERATED"))))</f>
        <v>VALID - GENERATED</v>
      </c>
      <c r="I234" s="10" t="s">
        <v>432</v>
      </c>
      <c r="J234" s="12">
        <f>'05-ISO Reference'!$B$8</f>
        <v>297</v>
      </c>
      <c r="K234" s="12">
        <f>'05-ISO Reference'!$C$8</f>
        <v>420</v>
      </c>
      <c r="L234" s="12">
        <f>'01-Process Controls'!$G$5</f>
        <v>3</v>
      </c>
      <c r="M234" s="12">
        <f>ROUNDDOWN(J234*'04-Variant Rules'!$D$24,0)</f>
        <v>148</v>
      </c>
      <c r="N234" s="12">
        <f>ROUNDDOWN(K234*'04-Variant Rules'!$E$24,0)</f>
        <v>280</v>
      </c>
      <c r="O234" s="9">
        <v>19</v>
      </c>
    </row>
    <row r="235" spans="1:15" ht="21" customHeight="1">
      <c r="A235" s="9" t="s">
        <v>452</v>
      </c>
      <c r="B235" s="12">
        <f>IF(LEFT(H235,5)="VALID",M235,"")</f>
        <v>222</v>
      </c>
      <c r="C235" s="12">
        <f>IF(LEFT(H235,5)="VALID",N235,"")</f>
        <v>210</v>
      </c>
      <c r="D235" s="10" t="s">
        <v>82</v>
      </c>
      <c r="E235" s="10" t="s">
        <v>431</v>
      </c>
      <c r="F235" s="10" t="s">
        <v>178</v>
      </c>
      <c r="G235" s="10" t="s">
        <v>166</v>
      </c>
      <c r="H235" s="11" t="str">
        <f>IF(OR(M235&lt;=0,N235&lt;=0),"SKIPPED - NONPOSITIVE",IF(OR(M235&lt;L235,N235&lt;L235),"SKIPPED - BELOW MIN",IF(OR(M235&gt;J235,N235&gt;K235),"SKIPPED - EXCEEDS BASE",IF(COUNTIFS($M$215:M234,M235,$N$215:N234,N235)&gt;0,"SKIPPED - DUPLICATE","VALID - GENERATED"))))</f>
        <v>VALID - GENERATED</v>
      </c>
      <c r="I235" s="10" t="s">
        <v>432</v>
      </c>
      <c r="J235" s="12">
        <f>'05-ISO Reference'!$B$8</f>
        <v>297</v>
      </c>
      <c r="K235" s="12">
        <f>'05-ISO Reference'!$C$8</f>
        <v>420</v>
      </c>
      <c r="L235" s="12">
        <f>'01-Process Controls'!$G$5</f>
        <v>3</v>
      </c>
      <c r="M235" s="12">
        <f>ROUNDDOWN(J235*'04-Variant Rules'!$D$25,0)</f>
        <v>222</v>
      </c>
      <c r="N235" s="12">
        <f>ROUNDDOWN(K235*'04-Variant Rules'!$E$25,0)</f>
        <v>210</v>
      </c>
      <c r="O235" s="9">
        <v>20</v>
      </c>
    </row>
    <row r="236" spans="1:15" ht="21" customHeight="1">
      <c r="A236" s="9" t="s">
        <v>453</v>
      </c>
      <c r="B236" s="12">
        <f>IF(LEFT(H236,5)="VALID",M236,"")</f>
        <v>148</v>
      </c>
      <c r="C236" s="12">
        <f>IF(LEFT(H236,5)="VALID",N236,"")</f>
        <v>315</v>
      </c>
      <c r="D236" s="10" t="s">
        <v>82</v>
      </c>
      <c r="E236" s="10" t="s">
        <v>431</v>
      </c>
      <c r="F236" s="10" t="s">
        <v>180</v>
      </c>
      <c r="G236" s="10" t="s">
        <v>166</v>
      </c>
      <c r="H236" s="11" t="str">
        <f>IF(OR(M236&lt;=0,N236&lt;=0),"SKIPPED - NONPOSITIVE",IF(OR(M236&lt;L236,N236&lt;L236),"SKIPPED - BELOW MIN",IF(OR(M236&gt;J236,N236&gt;K236),"SKIPPED - EXCEEDS BASE",IF(COUNTIFS($M$215:M235,M236,$N$215:N235,N236)&gt;0,"SKIPPED - DUPLICATE","VALID - GENERATED"))))</f>
        <v>VALID - GENERATED</v>
      </c>
      <c r="I236" s="10" t="s">
        <v>432</v>
      </c>
      <c r="J236" s="12">
        <f>'05-ISO Reference'!$B$8</f>
        <v>297</v>
      </c>
      <c r="K236" s="12">
        <f>'05-ISO Reference'!$C$8</f>
        <v>420</v>
      </c>
      <c r="L236" s="12">
        <f>'01-Process Controls'!$G$5</f>
        <v>3</v>
      </c>
      <c r="M236" s="12">
        <f>ROUNDDOWN(J236*'04-Variant Rules'!$D$26,0)</f>
        <v>148</v>
      </c>
      <c r="N236" s="12">
        <f>ROUNDDOWN(K236*'04-Variant Rules'!$E$26,0)</f>
        <v>315</v>
      </c>
      <c r="O236" s="9">
        <v>21</v>
      </c>
    </row>
    <row r="237" spans="1:15" ht="21" customHeight="1">
      <c r="A237" s="9" t="s">
        <v>454</v>
      </c>
      <c r="B237" s="12">
        <f>IF(LEFT(H237,5)="VALID",M237,"")</f>
        <v>282</v>
      </c>
      <c r="C237" s="12">
        <f>IF(LEFT(H237,5)="VALID",N237,"")</f>
        <v>399</v>
      </c>
      <c r="D237" s="10" t="s">
        <v>82</v>
      </c>
      <c r="E237" s="10" t="s">
        <v>431</v>
      </c>
      <c r="F237" s="10" t="s">
        <v>182</v>
      </c>
      <c r="G237" s="10" t="s">
        <v>183</v>
      </c>
      <c r="H237" s="11" t="str">
        <f>IF(OR(M237&lt;=0,N237&lt;=0),"SKIPPED - NONPOSITIVE",IF(OR(M237&lt;L237,N237&lt;L237),"SKIPPED - BELOW MIN",IF(OR(M237&gt;J237,N237&gt;K237),"SKIPPED - EXCEEDS BASE",IF(COUNTIFS($M$215:M236,M237,$N$215:N236,N237)&gt;0,"SKIPPED - DUPLICATE","VALID - GENERATED"))))</f>
        <v>VALID - GENERATED</v>
      </c>
      <c r="I237" s="10" t="s">
        <v>432</v>
      </c>
      <c r="J237" s="12">
        <f>'05-ISO Reference'!$B$8</f>
        <v>297</v>
      </c>
      <c r="K237" s="12">
        <f>'05-ISO Reference'!$C$8</f>
        <v>420</v>
      </c>
      <c r="L237" s="12">
        <f>'01-Process Controls'!$G$5</f>
        <v>3</v>
      </c>
      <c r="M237" s="12">
        <f>ROUNDDOWN(J237*'04-Variant Rules'!$D$27,0)</f>
        <v>282</v>
      </c>
      <c r="N237" s="12">
        <f>ROUNDDOWN(K237*'04-Variant Rules'!$E$27,0)</f>
        <v>399</v>
      </c>
      <c r="O237" s="9">
        <v>22</v>
      </c>
    </row>
    <row r="238" spans="1:15" ht="21" customHeight="1">
      <c r="A238" s="9" t="s">
        <v>455</v>
      </c>
      <c r="B238" s="12">
        <f>IF(LEFT(H238,5)="VALID",M238,"")</f>
        <v>267</v>
      </c>
      <c r="C238" s="12">
        <f>IF(LEFT(H238,5)="VALID",N238,"")</f>
        <v>378</v>
      </c>
      <c r="D238" s="10" t="s">
        <v>82</v>
      </c>
      <c r="E238" s="10" t="s">
        <v>431</v>
      </c>
      <c r="F238" s="10" t="s">
        <v>185</v>
      </c>
      <c r="G238" s="10" t="s">
        <v>186</v>
      </c>
      <c r="H238" s="11" t="str">
        <f>IF(OR(M238&lt;=0,N238&lt;=0),"SKIPPED - NONPOSITIVE",IF(OR(M238&lt;L238,N238&lt;L238),"SKIPPED - BELOW MIN",IF(OR(M238&gt;J238,N238&gt;K238),"SKIPPED - EXCEEDS BASE",IF(COUNTIFS($M$215:M237,M238,$N$215:N237,N238)&gt;0,"SKIPPED - DUPLICATE","VALID - GENERATED"))))</f>
        <v>VALID - GENERATED</v>
      </c>
      <c r="I238" s="10" t="s">
        <v>432</v>
      </c>
      <c r="J238" s="12">
        <f>'05-ISO Reference'!$B$8</f>
        <v>297</v>
      </c>
      <c r="K238" s="12">
        <f>'05-ISO Reference'!$C$8</f>
        <v>420</v>
      </c>
      <c r="L238" s="12">
        <f>'01-Process Controls'!$G$5</f>
        <v>3</v>
      </c>
      <c r="M238" s="12">
        <f>ROUNDDOWN(J238*'04-Variant Rules'!$D$28,0)</f>
        <v>267</v>
      </c>
      <c r="N238" s="12">
        <f>ROUNDDOWN(K238*'04-Variant Rules'!$E$28,0)</f>
        <v>378</v>
      </c>
      <c r="O238" s="9">
        <v>23</v>
      </c>
    </row>
    <row r="239" spans="1:15" ht="21" customHeight="1">
      <c r="A239" s="9" t="s">
        <v>456</v>
      </c>
      <c r="B239" s="12">
        <f>IF(LEFT(H239,5)="VALID",M239,"")</f>
        <v>252</v>
      </c>
      <c r="C239" s="12">
        <f>IF(LEFT(H239,5)="VALID",N239,"")</f>
        <v>357</v>
      </c>
      <c r="D239" s="10" t="s">
        <v>82</v>
      </c>
      <c r="E239" s="10" t="s">
        <v>431</v>
      </c>
      <c r="F239" s="10" t="s">
        <v>188</v>
      </c>
      <c r="G239" s="10" t="s">
        <v>186</v>
      </c>
      <c r="H239" s="11" t="str">
        <f>IF(OR(M239&lt;=0,N239&lt;=0),"SKIPPED - NONPOSITIVE",IF(OR(M239&lt;L239,N239&lt;L239),"SKIPPED - BELOW MIN",IF(OR(M239&gt;J239,N239&gt;K239),"SKIPPED - EXCEEDS BASE",IF(COUNTIFS($M$215:M238,M239,$N$215:N238,N239)&gt;0,"SKIPPED - DUPLICATE","VALID - GENERATED"))))</f>
        <v>VALID - GENERATED</v>
      </c>
      <c r="I239" s="10" t="s">
        <v>432</v>
      </c>
      <c r="J239" s="12">
        <f>'05-ISO Reference'!$B$8</f>
        <v>297</v>
      </c>
      <c r="K239" s="12">
        <f>'05-ISO Reference'!$C$8</f>
        <v>420</v>
      </c>
      <c r="L239" s="12">
        <f>'01-Process Controls'!$G$5</f>
        <v>3</v>
      </c>
      <c r="M239" s="12">
        <f>ROUNDDOWN(J239*'04-Variant Rules'!$D$29,0)</f>
        <v>252</v>
      </c>
      <c r="N239" s="12">
        <f>ROUNDDOWN(K239*'04-Variant Rules'!$E$29,0)</f>
        <v>357</v>
      </c>
      <c r="O239" s="9">
        <v>24</v>
      </c>
    </row>
    <row r="240" spans="1:15" ht="21" customHeight="1">
      <c r="A240" s="9" t="s">
        <v>457</v>
      </c>
      <c r="B240" s="12">
        <f>IF(LEFT(H240,5)="VALID",M240,"")</f>
        <v>237</v>
      </c>
      <c r="C240" s="12">
        <f>IF(LEFT(H240,5)="VALID",N240,"")</f>
        <v>336</v>
      </c>
      <c r="D240" s="10" t="s">
        <v>82</v>
      </c>
      <c r="E240" s="10" t="s">
        <v>431</v>
      </c>
      <c r="F240" s="10" t="s">
        <v>190</v>
      </c>
      <c r="G240" s="10" t="s">
        <v>186</v>
      </c>
      <c r="H240" s="11" t="str">
        <f>IF(OR(M240&lt;=0,N240&lt;=0),"SKIPPED - NONPOSITIVE",IF(OR(M240&lt;L240,N240&lt;L240),"SKIPPED - BELOW MIN",IF(OR(M240&gt;J240,N240&gt;K240),"SKIPPED - EXCEEDS BASE",IF(COUNTIFS($M$215:M239,M240,$N$215:N239,N240)&gt;0,"SKIPPED - DUPLICATE","VALID - GENERATED"))))</f>
        <v>VALID - GENERATED</v>
      </c>
      <c r="I240" s="10" t="s">
        <v>432</v>
      </c>
      <c r="J240" s="12">
        <f>'05-ISO Reference'!$B$8</f>
        <v>297</v>
      </c>
      <c r="K240" s="12">
        <f>'05-ISO Reference'!$C$8</f>
        <v>420</v>
      </c>
      <c r="L240" s="12">
        <f>'01-Process Controls'!$G$5</f>
        <v>3</v>
      </c>
      <c r="M240" s="12">
        <f>ROUNDDOWN(J240*'04-Variant Rules'!$D$30,0)</f>
        <v>237</v>
      </c>
      <c r="N240" s="12">
        <f>ROUNDDOWN(K240*'04-Variant Rules'!$E$30,0)</f>
        <v>336</v>
      </c>
      <c r="O240" s="9">
        <v>25</v>
      </c>
    </row>
    <row r="241" spans="1:15" ht="21" customHeight="1">
      <c r="A241" s="9" t="s">
        <v>458</v>
      </c>
      <c r="B241" s="12">
        <f>IF(LEFT(H241,5)="VALID",M241,"")</f>
        <v>222</v>
      </c>
      <c r="C241" s="12">
        <f>IF(LEFT(H241,5)="VALID",N241,"")</f>
        <v>315</v>
      </c>
      <c r="D241" s="10" t="s">
        <v>82</v>
      </c>
      <c r="E241" s="10" t="s">
        <v>431</v>
      </c>
      <c r="F241" s="10" t="s">
        <v>192</v>
      </c>
      <c r="G241" s="10" t="s">
        <v>186</v>
      </c>
      <c r="H241" s="11" t="str">
        <f>IF(OR(M241&lt;=0,N241&lt;=0),"SKIPPED - NONPOSITIVE",IF(OR(M241&lt;L241,N241&lt;L241),"SKIPPED - BELOW MIN",IF(OR(M241&gt;J241,N241&gt;K241),"SKIPPED - EXCEEDS BASE",IF(COUNTIFS($M$215:M240,M241,$N$215:N240,N241)&gt;0,"SKIPPED - DUPLICATE","VALID - GENERATED"))))</f>
        <v>VALID - GENERATED</v>
      </c>
      <c r="I241" s="10" t="s">
        <v>432</v>
      </c>
      <c r="J241" s="12">
        <f>'05-ISO Reference'!$B$8</f>
        <v>297</v>
      </c>
      <c r="K241" s="12">
        <f>'05-ISO Reference'!$C$8</f>
        <v>420</v>
      </c>
      <c r="L241" s="12">
        <f>'01-Process Controls'!$G$5</f>
        <v>3</v>
      </c>
      <c r="M241" s="12">
        <f>ROUNDDOWN(J241*'04-Variant Rules'!$D$31,0)</f>
        <v>222</v>
      </c>
      <c r="N241" s="12">
        <f>ROUNDDOWN(K241*'04-Variant Rules'!$E$31,0)</f>
        <v>315</v>
      </c>
      <c r="O241" s="9">
        <v>26</v>
      </c>
    </row>
    <row r="242" spans="1:15" ht="21" customHeight="1">
      <c r="A242" s="9" t="s">
        <v>459</v>
      </c>
      <c r="B242" s="12">
        <f>IF(LEFT(H242,5)="VALID",M242,"")</f>
        <v>207</v>
      </c>
      <c r="C242" s="12">
        <f>IF(LEFT(H242,5)="VALID",N242,"")</f>
        <v>294</v>
      </c>
      <c r="D242" s="10" t="s">
        <v>82</v>
      </c>
      <c r="E242" s="10" t="s">
        <v>431</v>
      </c>
      <c r="F242" s="10" t="s">
        <v>194</v>
      </c>
      <c r="G242" s="10" t="s">
        <v>186</v>
      </c>
      <c r="H242" s="11" t="str">
        <f>IF(OR(M242&lt;=0,N242&lt;=0),"SKIPPED - NONPOSITIVE",IF(OR(M242&lt;L242,N242&lt;L242),"SKIPPED - BELOW MIN",IF(OR(M242&gt;J242,N242&gt;K242),"SKIPPED - EXCEEDS BASE",IF(COUNTIFS($M$215:M241,M242,$N$215:N241,N242)&gt;0,"SKIPPED - DUPLICATE","VALID - GENERATED"))))</f>
        <v>VALID - GENERATED</v>
      </c>
      <c r="I242" s="10" t="s">
        <v>432</v>
      </c>
      <c r="J242" s="12">
        <f>'05-ISO Reference'!$B$8</f>
        <v>297</v>
      </c>
      <c r="K242" s="12">
        <f>'05-ISO Reference'!$C$8</f>
        <v>420</v>
      </c>
      <c r="L242" s="12">
        <f>'01-Process Controls'!$G$5</f>
        <v>3</v>
      </c>
      <c r="M242" s="12">
        <f>ROUNDDOWN(J242*'04-Variant Rules'!$D$32,0)</f>
        <v>207</v>
      </c>
      <c r="N242" s="12">
        <f>ROUNDDOWN(K242*'04-Variant Rules'!$E$32,0)</f>
        <v>294</v>
      </c>
      <c r="O242" s="9">
        <v>27</v>
      </c>
    </row>
    <row r="243" spans="1:15" ht="21" customHeight="1">
      <c r="A243" s="9" t="s">
        <v>460</v>
      </c>
      <c r="B243" s="12">
        <f>IF(LEFT(H243,5)="VALID",M243,"")</f>
        <v>198</v>
      </c>
      <c r="C243" s="12">
        <f>IF(LEFT(H243,5)="VALID",N243,"")</f>
        <v>280</v>
      </c>
      <c r="D243" s="10" t="s">
        <v>82</v>
      </c>
      <c r="E243" s="10" t="s">
        <v>431</v>
      </c>
      <c r="F243" s="10" t="s">
        <v>196</v>
      </c>
      <c r="G243" s="10" t="s">
        <v>186</v>
      </c>
      <c r="H243" s="11" t="str">
        <f>IF(OR(M243&lt;=0,N243&lt;=0),"SKIPPED - NONPOSITIVE",IF(OR(M243&lt;L243,N243&lt;L243),"SKIPPED - BELOW MIN",IF(OR(M243&gt;J243,N243&gt;K243),"SKIPPED - EXCEEDS BASE",IF(COUNTIFS($M$215:M242,M243,$N$215:N242,N243)&gt;0,"SKIPPED - DUPLICATE","VALID - GENERATED"))))</f>
        <v>VALID - GENERATED</v>
      </c>
      <c r="I243" s="10" t="s">
        <v>432</v>
      </c>
      <c r="J243" s="12">
        <f>'05-ISO Reference'!$B$8</f>
        <v>297</v>
      </c>
      <c r="K243" s="12">
        <f>'05-ISO Reference'!$C$8</f>
        <v>420</v>
      </c>
      <c r="L243" s="12">
        <f>'01-Process Controls'!$G$5</f>
        <v>3</v>
      </c>
      <c r="M243" s="12">
        <f>ROUNDDOWN(J243*'04-Variant Rules'!$D$33,0)</f>
        <v>198</v>
      </c>
      <c r="N243" s="12">
        <f>ROUNDDOWN(K243*'04-Variant Rules'!$E$33,0)</f>
        <v>280</v>
      </c>
      <c r="O243" s="9">
        <v>28</v>
      </c>
    </row>
    <row r="244" spans="1:15" ht="21" customHeight="1">
      <c r="A244" s="9" t="s">
        <v>461</v>
      </c>
      <c r="B244" s="12">
        <f>IF(LEFT(H244,5)="VALID",M244,"")</f>
        <v>178</v>
      </c>
      <c r="C244" s="12">
        <f>IF(LEFT(H244,5)="VALID",N244,"")</f>
        <v>252</v>
      </c>
      <c r="D244" s="10" t="s">
        <v>82</v>
      </c>
      <c r="E244" s="10" t="s">
        <v>431</v>
      </c>
      <c r="F244" s="10" t="s">
        <v>198</v>
      </c>
      <c r="G244" s="10" t="s">
        <v>186</v>
      </c>
      <c r="H244" s="11" t="str">
        <f>IF(OR(M244&lt;=0,N244&lt;=0),"SKIPPED - NONPOSITIVE",IF(OR(M244&lt;L244,N244&lt;L244),"SKIPPED - BELOW MIN",IF(OR(M244&gt;J244,N244&gt;K244),"SKIPPED - EXCEEDS BASE",IF(COUNTIFS($M$215:M243,M244,$N$215:N243,N244)&gt;0,"SKIPPED - DUPLICATE","VALID - GENERATED"))))</f>
        <v>VALID - GENERATED</v>
      </c>
      <c r="I244" s="10" t="s">
        <v>432</v>
      </c>
      <c r="J244" s="12">
        <f>'05-ISO Reference'!$B$8</f>
        <v>297</v>
      </c>
      <c r="K244" s="12">
        <f>'05-ISO Reference'!$C$8</f>
        <v>420</v>
      </c>
      <c r="L244" s="12">
        <f>'01-Process Controls'!$G$5</f>
        <v>3</v>
      </c>
      <c r="M244" s="12">
        <f>ROUNDDOWN(J244*'04-Variant Rules'!$D$34,0)</f>
        <v>178</v>
      </c>
      <c r="N244" s="12">
        <f>ROUNDDOWN(K244*'04-Variant Rules'!$E$34,0)</f>
        <v>252</v>
      </c>
      <c r="O244" s="9">
        <v>29</v>
      </c>
    </row>
    <row r="245" spans="1:15" ht="21" customHeight="1">
      <c r="A245" s="9" t="s">
        <v>462</v>
      </c>
      <c r="B245" s="12">
        <f>IF(LEFT(H245,5)="VALID",M245,"")</f>
        <v>163</v>
      </c>
      <c r="C245" s="12">
        <f>IF(LEFT(H245,5)="VALID",N245,"")</f>
        <v>231</v>
      </c>
      <c r="D245" s="10" t="s">
        <v>82</v>
      </c>
      <c r="E245" s="10" t="s">
        <v>431</v>
      </c>
      <c r="F245" s="10" t="s">
        <v>200</v>
      </c>
      <c r="G245" s="10" t="s">
        <v>186</v>
      </c>
      <c r="H245" s="11" t="str">
        <f>IF(OR(M245&lt;=0,N245&lt;=0),"SKIPPED - NONPOSITIVE",IF(OR(M245&lt;L245,N245&lt;L245),"SKIPPED - BELOW MIN",IF(OR(M245&gt;J245,N245&gt;K245),"SKIPPED - EXCEEDS BASE",IF(COUNTIFS($M$215:M244,M245,$N$215:N244,N245)&gt;0,"SKIPPED - DUPLICATE","VALID - GENERATED"))))</f>
        <v>VALID - GENERATED</v>
      </c>
      <c r="I245" s="10" t="s">
        <v>432</v>
      </c>
      <c r="J245" s="12">
        <f>'05-ISO Reference'!$B$8</f>
        <v>297</v>
      </c>
      <c r="K245" s="12">
        <f>'05-ISO Reference'!$C$8</f>
        <v>420</v>
      </c>
      <c r="L245" s="12">
        <f>'01-Process Controls'!$G$5</f>
        <v>3</v>
      </c>
      <c r="M245" s="12">
        <f>ROUNDDOWN(J245*'04-Variant Rules'!$D$35,0)</f>
        <v>163</v>
      </c>
      <c r="N245" s="12">
        <f>ROUNDDOWN(K245*'04-Variant Rules'!$E$35,0)</f>
        <v>231</v>
      </c>
      <c r="O245" s="9">
        <v>30</v>
      </c>
    </row>
    <row r="246" spans="1:15" ht="21" customHeight="1">
      <c r="A246" s="9" t="s">
        <v>463</v>
      </c>
      <c r="B246" s="12">
        <f>IF(LEFT(H246,5)="VALID",M246,"")</f>
        <v>133</v>
      </c>
      <c r="C246" s="12">
        <f>IF(LEFT(H246,5)="VALID",N246,"")</f>
        <v>189</v>
      </c>
      <c r="D246" s="10" t="s">
        <v>82</v>
      </c>
      <c r="E246" s="10" t="s">
        <v>431</v>
      </c>
      <c r="F246" s="10" t="s">
        <v>202</v>
      </c>
      <c r="G246" s="10" t="s">
        <v>186</v>
      </c>
      <c r="H246" s="11" t="str">
        <f>IF(OR(M246&lt;=0,N246&lt;=0),"SKIPPED - NONPOSITIVE",IF(OR(M246&lt;L246,N246&lt;L246),"SKIPPED - BELOW MIN",IF(OR(M246&gt;J246,N246&gt;K246),"SKIPPED - EXCEEDS BASE",IF(COUNTIFS($M$215:M245,M246,$N$215:N245,N246)&gt;0,"SKIPPED - DUPLICATE","VALID - GENERATED"))))</f>
        <v>VALID - GENERATED</v>
      </c>
      <c r="I246" s="10" t="s">
        <v>432</v>
      </c>
      <c r="J246" s="12">
        <f>'05-ISO Reference'!$B$8</f>
        <v>297</v>
      </c>
      <c r="K246" s="12">
        <f>'05-ISO Reference'!$C$8</f>
        <v>420</v>
      </c>
      <c r="L246" s="12">
        <f>'01-Process Controls'!$G$5</f>
        <v>3</v>
      </c>
      <c r="M246" s="12">
        <f>ROUNDDOWN(J246*'04-Variant Rules'!$D$36,0)</f>
        <v>133</v>
      </c>
      <c r="N246" s="12">
        <f>ROUNDDOWN(K246*'04-Variant Rules'!$E$36,0)</f>
        <v>189</v>
      </c>
      <c r="O246" s="9">
        <v>31</v>
      </c>
    </row>
    <row r="247" spans="1:15" ht="21" customHeight="1">
      <c r="A247" s="9" t="s">
        <v>464</v>
      </c>
      <c r="B247" s="12">
        <f>IF(LEFT(H247,5)="VALID",M247,"")</f>
        <v>118</v>
      </c>
      <c r="C247" s="12">
        <f>IF(LEFT(H247,5)="VALID",N247,"")</f>
        <v>168</v>
      </c>
      <c r="D247" s="10" t="s">
        <v>82</v>
      </c>
      <c r="E247" s="10" t="s">
        <v>431</v>
      </c>
      <c r="F247" s="10" t="s">
        <v>204</v>
      </c>
      <c r="G247" s="10" t="s">
        <v>186</v>
      </c>
      <c r="H247" s="11" t="str">
        <f>IF(OR(M247&lt;=0,N247&lt;=0),"SKIPPED - NONPOSITIVE",IF(OR(M247&lt;L247,N247&lt;L247),"SKIPPED - BELOW MIN",IF(OR(M247&gt;J247,N247&gt;K247),"SKIPPED - EXCEEDS BASE",IF(COUNTIFS($M$215:M246,M247,$N$215:N246,N247)&gt;0,"SKIPPED - DUPLICATE","VALID - GENERATED"))))</f>
        <v>VALID - GENERATED</v>
      </c>
      <c r="I247" s="10" t="s">
        <v>432</v>
      </c>
      <c r="J247" s="12">
        <f>'05-ISO Reference'!$B$8</f>
        <v>297</v>
      </c>
      <c r="K247" s="12">
        <f>'05-ISO Reference'!$C$8</f>
        <v>420</v>
      </c>
      <c r="L247" s="12">
        <f>'01-Process Controls'!$G$5</f>
        <v>3</v>
      </c>
      <c r="M247" s="12">
        <f>ROUNDDOWN(J247*'04-Variant Rules'!$D$37,0)</f>
        <v>118</v>
      </c>
      <c r="N247" s="12">
        <f>ROUNDDOWN(K247*'04-Variant Rules'!$E$37,0)</f>
        <v>168</v>
      </c>
      <c r="O247" s="9">
        <v>32</v>
      </c>
    </row>
    <row r="248" spans="1:15" ht="21" customHeight="1">
      <c r="A248" s="9" t="s">
        <v>465</v>
      </c>
      <c r="B248" s="12">
        <f>IF(LEFT(H248,5)="VALID",M248,"")</f>
        <v>103</v>
      </c>
      <c r="C248" s="12">
        <f>IF(LEFT(H248,5)="VALID",N248,"")</f>
        <v>147</v>
      </c>
      <c r="D248" s="10" t="s">
        <v>82</v>
      </c>
      <c r="E248" s="10" t="s">
        <v>431</v>
      </c>
      <c r="F248" s="10" t="s">
        <v>206</v>
      </c>
      <c r="G248" s="10" t="s">
        <v>186</v>
      </c>
      <c r="H248" s="11" t="str">
        <f>IF(OR(M248&lt;=0,N248&lt;=0),"SKIPPED - NONPOSITIVE",IF(OR(M248&lt;L248,N248&lt;L248),"SKIPPED - BELOW MIN",IF(OR(M248&gt;J248,N248&gt;K248),"SKIPPED - EXCEEDS BASE",IF(COUNTIFS($M$215:M247,M248,$N$215:N247,N248)&gt;0,"SKIPPED - DUPLICATE","VALID - GENERATED"))))</f>
        <v>VALID - GENERATED</v>
      </c>
      <c r="I248" s="10" t="s">
        <v>432</v>
      </c>
      <c r="J248" s="12">
        <f>'05-ISO Reference'!$B$8</f>
        <v>297</v>
      </c>
      <c r="K248" s="12">
        <f>'05-ISO Reference'!$C$8</f>
        <v>420</v>
      </c>
      <c r="L248" s="12">
        <f>'01-Process Controls'!$G$5</f>
        <v>3</v>
      </c>
      <c r="M248" s="12">
        <f>ROUNDDOWN(J248*'04-Variant Rules'!$D$38,0)</f>
        <v>103</v>
      </c>
      <c r="N248" s="12">
        <f>ROUNDDOWN(K248*'04-Variant Rules'!$E$38,0)</f>
        <v>147</v>
      </c>
      <c r="O248" s="9">
        <v>33</v>
      </c>
    </row>
    <row r="249" spans="1:15" ht="21" customHeight="1">
      <c r="A249" s="9" t="s">
        <v>466</v>
      </c>
      <c r="B249" s="12">
        <f>IF(LEFT(H249,5)="VALID",M249,"")</f>
        <v>89</v>
      </c>
      <c r="C249" s="12">
        <f>IF(LEFT(H249,5)="VALID",N249,"")</f>
        <v>126</v>
      </c>
      <c r="D249" s="10" t="s">
        <v>82</v>
      </c>
      <c r="E249" s="10" t="s">
        <v>431</v>
      </c>
      <c r="F249" s="10" t="s">
        <v>208</v>
      </c>
      <c r="G249" s="10" t="s">
        <v>186</v>
      </c>
      <c r="H249" s="11" t="str">
        <f>IF(OR(M249&lt;=0,N249&lt;=0),"SKIPPED - NONPOSITIVE",IF(OR(M249&lt;L249,N249&lt;L249),"SKIPPED - BELOW MIN",IF(OR(M249&gt;J249,N249&gt;K249),"SKIPPED - EXCEEDS BASE",IF(COUNTIFS($M$215:M248,M249,$N$215:N248,N249)&gt;0,"SKIPPED - DUPLICATE","VALID - GENERATED"))))</f>
        <v>VALID - GENERATED</v>
      </c>
      <c r="I249" s="10" t="s">
        <v>432</v>
      </c>
      <c r="J249" s="12">
        <f>'05-ISO Reference'!$B$8</f>
        <v>297</v>
      </c>
      <c r="K249" s="12">
        <f>'05-ISO Reference'!$C$8</f>
        <v>420</v>
      </c>
      <c r="L249" s="12">
        <f>'01-Process Controls'!$G$5</f>
        <v>3</v>
      </c>
      <c r="M249" s="12">
        <f>ROUNDDOWN(J249*'04-Variant Rules'!$D$39,0)</f>
        <v>89</v>
      </c>
      <c r="N249" s="12">
        <f>ROUNDDOWN(K249*'04-Variant Rules'!$E$39,0)</f>
        <v>126</v>
      </c>
      <c r="O249" s="9">
        <v>34</v>
      </c>
    </row>
    <row r="250" spans="1:15" ht="21" customHeight="1">
      <c r="A250" s="9" t="s">
        <v>467</v>
      </c>
      <c r="B250" s="12">
        <f>IF(LEFT(H250,5)="VALID",M250,"")</f>
        <v>59</v>
      </c>
      <c r="C250" s="12">
        <f>IF(LEFT(H250,5)="VALID",N250,"")</f>
        <v>84</v>
      </c>
      <c r="D250" s="10" t="s">
        <v>82</v>
      </c>
      <c r="E250" s="10" t="s">
        <v>431</v>
      </c>
      <c r="F250" s="10" t="s">
        <v>210</v>
      </c>
      <c r="G250" s="10" t="s">
        <v>186</v>
      </c>
      <c r="H250" s="11" t="str">
        <f>IF(OR(M250&lt;=0,N250&lt;=0),"SKIPPED - NONPOSITIVE",IF(OR(M250&lt;L250,N250&lt;L250),"SKIPPED - BELOW MIN",IF(OR(M250&gt;J250,N250&gt;K250),"SKIPPED - EXCEEDS BASE",IF(COUNTIFS($M$215:M249,M250,$N$215:N249,N250)&gt;0,"SKIPPED - DUPLICATE","VALID - GENERATED"))))</f>
        <v>VALID - GENERATED</v>
      </c>
      <c r="I250" s="10" t="s">
        <v>432</v>
      </c>
      <c r="J250" s="12">
        <f>'05-ISO Reference'!$B$8</f>
        <v>297</v>
      </c>
      <c r="K250" s="12">
        <f>'05-ISO Reference'!$C$8</f>
        <v>420</v>
      </c>
      <c r="L250" s="12">
        <f>'01-Process Controls'!$G$5</f>
        <v>3</v>
      </c>
      <c r="M250" s="12">
        <f>ROUNDDOWN(J250*'04-Variant Rules'!$D$40,0)</f>
        <v>59</v>
      </c>
      <c r="N250" s="12">
        <f>ROUNDDOWN(K250*'04-Variant Rules'!$E$40,0)</f>
        <v>84</v>
      </c>
      <c r="O250" s="9">
        <v>35</v>
      </c>
    </row>
    <row r="251" spans="1:15" ht="21" customHeight="1">
      <c r="A251" s="9" t="s">
        <v>468</v>
      </c>
      <c r="B251" s="12">
        <f>IF(LEFT(H251,5)="VALID",M251,"")</f>
        <v>44</v>
      </c>
      <c r="C251" s="12">
        <f>IF(LEFT(H251,5)="VALID",N251,"")</f>
        <v>63</v>
      </c>
      <c r="D251" s="10" t="s">
        <v>82</v>
      </c>
      <c r="E251" s="10" t="s">
        <v>431</v>
      </c>
      <c r="F251" s="10" t="s">
        <v>212</v>
      </c>
      <c r="G251" s="10" t="s">
        <v>213</v>
      </c>
      <c r="H251" s="11" t="str">
        <f>IF(OR(M251&lt;=0,N251&lt;=0),"SKIPPED - NONPOSITIVE",IF(OR(M251&lt;L251,N251&lt;L251),"SKIPPED - BELOW MIN",IF(OR(M251&gt;J251,N251&gt;K251),"SKIPPED - EXCEEDS BASE",IF(COUNTIFS($M$215:M250,M251,$N$215:N250,N251)&gt;0,"SKIPPED - DUPLICATE","VALID - GENERATED"))))</f>
        <v>VALID - GENERATED</v>
      </c>
      <c r="I251" s="10" t="s">
        <v>432</v>
      </c>
      <c r="J251" s="12">
        <f>'05-ISO Reference'!$B$8</f>
        <v>297</v>
      </c>
      <c r="K251" s="12">
        <f>'05-ISO Reference'!$C$8</f>
        <v>420</v>
      </c>
      <c r="L251" s="12">
        <f>'01-Process Controls'!$G$5</f>
        <v>3</v>
      </c>
      <c r="M251" s="12">
        <f>ROUNDDOWN(J251*'04-Variant Rules'!$D$41,0)</f>
        <v>44</v>
      </c>
      <c r="N251" s="12">
        <f>ROUNDDOWN(K251*'04-Variant Rules'!$E$41,0)</f>
        <v>63</v>
      </c>
      <c r="O251" s="9">
        <v>36</v>
      </c>
    </row>
    <row r="252" spans="1:15" ht="21" customHeight="1">
      <c r="A252" s="9" t="s">
        <v>469</v>
      </c>
      <c r="B252" s="12">
        <f>IF(LEFT(H252,5)="VALID",M252,"")</f>
        <v>297</v>
      </c>
      <c r="C252" s="12">
        <f>IF(LEFT(H252,5)="VALID",N252,"")</f>
        <v>297</v>
      </c>
      <c r="D252" s="10" t="s">
        <v>82</v>
      </c>
      <c r="E252" s="10" t="s">
        <v>431</v>
      </c>
      <c r="F252" s="10" t="s">
        <v>215</v>
      </c>
      <c r="G252" s="10" t="s">
        <v>216</v>
      </c>
      <c r="H252" s="11" t="str">
        <f>IF(OR(M252&lt;=0,N252&lt;=0),"SKIPPED - NONPOSITIVE",IF(OR(M252&lt;L252,N252&lt;L252),"SKIPPED - BELOW MIN",IF(OR(M252&gt;J252,N252&gt;K252),"SKIPPED - EXCEEDS BASE",IF(COUNTIFS($M$215:M251,M252,$N$215:N251,N252)&gt;0,"SKIPPED - DUPLICATE","VALID - GENERATED"))))</f>
        <v>VALID - GENERATED</v>
      </c>
      <c r="I252" s="10" t="s">
        <v>432</v>
      </c>
      <c r="J252" s="12">
        <f>'05-ISO Reference'!$B$8</f>
        <v>297</v>
      </c>
      <c r="K252" s="12">
        <f>'05-ISO Reference'!$C$8</f>
        <v>420</v>
      </c>
      <c r="L252" s="12">
        <f>'01-Process Controls'!$G$5</f>
        <v>3</v>
      </c>
      <c r="M252" s="12">
        <f>ROUNDDOWN(MIN(J252,K252)*'04-Variant Rules'!$D$42,0)</f>
        <v>297</v>
      </c>
      <c r="N252" s="12">
        <f>ROUNDDOWN(MIN(J252,K252)*'04-Variant Rules'!$D$42,0)</f>
        <v>297</v>
      </c>
      <c r="O252" s="9">
        <v>37</v>
      </c>
    </row>
    <row r="253" spans="1:15" ht="21" customHeight="1">
      <c r="A253" s="9" t="s">
        <v>470</v>
      </c>
      <c r="B253" s="12">
        <f>IF(LEFT(H253,5)="VALID",M253,"")</f>
        <v>267</v>
      </c>
      <c r="C253" s="12">
        <f>IF(LEFT(H253,5)="VALID",N253,"")</f>
        <v>267</v>
      </c>
      <c r="D253" s="10" t="s">
        <v>82</v>
      </c>
      <c r="E253" s="10" t="s">
        <v>431</v>
      </c>
      <c r="F253" s="10" t="s">
        <v>218</v>
      </c>
      <c r="G253" s="10" t="s">
        <v>219</v>
      </c>
      <c r="H253" s="11" t="str">
        <f>IF(OR(M253&lt;=0,N253&lt;=0),"SKIPPED - NONPOSITIVE",IF(OR(M253&lt;L253,N253&lt;L253),"SKIPPED - BELOW MIN",IF(OR(M253&gt;J253,N253&gt;K253),"SKIPPED - EXCEEDS BASE",IF(COUNTIFS($M$215:M252,M253,$N$215:N252,N253)&gt;0,"SKIPPED - DUPLICATE","VALID - GENERATED"))))</f>
        <v>VALID - GENERATED</v>
      </c>
      <c r="I253" s="10" t="s">
        <v>432</v>
      </c>
      <c r="J253" s="12">
        <f>'05-ISO Reference'!$B$8</f>
        <v>297</v>
      </c>
      <c r="K253" s="12">
        <f>'05-ISO Reference'!$C$8</f>
        <v>420</v>
      </c>
      <c r="L253" s="12">
        <f>'01-Process Controls'!$G$5</f>
        <v>3</v>
      </c>
      <c r="M253" s="12">
        <f>ROUNDDOWN(MIN(J253,K253)*'04-Variant Rules'!$D$43,0)</f>
        <v>267</v>
      </c>
      <c r="N253" s="12">
        <f>ROUNDDOWN(MIN(J253,K253)*'04-Variant Rules'!$D$43,0)</f>
        <v>267</v>
      </c>
      <c r="O253" s="9">
        <v>38</v>
      </c>
    </row>
    <row r="254" spans="1:15" ht="21" customHeight="1">
      <c r="A254" s="9" t="s">
        <v>471</v>
      </c>
      <c r="B254" s="12">
        <f>IF(LEFT(H254,5)="VALID",M254,"")</f>
        <v>237</v>
      </c>
      <c r="C254" s="12">
        <f>IF(LEFT(H254,5)="VALID",N254,"")</f>
        <v>237</v>
      </c>
      <c r="D254" s="10" t="s">
        <v>82</v>
      </c>
      <c r="E254" s="10" t="s">
        <v>431</v>
      </c>
      <c r="F254" s="10" t="s">
        <v>221</v>
      </c>
      <c r="G254" s="10" t="s">
        <v>219</v>
      </c>
      <c r="H254" s="11" t="str">
        <f>IF(OR(M254&lt;=0,N254&lt;=0),"SKIPPED - NONPOSITIVE",IF(OR(M254&lt;L254,N254&lt;L254),"SKIPPED - BELOW MIN",IF(OR(M254&gt;J254,N254&gt;K254),"SKIPPED - EXCEEDS BASE",IF(COUNTIFS($M$215:M253,M254,$N$215:N253,N254)&gt;0,"SKIPPED - DUPLICATE","VALID - GENERATED"))))</f>
        <v>VALID - GENERATED</v>
      </c>
      <c r="I254" s="10" t="s">
        <v>432</v>
      </c>
      <c r="J254" s="12">
        <f>'05-ISO Reference'!$B$8</f>
        <v>297</v>
      </c>
      <c r="K254" s="12">
        <f>'05-ISO Reference'!$C$8</f>
        <v>420</v>
      </c>
      <c r="L254" s="12">
        <f>'01-Process Controls'!$G$5</f>
        <v>3</v>
      </c>
      <c r="M254" s="12">
        <f>ROUNDDOWN(MIN(J254,K254)*'04-Variant Rules'!$D$44,0)</f>
        <v>237</v>
      </c>
      <c r="N254" s="12">
        <f>ROUNDDOWN(MIN(J254,K254)*'04-Variant Rules'!$D$44,0)</f>
        <v>237</v>
      </c>
      <c r="O254" s="9">
        <v>39</v>
      </c>
    </row>
    <row r="255" spans="1:15" ht="21" customHeight="1">
      <c r="A255" s="9" t="s">
        <v>472</v>
      </c>
      <c r="B255" s="12">
        <f>IF(LEFT(H255,5)="VALID",M255,"")</f>
        <v>222</v>
      </c>
      <c r="C255" s="12">
        <f>IF(LEFT(H255,5)="VALID",N255,"")</f>
        <v>222</v>
      </c>
      <c r="D255" s="10" t="s">
        <v>82</v>
      </c>
      <c r="E255" s="10" t="s">
        <v>431</v>
      </c>
      <c r="F255" s="10" t="s">
        <v>223</v>
      </c>
      <c r="G255" s="10" t="s">
        <v>219</v>
      </c>
      <c r="H255" s="11" t="str">
        <f>IF(OR(M255&lt;=0,N255&lt;=0),"SKIPPED - NONPOSITIVE",IF(OR(M255&lt;L255,N255&lt;L255),"SKIPPED - BELOW MIN",IF(OR(M255&gt;J255,N255&gt;K255),"SKIPPED - EXCEEDS BASE",IF(COUNTIFS($M$215:M254,M255,$N$215:N254,N255)&gt;0,"SKIPPED - DUPLICATE","VALID - GENERATED"))))</f>
        <v>VALID - GENERATED</v>
      </c>
      <c r="I255" s="10" t="s">
        <v>432</v>
      </c>
      <c r="J255" s="12">
        <f>'05-ISO Reference'!$B$8</f>
        <v>297</v>
      </c>
      <c r="K255" s="12">
        <f>'05-ISO Reference'!$C$8</f>
        <v>420</v>
      </c>
      <c r="L255" s="12">
        <f>'01-Process Controls'!$G$5</f>
        <v>3</v>
      </c>
      <c r="M255" s="12">
        <f>ROUNDDOWN(MIN(J255,K255)*'04-Variant Rules'!$D$45,0)</f>
        <v>222</v>
      </c>
      <c r="N255" s="12">
        <f>ROUNDDOWN(MIN(J255,K255)*'04-Variant Rules'!$D$45,0)</f>
        <v>222</v>
      </c>
      <c r="O255" s="9">
        <v>40</v>
      </c>
    </row>
    <row r="256" spans="1:15" ht="21" customHeight="1">
      <c r="A256" s="9" t="s">
        <v>473</v>
      </c>
      <c r="B256" s="12">
        <f>IF(LEFT(H256,5)="VALID",M256,"")</f>
        <v>198</v>
      </c>
      <c r="C256" s="12">
        <f>IF(LEFT(H256,5)="VALID",N256,"")</f>
        <v>198</v>
      </c>
      <c r="D256" s="10" t="s">
        <v>82</v>
      </c>
      <c r="E256" s="10" t="s">
        <v>431</v>
      </c>
      <c r="F256" s="10" t="s">
        <v>225</v>
      </c>
      <c r="G256" s="10" t="s">
        <v>219</v>
      </c>
      <c r="H256" s="11" t="str">
        <f>IF(OR(M256&lt;=0,N256&lt;=0),"SKIPPED - NONPOSITIVE",IF(OR(M256&lt;L256,N256&lt;L256),"SKIPPED - BELOW MIN",IF(OR(M256&gt;J256,N256&gt;K256),"SKIPPED - EXCEEDS BASE",IF(COUNTIFS($M$215:M255,M256,$N$215:N255,N256)&gt;0,"SKIPPED - DUPLICATE","VALID - GENERATED"))))</f>
        <v>VALID - GENERATED</v>
      </c>
      <c r="I256" s="10" t="s">
        <v>432</v>
      </c>
      <c r="J256" s="12">
        <f>'05-ISO Reference'!$B$8</f>
        <v>297</v>
      </c>
      <c r="K256" s="12">
        <f>'05-ISO Reference'!$C$8</f>
        <v>420</v>
      </c>
      <c r="L256" s="12">
        <f>'01-Process Controls'!$G$5</f>
        <v>3</v>
      </c>
      <c r="M256" s="12">
        <f>ROUNDDOWN(MIN(J256,K256)*'04-Variant Rules'!$D$46,0)</f>
        <v>198</v>
      </c>
      <c r="N256" s="12">
        <f>ROUNDDOWN(MIN(J256,K256)*'04-Variant Rules'!$D$46,0)</f>
        <v>198</v>
      </c>
      <c r="O256" s="9">
        <v>41</v>
      </c>
    </row>
    <row r="257" spans="1:15" ht="21" customHeight="1">
      <c r="A257" s="9" t="s">
        <v>474</v>
      </c>
      <c r="B257" s="12">
        <f>IF(LEFT(H257,5)="VALID",M257,"")</f>
        <v>178</v>
      </c>
      <c r="C257" s="12">
        <f>IF(LEFT(H257,5)="VALID",N257,"")</f>
        <v>178</v>
      </c>
      <c r="D257" s="10" t="s">
        <v>82</v>
      </c>
      <c r="E257" s="10" t="s">
        <v>431</v>
      </c>
      <c r="F257" s="10" t="s">
        <v>227</v>
      </c>
      <c r="G257" s="10" t="s">
        <v>219</v>
      </c>
      <c r="H257" s="11" t="str">
        <f>IF(OR(M257&lt;=0,N257&lt;=0),"SKIPPED - NONPOSITIVE",IF(OR(M257&lt;L257,N257&lt;L257),"SKIPPED - BELOW MIN",IF(OR(M257&gt;J257,N257&gt;K257),"SKIPPED - EXCEEDS BASE",IF(COUNTIFS($M$215:M256,M257,$N$215:N256,N257)&gt;0,"SKIPPED - DUPLICATE","VALID - GENERATED"))))</f>
        <v>VALID - GENERATED</v>
      </c>
      <c r="I257" s="10" t="s">
        <v>432</v>
      </c>
      <c r="J257" s="12">
        <f>'05-ISO Reference'!$B$8</f>
        <v>297</v>
      </c>
      <c r="K257" s="12">
        <f>'05-ISO Reference'!$C$8</f>
        <v>420</v>
      </c>
      <c r="L257" s="12">
        <f>'01-Process Controls'!$G$5</f>
        <v>3</v>
      </c>
      <c r="M257" s="12">
        <f>ROUNDDOWN(MIN(J257,K257)*'04-Variant Rules'!$D$47,0)</f>
        <v>178</v>
      </c>
      <c r="N257" s="12">
        <f>ROUNDDOWN(MIN(J257,K257)*'04-Variant Rules'!$D$47,0)</f>
        <v>178</v>
      </c>
      <c r="O257" s="9">
        <v>42</v>
      </c>
    </row>
    <row r="258" spans="1:15" ht="21" customHeight="1">
      <c r="A258" s="9" t="s">
        <v>475</v>
      </c>
      <c r="B258" s="12">
        <f>IF(LEFT(H258,5)="VALID",M258,"")</f>
        <v>148</v>
      </c>
      <c r="C258" s="12">
        <f>IF(LEFT(H258,5)="VALID",N258,"")</f>
        <v>148</v>
      </c>
      <c r="D258" s="10" t="s">
        <v>82</v>
      </c>
      <c r="E258" s="10" t="s">
        <v>431</v>
      </c>
      <c r="F258" s="10" t="s">
        <v>229</v>
      </c>
      <c r="G258" s="10" t="s">
        <v>219</v>
      </c>
      <c r="H258" s="11" t="str">
        <f>IF(OR(M258&lt;=0,N258&lt;=0),"SKIPPED - NONPOSITIVE",IF(OR(M258&lt;L258,N258&lt;L258),"SKIPPED - BELOW MIN",IF(OR(M258&gt;J258,N258&gt;K258),"SKIPPED - EXCEEDS BASE",IF(COUNTIFS($M$215:M257,M258,$N$215:N257,N258)&gt;0,"SKIPPED - DUPLICATE","VALID - GENERATED"))))</f>
        <v>VALID - GENERATED</v>
      </c>
      <c r="I258" s="10" t="s">
        <v>432</v>
      </c>
      <c r="J258" s="12">
        <f>'05-ISO Reference'!$B$8</f>
        <v>297</v>
      </c>
      <c r="K258" s="12">
        <f>'05-ISO Reference'!$C$8</f>
        <v>420</v>
      </c>
      <c r="L258" s="12">
        <f>'01-Process Controls'!$G$5</f>
        <v>3</v>
      </c>
      <c r="M258" s="12">
        <f>ROUNDDOWN(MIN(J258,K258)*'04-Variant Rules'!$D$48,0)</f>
        <v>148</v>
      </c>
      <c r="N258" s="12">
        <f>ROUNDDOWN(MIN(J258,K258)*'04-Variant Rules'!$D$48,0)</f>
        <v>148</v>
      </c>
      <c r="O258" s="9">
        <v>43</v>
      </c>
    </row>
    <row r="259" spans="1:15" ht="21" customHeight="1">
      <c r="A259" s="9" t="s">
        <v>476</v>
      </c>
      <c r="B259" s="12">
        <f>IF(LEFT(H259,5)="VALID",M259,"")</f>
        <v>118</v>
      </c>
      <c r="C259" s="12">
        <f>IF(LEFT(H259,5)="VALID",N259,"")</f>
        <v>118</v>
      </c>
      <c r="D259" s="10" t="s">
        <v>82</v>
      </c>
      <c r="E259" s="10" t="s">
        <v>431</v>
      </c>
      <c r="F259" s="10" t="s">
        <v>231</v>
      </c>
      <c r="G259" s="10" t="s">
        <v>219</v>
      </c>
      <c r="H259" s="11" t="str">
        <f>IF(OR(M259&lt;=0,N259&lt;=0),"SKIPPED - NONPOSITIVE",IF(OR(M259&lt;L259,N259&lt;L259),"SKIPPED - BELOW MIN",IF(OR(M259&gt;J259,N259&gt;K259),"SKIPPED - EXCEEDS BASE",IF(COUNTIFS($M$215:M258,M259,$N$215:N258,N259)&gt;0,"SKIPPED - DUPLICATE","VALID - GENERATED"))))</f>
        <v>VALID - GENERATED</v>
      </c>
      <c r="I259" s="10" t="s">
        <v>432</v>
      </c>
      <c r="J259" s="12">
        <f>'05-ISO Reference'!$B$8</f>
        <v>297</v>
      </c>
      <c r="K259" s="12">
        <f>'05-ISO Reference'!$C$8</f>
        <v>420</v>
      </c>
      <c r="L259" s="12">
        <f>'01-Process Controls'!$G$5</f>
        <v>3</v>
      </c>
      <c r="M259" s="12">
        <f>ROUNDDOWN(MIN(J259,K259)*'04-Variant Rules'!$D$49,0)</f>
        <v>118</v>
      </c>
      <c r="N259" s="12">
        <f>ROUNDDOWN(MIN(J259,K259)*'04-Variant Rules'!$D$49,0)</f>
        <v>118</v>
      </c>
      <c r="O259" s="9">
        <v>44</v>
      </c>
    </row>
    <row r="260" spans="1:15" ht="21" customHeight="1">
      <c r="A260" s="9" t="s">
        <v>477</v>
      </c>
      <c r="B260" s="12">
        <f>IF(LEFT(H260,5)="VALID",M260,"")</f>
        <v>99</v>
      </c>
      <c r="C260" s="12">
        <f>IF(LEFT(H260,5)="VALID",N260,"")</f>
        <v>99</v>
      </c>
      <c r="D260" s="10" t="s">
        <v>82</v>
      </c>
      <c r="E260" s="10" t="s">
        <v>431</v>
      </c>
      <c r="F260" s="10" t="s">
        <v>233</v>
      </c>
      <c r="G260" s="10" t="s">
        <v>219</v>
      </c>
      <c r="H260" s="11" t="str">
        <f>IF(OR(M260&lt;=0,N260&lt;=0),"SKIPPED - NONPOSITIVE",IF(OR(M260&lt;L260,N260&lt;L260),"SKIPPED - BELOW MIN",IF(OR(M260&gt;J260,N260&gt;K260),"SKIPPED - EXCEEDS BASE",IF(COUNTIFS($M$215:M259,M260,$N$215:N259,N260)&gt;0,"SKIPPED - DUPLICATE","VALID - GENERATED"))))</f>
        <v>VALID - GENERATED</v>
      </c>
      <c r="I260" s="10" t="s">
        <v>432</v>
      </c>
      <c r="J260" s="12">
        <f>'05-ISO Reference'!$B$8</f>
        <v>297</v>
      </c>
      <c r="K260" s="12">
        <f>'05-ISO Reference'!$C$8</f>
        <v>420</v>
      </c>
      <c r="L260" s="12">
        <f>'01-Process Controls'!$G$5</f>
        <v>3</v>
      </c>
      <c r="M260" s="12">
        <f>ROUNDDOWN(MIN(J260,K260)*'04-Variant Rules'!$D$50,0)</f>
        <v>99</v>
      </c>
      <c r="N260" s="12">
        <f>ROUNDDOWN(MIN(J260,K260)*'04-Variant Rules'!$D$50,0)</f>
        <v>99</v>
      </c>
      <c r="O260" s="9">
        <v>45</v>
      </c>
    </row>
    <row r="261" spans="1:15" ht="21" customHeight="1">
      <c r="A261" s="9" t="s">
        <v>478</v>
      </c>
      <c r="B261" s="12">
        <f>IF(LEFT(H261,5)="VALID",M261,"")</f>
        <v>74</v>
      </c>
      <c r="C261" s="12">
        <f>IF(LEFT(H261,5)="VALID",N261,"")</f>
        <v>74</v>
      </c>
      <c r="D261" s="10" t="s">
        <v>82</v>
      </c>
      <c r="E261" s="10" t="s">
        <v>431</v>
      </c>
      <c r="F261" s="10" t="s">
        <v>235</v>
      </c>
      <c r="G261" s="10" t="s">
        <v>219</v>
      </c>
      <c r="H261" s="11" t="str">
        <f>IF(OR(M261&lt;=0,N261&lt;=0),"SKIPPED - NONPOSITIVE",IF(OR(M261&lt;L261,N261&lt;L261),"SKIPPED - BELOW MIN",IF(OR(M261&gt;J261,N261&gt;K261),"SKIPPED - EXCEEDS BASE",IF(COUNTIFS($M$215:M260,M261,$N$215:N260,N261)&gt;0,"SKIPPED - DUPLICATE","VALID - GENERATED"))))</f>
        <v>VALID - GENERATED</v>
      </c>
      <c r="I261" s="10" t="s">
        <v>432</v>
      </c>
      <c r="J261" s="12">
        <f>'05-ISO Reference'!$B$8</f>
        <v>297</v>
      </c>
      <c r="K261" s="12">
        <f>'05-ISO Reference'!$C$8</f>
        <v>420</v>
      </c>
      <c r="L261" s="12">
        <f>'01-Process Controls'!$G$5</f>
        <v>3</v>
      </c>
      <c r="M261" s="12">
        <f>ROUNDDOWN(MIN(J261,K261)*'04-Variant Rules'!$D$51,0)</f>
        <v>74</v>
      </c>
      <c r="N261" s="12">
        <f>ROUNDDOWN(MIN(J261,K261)*'04-Variant Rules'!$D$51,0)</f>
        <v>74</v>
      </c>
      <c r="O261" s="9">
        <v>46</v>
      </c>
    </row>
    <row r="262" spans="1:15" ht="21" customHeight="1">
      <c r="A262" s="9" t="s">
        <v>479</v>
      </c>
      <c r="B262" s="12">
        <f>IF(LEFT(H262,5)="VALID",M262,"")</f>
        <v>59</v>
      </c>
      <c r="C262" s="12">
        <f>IF(LEFT(H262,5)="VALID",N262,"")</f>
        <v>59</v>
      </c>
      <c r="D262" s="10" t="s">
        <v>82</v>
      </c>
      <c r="E262" s="10" t="s">
        <v>431</v>
      </c>
      <c r="F262" s="10" t="s">
        <v>237</v>
      </c>
      <c r="G262" s="10" t="s">
        <v>219</v>
      </c>
      <c r="H262" s="11" t="str">
        <f>IF(OR(M262&lt;=0,N262&lt;=0),"SKIPPED - NONPOSITIVE",IF(OR(M262&lt;L262,N262&lt;L262),"SKIPPED - BELOW MIN",IF(OR(M262&gt;J262,N262&gt;K262),"SKIPPED - EXCEEDS BASE",IF(COUNTIFS($M$215:M261,M262,$N$215:N261,N262)&gt;0,"SKIPPED - DUPLICATE","VALID - GENERATED"))))</f>
        <v>VALID - GENERATED</v>
      </c>
      <c r="I262" s="10" t="s">
        <v>432</v>
      </c>
      <c r="J262" s="12">
        <f>'05-ISO Reference'!$B$8</f>
        <v>297</v>
      </c>
      <c r="K262" s="12">
        <f>'05-ISO Reference'!$C$8</f>
        <v>420</v>
      </c>
      <c r="L262" s="12">
        <f>'01-Process Controls'!$G$5</f>
        <v>3</v>
      </c>
      <c r="M262" s="12">
        <f>ROUNDDOWN(MIN(J262,K262)*'04-Variant Rules'!$D$52,0)</f>
        <v>59</v>
      </c>
      <c r="N262" s="12">
        <f>ROUNDDOWN(MIN(J262,K262)*'04-Variant Rules'!$D$52,0)</f>
        <v>59</v>
      </c>
      <c r="O262" s="9">
        <v>47</v>
      </c>
    </row>
    <row r="263" spans="1:15" ht="21" customHeight="1">
      <c r="A263" s="9" t="s">
        <v>480</v>
      </c>
      <c r="B263" s="12">
        <f>IF(LEFT(H263,5)="VALID",M263,"")</f>
        <v>297</v>
      </c>
      <c r="C263" s="12">
        <f>IF(LEFT(H263,5)="VALID",N263,"")</f>
        <v>222</v>
      </c>
      <c r="D263" s="10" t="s">
        <v>82</v>
      </c>
      <c r="E263" s="10" t="s">
        <v>431</v>
      </c>
      <c r="F263" s="10" t="s">
        <v>239</v>
      </c>
      <c r="G263" s="10" t="s">
        <v>240</v>
      </c>
      <c r="H263" s="11" t="str">
        <f>IF(OR(M263&lt;=0,N263&lt;=0),"SKIPPED - NONPOSITIVE",IF(OR(M263&lt;L263,N263&lt;L263),"SKIPPED - BELOW MIN",IF(OR(M263&gt;J263,N263&gt;K263),"SKIPPED - EXCEEDS BASE",IF(COUNTIFS($M$215:M262,M263,$N$215:N262,N263)&gt;0,"SKIPPED - DUPLICATE","VALID - GENERATED"))))</f>
        <v>VALID - GENERATED</v>
      </c>
      <c r="I263" s="10" t="s">
        <v>432</v>
      </c>
      <c r="J263" s="12">
        <f>'05-ISO Reference'!$B$8</f>
        <v>297</v>
      </c>
      <c r="K263" s="12">
        <f>'05-ISO Reference'!$C$8</f>
        <v>420</v>
      </c>
      <c r="L263" s="12">
        <f>'01-Process Controls'!$G$5</f>
        <v>3</v>
      </c>
      <c r="M263" s="12">
        <f>ROUNDDOWN(MIN(J263,K263*'04-Variant Rules'!$D$53),0)</f>
        <v>297</v>
      </c>
      <c r="N263" s="12">
        <f>ROUNDDOWN(M263/'04-Variant Rules'!$D$53,0)</f>
        <v>222</v>
      </c>
      <c r="O263" s="9">
        <v>48</v>
      </c>
    </row>
    <row r="264" spans="1:15" ht="21" customHeight="1">
      <c r="A264" s="9" t="s">
        <v>481</v>
      </c>
      <c r="B264" s="12">
        <f>IF(LEFT(H264,5)="VALID",M264,"")</f>
        <v>297</v>
      </c>
      <c r="C264" s="12">
        <f>IF(LEFT(H264,5)="VALID",N264,"")</f>
        <v>396</v>
      </c>
      <c r="D264" s="10" t="s">
        <v>82</v>
      </c>
      <c r="E264" s="10" t="s">
        <v>431</v>
      </c>
      <c r="F264" s="10" t="s">
        <v>242</v>
      </c>
      <c r="G264" s="10" t="s">
        <v>243</v>
      </c>
      <c r="H264" s="11" t="str">
        <f>IF(OR(M264&lt;=0,N264&lt;=0),"SKIPPED - NONPOSITIVE",IF(OR(M264&lt;L264,N264&lt;L264),"SKIPPED - BELOW MIN",IF(OR(M264&gt;J264,N264&gt;K264),"SKIPPED - EXCEEDS BASE",IF(COUNTIFS($M$215:M263,M264,$N$215:N263,N264)&gt;0,"SKIPPED - DUPLICATE","VALID - GENERATED"))))</f>
        <v>VALID - GENERATED</v>
      </c>
      <c r="I264" s="10" t="s">
        <v>432</v>
      </c>
      <c r="J264" s="12">
        <f>'05-ISO Reference'!$B$8</f>
        <v>297</v>
      </c>
      <c r="K264" s="12">
        <f>'05-ISO Reference'!$C$8</f>
        <v>420</v>
      </c>
      <c r="L264" s="12">
        <f>'01-Process Controls'!$G$5</f>
        <v>3</v>
      </c>
      <c r="M264" s="12">
        <f>ROUNDDOWN(MIN(J264,K264*'04-Variant Rules'!$D$54),0)</f>
        <v>297</v>
      </c>
      <c r="N264" s="12">
        <f>ROUNDDOWN(M264/'04-Variant Rules'!$D$54,0)</f>
        <v>396</v>
      </c>
      <c r="O264" s="9">
        <v>49</v>
      </c>
    </row>
    <row r="265" spans="1:15" ht="21" customHeight="1">
      <c r="A265" s="9" t="s">
        <v>482</v>
      </c>
      <c r="B265" s="12">
        <f>IF(LEFT(H265,5)="VALID",M265,"")</f>
        <v>297</v>
      </c>
      <c r="C265" s="12">
        <f>IF(LEFT(H265,5)="VALID",N265,"")</f>
        <v>198</v>
      </c>
      <c r="D265" s="10" t="s">
        <v>82</v>
      </c>
      <c r="E265" s="10" t="s">
        <v>431</v>
      </c>
      <c r="F265" s="10" t="s">
        <v>245</v>
      </c>
      <c r="G265" s="10" t="s">
        <v>246</v>
      </c>
      <c r="H265" s="11" t="str">
        <f>IF(OR(M265&lt;=0,N265&lt;=0),"SKIPPED - NONPOSITIVE",IF(OR(M265&lt;L265,N265&lt;L265),"SKIPPED - BELOW MIN",IF(OR(M265&gt;J265,N265&gt;K265),"SKIPPED - EXCEEDS BASE",IF(COUNTIFS($M$215:M264,M265,$N$215:N264,N265)&gt;0,"SKIPPED - DUPLICATE","VALID - GENERATED"))))</f>
        <v>VALID - GENERATED</v>
      </c>
      <c r="I265" s="10" t="s">
        <v>432</v>
      </c>
      <c r="J265" s="12">
        <f>'05-ISO Reference'!$B$8</f>
        <v>297</v>
      </c>
      <c r="K265" s="12">
        <f>'05-ISO Reference'!$C$8</f>
        <v>420</v>
      </c>
      <c r="L265" s="12">
        <f>'01-Process Controls'!$G$5</f>
        <v>3</v>
      </c>
      <c r="M265" s="12">
        <f>ROUNDDOWN(MIN(J265,K265*'04-Variant Rules'!$D$55),0)</f>
        <v>297</v>
      </c>
      <c r="N265" s="12">
        <f>ROUNDDOWN(M265/'04-Variant Rules'!$D$55,0)</f>
        <v>198</v>
      </c>
      <c r="O265" s="9">
        <v>50</v>
      </c>
    </row>
    <row r="266" spans="1:15" ht="21" customHeight="1">
      <c r="A266" s="9" t="s">
        <v>483</v>
      </c>
      <c r="B266" s="12">
        <f>IF(LEFT(H266,5)="VALID",M266,"")</f>
        <v>280</v>
      </c>
      <c r="C266" s="12">
        <f>IF(LEFT(H266,5)="VALID",N266,"")</f>
        <v>420</v>
      </c>
      <c r="D266" s="10" t="s">
        <v>82</v>
      </c>
      <c r="E266" s="10" t="s">
        <v>431</v>
      </c>
      <c r="F266" s="10" t="s">
        <v>248</v>
      </c>
      <c r="G266" s="10" t="s">
        <v>249</v>
      </c>
      <c r="H266" s="11" t="str">
        <f>IF(OR(M266&lt;=0,N266&lt;=0),"SKIPPED - NONPOSITIVE",IF(OR(M266&lt;L266,N266&lt;L266),"SKIPPED - BELOW MIN",IF(OR(M266&gt;J266,N266&gt;K266),"SKIPPED - EXCEEDS BASE",IF(COUNTIFS($M$215:M265,M266,$N$215:N265,N266)&gt;0,"SKIPPED - DUPLICATE","VALID - GENERATED"))))</f>
        <v>VALID - GENERATED</v>
      </c>
      <c r="I266" s="10" t="s">
        <v>432</v>
      </c>
      <c r="J266" s="12">
        <f>'05-ISO Reference'!$B$8</f>
        <v>297</v>
      </c>
      <c r="K266" s="12">
        <f>'05-ISO Reference'!$C$8</f>
        <v>420</v>
      </c>
      <c r="L266" s="12">
        <f>'01-Process Controls'!$G$5</f>
        <v>3</v>
      </c>
      <c r="M266" s="12">
        <f>ROUNDDOWN(MIN(J266,K266*'04-Variant Rules'!$D$56),0)</f>
        <v>280</v>
      </c>
      <c r="N266" s="12">
        <f>ROUNDDOWN(M266/'04-Variant Rules'!$D$56,0)</f>
        <v>420</v>
      </c>
      <c r="O266" s="9">
        <v>51</v>
      </c>
    </row>
    <row r="267" spans="1:15" ht="21" customHeight="1">
      <c r="A267" s="9" t="s">
        <v>484</v>
      </c>
      <c r="B267" s="12">
        <f>IF(LEFT(H267,5)="VALID",M267,"")</f>
        <v>297</v>
      </c>
      <c r="C267" s="12">
        <f>IF(LEFT(H267,5)="VALID",N267,"")</f>
        <v>167</v>
      </c>
      <c r="D267" s="10" t="s">
        <v>82</v>
      </c>
      <c r="E267" s="10" t="s">
        <v>431</v>
      </c>
      <c r="F267" s="10" t="s">
        <v>251</v>
      </c>
      <c r="G267" s="10" t="s">
        <v>252</v>
      </c>
      <c r="H267" s="11" t="str">
        <f>IF(OR(M267&lt;=0,N267&lt;=0),"SKIPPED - NONPOSITIVE",IF(OR(M267&lt;L267,N267&lt;L267),"SKIPPED - BELOW MIN",IF(OR(M267&gt;J267,N267&gt;K267),"SKIPPED - EXCEEDS BASE",IF(COUNTIFS($M$215:M266,M267,$N$215:N266,N267)&gt;0,"SKIPPED - DUPLICATE","VALID - GENERATED"))))</f>
        <v>VALID - GENERATED</v>
      </c>
      <c r="I267" s="10" t="s">
        <v>432</v>
      </c>
      <c r="J267" s="12">
        <f>'05-ISO Reference'!$B$8</f>
        <v>297</v>
      </c>
      <c r="K267" s="12">
        <f>'05-ISO Reference'!$C$8</f>
        <v>420</v>
      </c>
      <c r="L267" s="12">
        <f>'01-Process Controls'!$G$5</f>
        <v>3</v>
      </c>
      <c r="M267" s="12">
        <f>ROUNDDOWN(MIN(J267,K267*'04-Variant Rules'!$D$57),0)</f>
        <v>297</v>
      </c>
      <c r="N267" s="12">
        <f>ROUNDDOWN(M267/'04-Variant Rules'!$D$57,0)</f>
        <v>167</v>
      </c>
      <c r="O267" s="9">
        <v>52</v>
      </c>
    </row>
    <row r="268" spans="1:15" ht="21" customHeight="1">
      <c r="A268" s="9" t="s">
        <v>485</v>
      </c>
      <c r="B268" s="12">
        <f>IF(LEFT(H268,5)="VALID",M268,"")</f>
        <v>236</v>
      </c>
      <c r="C268" s="12">
        <f>IF(LEFT(H268,5)="VALID",N268,"")</f>
        <v>419</v>
      </c>
      <c r="D268" s="10" t="s">
        <v>82</v>
      </c>
      <c r="E268" s="10" t="s">
        <v>431</v>
      </c>
      <c r="F268" s="10" t="s">
        <v>254</v>
      </c>
      <c r="G268" s="10" t="s">
        <v>255</v>
      </c>
      <c r="H268" s="11" t="str">
        <f>IF(OR(M268&lt;=0,N268&lt;=0),"SKIPPED - NONPOSITIVE",IF(OR(M268&lt;L268,N268&lt;L268),"SKIPPED - BELOW MIN",IF(OR(M268&gt;J268,N268&gt;K268),"SKIPPED - EXCEEDS BASE",IF(COUNTIFS($M$215:M267,M268,$N$215:N267,N268)&gt;0,"SKIPPED - DUPLICATE","VALID - GENERATED"))))</f>
        <v>VALID - GENERATED</v>
      </c>
      <c r="I268" s="10" t="s">
        <v>432</v>
      </c>
      <c r="J268" s="12">
        <f>'05-ISO Reference'!$B$8</f>
        <v>297</v>
      </c>
      <c r="K268" s="12">
        <f>'05-ISO Reference'!$C$8</f>
        <v>420</v>
      </c>
      <c r="L268" s="12">
        <f>'01-Process Controls'!$G$5</f>
        <v>3</v>
      </c>
      <c r="M268" s="12">
        <f>ROUNDDOWN(MIN(J268,K268*'04-Variant Rules'!$D$58),0)</f>
        <v>236</v>
      </c>
      <c r="N268" s="12">
        <f>ROUNDDOWN(M268/'04-Variant Rules'!$D$58,0)</f>
        <v>419</v>
      </c>
      <c r="O268" s="9">
        <v>53</v>
      </c>
    </row>
    <row r="269" spans="1:15" ht="21" customHeight="1">
      <c r="A269" s="9" t="s">
        <v>486</v>
      </c>
      <c r="B269" s="12">
        <f>IF(LEFT(H269,5)="VALID",M269,"")</f>
        <v>297</v>
      </c>
      <c r="C269" s="12">
        <f>IF(LEFT(H269,5)="VALID",N269,"")</f>
        <v>148</v>
      </c>
      <c r="D269" s="10" t="s">
        <v>82</v>
      </c>
      <c r="E269" s="10" t="s">
        <v>431</v>
      </c>
      <c r="F269" s="10" t="s">
        <v>257</v>
      </c>
      <c r="G269" s="10" t="s">
        <v>258</v>
      </c>
      <c r="H269" s="11" t="str">
        <f>IF(OR(M269&lt;=0,N269&lt;=0),"SKIPPED - NONPOSITIVE",IF(OR(M269&lt;L269,N269&lt;L269),"SKIPPED - BELOW MIN",IF(OR(M269&gt;J269,N269&gt;K269),"SKIPPED - EXCEEDS BASE",IF(COUNTIFS($M$215:M268,M269,$N$215:N268,N269)&gt;0,"SKIPPED - DUPLICATE","VALID - GENERATED"))))</f>
        <v>VALID - GENERATED</v>
      </c>
      <c r="I269" s="10" t="s">
        <v>432</v>
      </c>
      <c r="J269" s="12">
        <f>'05-ISO Reference'!$B$8</f>
        <v>297</v>
      </c>
      <c r="K269" s="12">
        <f>'05-ISO Reference'!$C$8</f>
        <v>420</v>
      </c>
      <c r="L269" s="12">
        <f>'01-Process Controls'!$G$5</f>
        <v>3</v>
      </c>
      <c r="M269" s="12">
        <f>ROUNDDOWN(MIN(J269,K269*'04-Variant Rules'!$D$59),0)</f>
        <v>297</v>
      </c>
      <c r="N269" s="12">
        <f>ROUNDDOWN(M269/'04-Variant Rules'!$D$59,0)</f>
        <v>148</v>
      </c>
      <c r="O269" s="9">
        <v>54</v>
      </c>
    </row>
    <row r="270" spans="1:15" ht="21" customHeight="1">
      <c r="A270" s="9" t="s">
        <v>487</v>
      </c>
      <c r="B270" s="12">
        <f>IF(LEFT(H270,5)="VALID",M270,"")</f>
        <v>210</v>
      </c>
      <c r="C270" s="12">
        <f>IF(LEFT(H270,5)="VALID",N270,"")</f>
        <v>420</v>
      </c>
      <c r="D270" s="10" t="s">
        <v>82</v>
      </c>
      <c r="E270" s="10" t="s">
        <v>431</v>
      </c>
      <c r="F270" s="10" t="s">
        <v>260</v>
      </c>
      <c r="G270" s="10" t="s">
        <v>261</v>
      </c>
      <c r="H270" s="11" t="str">
        <f>IF(OR(M270&lt;=0,N270&lt;=0),"SKIPPED - NONPOSITIVE",IF(OR(M270&lt;L270,N270&lt;L270),"SKIPPED - BELOW MIN",IF(OR(M270&gt;J270,N270&gt;K270),"SKIPPED - EXCEEDS BASE",IF(COUNTIFS($M$215:M269,M270,$N$215:N269,N270)&gt;0,"SKIPPED - DUPLICATE","VALID - GENERATED"))))</f>
        <v>VALID - GENERATED</v>
      </c>
      <c r="I270" s="10" t="s">
        <v>432</v>
      </c>
      <c r="J270" s="12">
        <f>'05-ISO Reference'!$B$8</f>
        <v>297</v>
      </c>
      <c r="K270" s="12">
        <f>'05-ISO Reference'!$C$8</f>
        <v>420</v>
      </c>
      <c r="L270" s="12">
        <f>'01-Process Controls'!$G$5</f>
        <v>3</v>
      </c>
      <c r="M270" s="12">
        <f>ROUNDDOWN(MIN(J270,K270*'04-Variant Rules'!$D$60),0)</f>
        <v>210</v>
      </c>
      <c r="N270" s="12">
        <f>ROUNDDOWN(M270/'04-Variant Rules'!$D$60,0)</f>
        <v>420</v>
      </c>
      <c r="O270" s="9">
        <v>55</v>
      </c>
    </row>
    <row r="271" spans="1:15" ht="21" customHeight="1">
      <c r="A271" s="9" t="s">
        <v>488</v>
      </c>
      <c r="B271" s="48"/>
      <c r="C271" s="48"/>
      <c r="D271" s="10" t="s">
        <v>263</v>
      </c>
      <c r="E271" s="10" t="s">
        <v>489</v>
      </c>
      <c r="F271" s="10" t="s">
        <v>265</v>
      </c>
      <c r="G271" s="10" t="s">
        <v>266</v>
      </c>
      <c r="H271" s="11" t="str">
        <f>IF(AND(B271="",C271=""),"CUSTOM BLANK",IF(OR(B271="",C271=""),"ERROR - ENTER BOTH",IF(OR(B271&lt;=0,C271&lt;=0),"ERROR - NONPOSITIVE",IF(OR(B271&lt;L271,C271&lt;L271),"ERROR - BELOW MIN",IF(OR(AND(B271&lt;=J271,C271&lt;=K271),AND(B271&lt;=K271,C271&lt;=J271)),"VALID - CUSTOM","ERROR - EXCEEDS BASE")))))</f>
        <v>CUSTOM BLANK</v>
      </c>
      <c r="I271" s="10" t="s">
        <v>267</v>
      </c>
      <c r="J271" s="12">
        <f>'05-ISO Reference'!$B$8</f>
        <v>297</v>
      </c>
      <c r="K271" s="12">
        <f>'05-ISO Reference'!$C$8</f>
        <v>420</v>
      </c>
      <c r="L271" s="12">
        <f>'01-Process Controls'!$G$5</f>
        <v>3</v>
      </c>
      <c r="M271" s="8"/>
      <c r="N271" s="8"/>
    </row>
    <row r="272" spans="1:15" ht="21" customHeight="1">
      <c r="A272" s="9" t="s">
        <v>490</v>
      </c>
      <c r="B272" s="48"/>
      <c r="C272" s="48"/>
      <c r="D272" s="10" t="s">
        <v>263</v>
      </c>
      <c r="E272" s="10" t="s">
        <v>489</v>
      </c>
      <c r="F272" s="10" t="s">
        <v>265</v>
      </c>
      <c r="G272" s="10" t="s">
        <v>266</v>
      </c>
      <c r="H272" s="11" t="str">
        <f>IF(AND(B272="",C272=""),"CUSTOM BLANK",IF(OR(B272="",C272=""),"ERROR - ENTER BOTH",IF(OR(B272&lt;=0,C272&lt;=0),"ERROR - NONPOSITIVE",IF(OR(B272&lt;L272,C272&lt;L272),"ERROR - BELOW MIN",IF(OR(AND(B272&lt;=J272,C272&lt;=K272),AND(B272&lt;=K272,C272&lt;=J272)),"VALID - CUSTOM","ERROR - EXCEEDS BASE")))))</f>
        <v>CUSTOM BLANK</v>
      </c>
      <c r="I272" s="10" t="s">
        <v>267</v>
      </c>
      <c r="J272" s="12">
        <f>'05-ISO Reference'!$B$8</f>
        <v>297</v>
      </c>
      <c r="K272" s="12">
        <f>'05-ISO Reference'!$C$8</f>
        <v>420</v>
      </c>
      <c r="L272" s="12">
        <f>'01-Process Controls'!$G$5</f>
        <v>3</v>
      </c>
      <c r="M272" s="8"/>
      <c r="N272" s="8"/>
    </row>
    <row r="273" spans="1:15" ht="21" customHeight="1">
      <c r="A273" s="9" t="s">
        <v>491</v>
      </c>
      <c r="B273" s="48"/>
      <c r="C273" s="48"/>
      <c r="D273" s="10" t="s">
        <v>263</v>
      </c>
      <c r="E273" s="10" t="s">
        <v>489</v>
      </c>
      <c r="F273" s="10" t="s">
        <v>265</v>
      </c>
      <c r="G273" s="10" t="s">
        <v>266</v>
      </c>
      <c r="H273" s="11" t="str">
        <f>IF(AND(B273="",C273=""),"CUSTOM BLANK",IF(OR(B273="",C273=""),"ERROR - ENTER BOTH",IF(OR(B273&lt;=0,C273&lt;=0),"ERROR - NONPOSITIVE",IF(OR(B273&lt;L273,C273&lt;L273),"ERROR - BELOW MIN",IF(OR(AND(B273&lt;=J273,C273&lt;=K273),AND(B273&lt;=K273,C273&lt;=J273)),"VALID - CUSTOM","ERROR - EXCEEDS BASE")))))</f>
        <v>CUSTOM BLANK</v>
      </c>
      <c r="I273" s="10" t="s">
        <v>267</v>
      </c>
      <c r="J273" s="12">
        <f>'05-ISO Reference'!$B$8</f>
        <v>297</v>
      </c>
      <c r="K273" s="12">
        <f>'05-ISO Reference'!$C$8</f>
        <v>420</v>
      </c>
      <c r="L273" s="12">
        <f>'01-Process Controls'!$G$5</f>
        <v>3</v>
      </c>
      <c r="M273" s="8"/>
      <c r="N273" s="8"/>
    </row>
    <row r="274" spans="1:15" ht="21" customHeight="1">
      <c r="A274" s="9" t="s">
        <v>492</v>
      </c>
      <c r="B274" s="48"/>
      <c r="C274" s="48"/>
      <c r="D274" s="10" t="s">
        <v>263</v>
      </c>
      <c r="E274" s="10" t="s">
        <v>489</v>
      </c>
      <c r="F274" s="10" t="s">
        <v>265</v>
      </c>
      <c r="G274" s="10" t="s">
        <v>266</v>
      </c>
      <c r="H274" s="11" t="str">
        <f>IF(AND(B274="",C274=""),"CUSTOM BLANK",IF(OR(B274="",C274=""),"ERROR - ENTER BOTH",IF(OR(B274&lt;=0,C274&lt;=0),"ERROR - NONPOSITIVE",IF(OR(B274&lt;L274,C274&lt;L274),"ERROR - BELOW MIN",IF(OR(AND(B274&lt;=J274,C274&lt;=K274),AND(B274&lt;=K274,C274&lt;=J274)),"VALID - CUSTOM","ERROR - EXCEEDS BASE")))))</f>
        <v>CUSTOM BLANK</v>
      </c>
      <c r="I274" s="10" t="s">
        <v>267</v>
      </c>
      <c r="J274" s="12">
        <f>'05-ISO Reference'!$B$8</f>
        <v>297</v>
      </c>
      <c r="K274" s="12">
        <f>'05-ISO Reference'!$C$8</f>
        <v>420</v>
      </c>
      <c r="L274" s="12">
        <f>'01-Process Controls'!$G$5</f>
        <v>3</v>
      </c>
      <c r="M274" s="8"/>
      <c r="N274" s="8"/>
    </row>
    <row r="275" spans="1:15" ht="21" customHeight="1">
      <c r="A275" s="9" t="s">
        <v>493</v>
      </c>
      <c r="B275" s="48"/>
      <c r="C275" s="48"/>
      <c r="D275" s="10" t="s">
        <v>263</v>
      </c>
      <c r="E275" s="10" t="s">
        <v>489</v>
      </c>
      <c r="F275" s="10" t="s">
        <v>265</v>
      </c>
      <c r="G275" s="10" t="s">
        <v>266</v>
      </c>
      <c r="H275" s="11" t="str">
        <f>IF(AND(B275="",C275=""),"CUSTOM BLANK",IF(OR(B275="",C275=""),"ERROR - ENTER BOTH",IF(OR(B275&lt;=0,C275&lt;=0),"ERROR - NONPOSITIVE",IF(OR(B275&lt;L275,C275&lt;L275),"ERROR - BELOW MIN",IF(OR(AND(B275&lt;=J275,C275&lt;=K275),AND(B275&lt;=K275,C275&lt;=J275)),"VALID - CUSTOM","ERROR - EXCEEDS BASE")))))</f>
        <v>CUSTOM BLANK</v>
      </c>
      <c r="I275" s="10" t="s">
        <v>267</v>
      </c>
      <c r="J275" s="12">
        <f>'05-ISO Reference'!$B$8</f>
        <v>297</v>
      </c>
      <c r="K275" s="12">
        <f>'05-ISO Reference'!$C$8</f>
        <v>420</v>
      </c>
      <c r="L275" s="12">
        <f>'01-Process Controls'!$G$5</f>
        <v>3</v>
      </c>
      <c r="M275" s="8"/>
      <c r="N275" s="8"/>
    </row>
    <row r="276" spans="1:15" ht="21" customHeight="1">
      <c r="A276" s="9" t="s">
        <v>494</v>
      </c>
      <c r="B276" s="48"/>
      <c r="C276" s="48"/>
      <c r="D276" s="10" t="s">
        <v>263</v>
      </c>
      <c r="E276" s="10" t="s">
        <v>489</v>
      </c>
      <c r="F276" s="10" t="s">
        <v>265</v>
      </c>
      <c r="G276" s="10" t="s">
        <v>266</v>
      </c>
      <c r="H276" s="11" t="str">
        <f>IF(AND(B276="",C276=""),"CUSTOM BLANK",IF(OR(B276="",C276=""),"ERROR - ENTER BOTH",IF(OR(B276&lt;=0,C276&lt;=0),"ERROR - NONPOSITIVE",IF(OR(B276&lt;L276,C276&lt;L276),"ERROR - BELOW MIN",IF(OR(AND(B276&lt;=J276,C276&lt;=K276),AND(B276&lt;=K276,C276&lt;=J276)),"VALID - CUSTOM","ERROR - EXCEEDS BASE")))))</f>
        <v>CUSTOM BLANK</v>
      </c>
      <c r="I276" s="10" t="s">
        <v>267</v>
      </c>
      <c r="J276" s="12">
        <f>'05-ISO Reference'!$B$8</f>
        <v>297</v>
      </c>
      <c r="K276" s="12">
        <f>'05-ISO Reference'!$C$8</f>
        <v>420</v>
      </c>
      <c r="L276" s="12">
        <f>'01-Process Controls'!$G$5</f>
        <v>3</v>
      </c>
      <c r="M276" s="8"/>
      <c r="N276" s="8"/>
    </row>
    <row r="277" spans="1:15" ht="21" customHeight="1">
      <c r="A277" s="9" t="s">
        <v>495</v>
      </c>
      <c r="B277" s="48"/>
      <c r="C277" s="48"/>
      <c r="D277" s="10" t="s">
        <v>263</v>
      </c>
      <c r="E277" s="10" t="s">
        <v>489</v>
      </c>
      <c r="F277" s="10" t="s">
        <v>265</v>
      </c>
      <c r="G277" s="10" t="s">
        <v>266</v>
      </c>
      <c r="H277" s="11" t="str">
        <f>IF(AND(B277="",C277=""),"CUSTOM BLANK",IF(OR(B277="",C277=""),"ERROR - ENTER BOTH",IF(OR(B277&lt;=0,C277&lt;=0),"ERROR - NONPOSITIVE",IF(OR(B277&lt;L277,C277&lt;L277),"ERROR - BELOW MIN",IF(OR(AND(B277&lt;=J277,C277&lt;=K277),AND(B277&lt;=K277,C277&lt;=J277)),"VALID - CUSTOM","ERROR - EXCEEDS BASE")))))</f>
        <v>CUSTOM BLANK</v>
      </c>
      <c r="I277" s="10" t="s">
        <v>267</v>
      </c>
      <c r="J277" s="12">
        <f>'05-ISO Reference'!$B$8</f>
        <v>297</v>
      </c>
      <c r="K277" s="12">
        <f>'05-ISO Reference'!$C$8</f>
        <v>420</v>
      </c>
      <c r="L277" s="12">
        <f>'01-Process Controls'!$G$5</f>
        <v>3</v>
      </c>
      <c r="M277" s="8"/>
      <c r="N277" s="8"/>
    </row>
    <row r="278" spans="1:15" ht="21" customHeight="1">
      <c r="A278" s="9" t="s">
        <v>496</v>
      </c>
      <c r="B278" s="48"/>
      <c r="C278" s="48"/>
      <c r="D278" s="10" t="s">
        <v>263</v>
      </c>
      <c r="E278" s="10" t="s">
        <v>489</v>
      </c>
      <c r="F278" s="10" t="s">
        <v>265</v>
      </c>
      <c r="G278" s="10" t="s">
        <v>266</v>
      </c>
      <c r="H278" s="11" t="str">
        <f>IF(AND(B278="",C278=""),"CUSTOM BLANK",IF(OR(B278="",C278=""),"ERROR - ENTER BOTH",IF(OR(B278&lt;=0,C278&lt;=0),"ERROR - NONPOSITIVE",IF(OR(B278&lt;L278,C278&lt;L278),"ERROR - BELOW MIN",IF(OR(AND(B278&lt;=J278,C278&lt;=K278),AND(B278&lt;=K278,C278&lt;=J278)),"VALID - CUSTOM","ERROR - EXCEEDS BASE")))))</f>
        <v>CUSTOM BLANK</v>
      </c>
      <c r="I278" s="10" t="s">
        <v>267</v>
      </c>
      <c r="J278" s="12">
        <f>'05-ISO Reference'!$B$8</f>
        <v>297</v>
      </c>
      <c r="K278" s="12">
        <f>'05-ISO Reference'!$C$8</f>
        <v>420</v>
      </c>
      <c r="L278" s="12">
        <f>'01-Process Controls'!$G$5</f>
        <v>3</v>
      </c>
      <c r="M278" s="8"/>
      <c r="N278" s="8"/>
    </row>
    <row r="279" spans="1:15" ht="21" customHeight="1">
      <c r="A279" s="9" t="s">
        <v>497</v>
      </c>
      <c r="B279" s="48"/>
      <c r="C279" s="48"/>
      <c r="D279" s="10" t="s">
        <v>263</v>
      </c>
      <c r="E279" s="10" t="s">
        <v>489</v>
      </c>
      <c r="F279" s="10" t="s">
        <v>265</v>
      </c>
      <c r="G279" s="10" t="s">
        <v>266</v>
      </c>
      <c r="H279" s="11" t="str">
        <f>IF(AND(B279="",C279=""),"CUSTOM BLANK",IF(OR(B279="",C279=""),"ERROR - ENTER BOTH",IF(OR(B279&lt;=0,C279&lt;=0),"ERROR - NONPOSITIVE",IF(OR(B279&lt;L279,C279&lt;L279),"ERROR - BELOW MIN",IF(OR(AND(B279&lt;=J279,C279&lt;=K279),AND(B279&lt;=K279,C279&lt;=J279)),"VALID - CUSTOM","ERROR - EXCEEDS BASE")))))</f>
        <v>CUSTOM BLANK</v>
      </c>
      <c r="I279" s="10" t="s">
        <v>267</v>
      </c>
      <c r="J279" s="12">
        <f>'05-ISO Reference'!$B$8</f>
        <v>297</v>
      </c>
      <c r="K279" s="12">
        <f>'05-ISO Reference'!$C$8</f>
        <v>420</v>
      </c>
      <c r="L279" s="12">
        <f>'01-Process Controls'!$G$5</f>
        <v>3</v>
      </c>
      <c r="M279" s="8"/>
      <c r="N279" s="8"/>
    </row>
    <row r="280" spans="1:15" ht="21" customHeight="1">
      <c r="A280" s="9" t="s">
        <v>498</v>
      </c>
      <c r="B280" s="48"/>
      <c r="C280" s="48"/>
      <c r="D280" s="10" t="s">
        <v>263</v>
      </c>
      <c r="E280" s="10" t="s">
        <v>489</v>
      </c>
      <c r="F280" s="10" t="s">
        <v>265</v>
      </c>
      <c r="G280" s="10" t="s">
        <v>266</v>
      </c>
      <c r="H280" s="11" t="str">
        <f>IF(AND(B280="",C280=""),"CUSTOM BLANK",IF(OR(B280="",C280=""),"ERROR - ENTER BOTH",IF(OR(B280&lt;=0,C280&lt;=0),"ERROR - NONPOSITIVE",IF(OR(B280&lt;L280,C280&lt;L280),"ERROR - BELOW MIN",IF(OR(AND(B280&lt;=J280,C280&lt;=K280),AND(B280&lt;=K280,C280&lt;=J280)),"VALID - CUSTOM","ERROR - EXCEEDS BASE")))))</f>
        <v>CUSTOM BLANK</v>
      </c>
      <c r="I280" s="10" t="s">
        <v>267</v>
      </c>
      <c r="J280" s="12">
        <f>'05-ISO Reference'!$B$8</f>
        <v>297</v>
      </c>
      <c r="K280" s="12">
        <f>'05-ISO Reference'!$C$8</f>
        <v>420</v>
      </c>
      <c r="L280" s="12">
        <f>'01-Process Controls'!$G$5</f>
        <v>3</v>
      </c>
      <c r="M280" s="8"/>
      <c r="N280" s="8"/>
    </row>
    <row r="281" spans="1:15" ht="21" customHeight="1">
      <c r="A281" s="9" t="s">
        <v>499</v>
      </c>
      <c r="B281" s="48"/>
      <c r="C281" s="48"/>
      <c r="D281" s="10" t="s">
        <v>263</v>
      </c>
      <c r="E281" s="10" t="s">
        <v>489</v>
      </c>
      <c r="F281" s="10" t="s">
        <v>265</v>
      </c>
      <c r="G281" s="10" t="s">
        <v>266</v>
      </c>
      <c r="H281" s="11" t="str">
        <f>IF(AND(B281="",C281=""),"CUSTOM BLANK",IF(OR(B281="",C281=""),"ERROR - ENTER BOTH",IF(OR(B281&lt;=0,C281&lt;=0),"ERROR - NONPOSITIVE",IF(OR(B281&lt;L281,C281&lt;L281),"ERROR - BELOW MIN",IF(OR(AND(B281&lt;=J281,C281&lt;=K281),AND(B281&lt;=K281,C281&lt;=J281)),"VALID - CUSTOM","ERROR - EXCEEDS BASE")))))</f>
        <v>CUSTOM BLANK</v>
      </c>
      <c r="I281" s="10" t="s">
        <v>267</v>
      </c>
      <c r="J281" s="12">
        <f>'05-ISO Reference'!$B$8</f>
        <v>297</v>
      </c>
      <c r="K281" s="12">
        <f>'05-ISO Reference'!$C$8</f>
        <v>420</v>
      </c>
      <c r="L281" s="12">
        <f>'01-Process Controls'!$G$5</f>
        <v>3</v>
      </c>
      <c r="M281" s="8"/>
      <c r="N281" s="8"/>
    </row>
    <row r="282" spans="1:15" ht="21" customHeight="1">
      <c r="A282" s="9" t="s">
        <v>500</v>
      </c>
      <c r="B282" s="48"/>
      <c r="C282" s="48"/>
      <c r="D282" s="10" t="s">
        <v>263</v>
      </c>
      <c r="E282" s="10" t="s">
        <v>489</v>
      </c>
      <c r="F282" s="10" t="s">
        <v>265</v>
      </c>
      <c r="G282" s="10" t="s">
        <v>266</v>
      </c>
      <c r="H282" s="11" t="str">
        <f>IF(AND(B282="",C282=""),"CUSTOM BLANK",IF(OR(B282="",C282=""),"ERROR - ENTER BOTH",IF(OR(B282&lt;=0,C282&lt;=0),"ERROR - NONPOSITIVE",IF(OR(B282&lt;L282,C282&lt;L282),"ERROR - BELOW MIN",IF(OR(AND(B282&lt;=J282,C282&lt;=K282),AND(B282&lt;=K282,C282&lt;=J282)),"VALID - CUSTOM","ERROR - EXCEEDS BASE")))))</f>
        <v>CUSTOM BLANK</v>
      </c>
      <c r="I282" s="10" t="s">
        <v>267</v>
      </c>
      <c r="J282" s="12">
        <f>'05-ISO Reference'!$B$8</f>
        <v>297</v>
      </c>
      <c r="K282" s="12">
        <f>'05-ISO Reference'!$C$8</f>
        <v>420</v>
      </c>
      <c r="L282" s="12">
        <f>'01-Process Controls'!$G$5</f>
        <v>3</v>
      </c>
      <c r="M282" s="8"/>
      <c r="N282" s="8"/>
    </row>
    <row r="283" spans="1:15" ht="21" customHeight="1">
      <c r="A283" s="9" t="s">
        <v>501</v>
      </c>
      <c r="B283" s="48"/>
      <c r="C283" s="48"/>
      <c r="D283" s="10" t="s">
        <v>263</v>
      </c>
      <c r="E283" s="10" t="s">
        <v>489</v>
      </c>
      <c r="F283" s="10" t="s">
        <v>265</v>
      </c>
      <c r="G283" s="10" t="s">
        <v>266</v>
      </c>
      <c r="H283" s="11" t="str">
        <f>IF(AND(B283="",C283=""),"CUSTOM BLANK",IF(OR(B283="",C283=""),"ERROR - ENTER BOTH",IF(OR(B283&lt;=0,C283&lt;=0),"ERROR - NONPOSITIVE",IF(OR(B283&lt;L283,C283&lt;L283),"ERROR - BELOW MIN",IF(OR(AND(B283&lt;=J283,C283&lt;=K283),AND(B283&lt;=K283,C283&lt;=J283)),"VALID - CUSTOM","ERROR - EXCEEDS BASE")))))</f>
        <v>CUSTOM BLANK</v>
      </c>
      <c r="I283" s="10" t="s">
        <v>267</v>
      </c>
      <c r="J283" s="12">
        <f>'05-ISO Reference'!$B$8</f>
        <v>297</v>
      </c>
      <c r="K283" s="12">
        <f>'05-ISO Reference'!$C$8</f>
        <v>420</v>
      </c>
      <c r="L283" s="12">
        <f>'01-Process Controls'!$G$5</f>
        <v>3</v>
      </c>
      <c r="M283" s="8"/>
      <c r="N283" s="8"/>
    </row>
    <row r="284" spans="1:15" ht="21" customHeight="1">
      <c r="A284" s="9" t="s">
        <v>502</v>
      </c>
      <c r="B284" s="48"/>
      <c r="C284" s="48"/>
      <c r="D284" s="10" t="s">
        <v>263</v>
      </c>
      <c r="E284" s="10" t="s">
        <v>489</v>
      </c>
      <c r="F284" s="10" t="s">
        <v>265</v>
      </c>
      <c r="G284" s="10" t="s">
        <v>266</v>
      </c>
      <c r="H284" s="11" t="str">
        <f>IF(AND(B284="",C284=""),"CUSTOM BLANK",IF(OR(B284="",C284=""),"ERROR - ENTER BOTH",IF(OR(B284&lt;=0,C284&lt;=0),"ERROR - NONPOSITIVE",IF(OR(B284&lt;L284,C284&lt;L284),"ERROR - BELOW MIN",IF(OR(AND(B284&lt;=J284,C284&lt;=K284),AND(B284&lt;=K284,C284&lt;=J284)),"VALID - CUSTOM","ERROR - EXCEEDS BASE")))))</f>
        <v>CUSTOM BLANK</v>
      </c>
      <c r="I284" s="10" t="s">
        <v>267</v>
      </c>
      <c r="J284" s="12">
        <f>'05-ISO Reference'!$B$8</f>
        <v>297</v>
      </c>
      <c r="K284" s="12">
        <f>'05-ISO Reference'!$C$8</f>
        <v>420</v>
      </c>
      <c r="L284" s="12">
        <f>'01-Process Controls'!$G$5</f>
        <v>3</v>
      </c>
      <c r="M284" s="8"/>
      <c r="N284" s="8"/>
    </row>
    <row r="285" spans="1:15" ht="21" customHeight="1">
      <c r="A285" s="9" t="s">
        <v>503</v>
      </c>
      <c r="B285" s="48"/>
      <c r="C285" s="48"/>
      <c r="D285" s="10" t="s">
        <v>263</v>
      </c>
      <c r="E285" s="10" t="s">
        <v>489</v>
      </c>
      <c r="F285" s="10" t="s">
        <v>265</v>
      </c>
      <c r="G285" s="10" t="s">
        <v>266</v>
      </c>
      <c r="H285" s="11" t="str">
        <f>IF(AND(B285="",C285=""),"CUSTOM BLANK",IF(OR(B285="",C285=""),"ERROR - ENTER BOTH",IF(OR(B285&lt;=0,C285&lt;=0),"ERROR - NONPOSITIVE",IF(OR(B285&lt;L285,C285&lt;L285),"ERROR - BELOW MIN",IF(OR(AND(B285&lt;=J285,C285&lt;=K285),AND(B285&lt;=K285,C285&lt;=J285)),"VALID - CUSTOM","ERROR - EXCEEDS BASE")))))</f>
        <v>CUSTOM BLANK</v>
      </c>
      <c r="I285" s="10" t="s">
        <v>267</v>
      </c>
      <c r="J285" s="12">
        <f>'05-ISO Reference'!$B$8</f>
        <v>297</v>
      </c>
      <c r="K285" s="12">
        <f>'05-ISO Reference'!$C$8</f>
        <v>420</v>
      </c>
      <c r="L285" s="12">
        <f>'01-Process Controls'!$G$5</f>
        <v>3</v>
      </c>
      <c r="M285" s="8"/>
      <c r="N285" s="8"/>
    </row>
    <row r="286" spans="1:15" ht="21" customHeight="1">
      <c r="A286" s="44" t="s">
        <v>504</v>
      </c>
      <c r="B286" s="45">
        <f>IF(LEFT(H286,5)="VALID",M286,"")</f>
        <v>210</v>
      </c>
      <c r="C286" s="45">
        <f>IF(LEFT(H286,5)="VALID",N286,"")</f>
        <v>297</v>
      </c>
      <c r="D286" s="46" t="s">
        <v>82</v>
      </c>
      <c r="E286" s="46" t="s">
        <v>505</v>
      </c>
      <c r="F286" s="46" t="s">
        <v>122</v>
      </c>
      <c r="G286" s="46" t="s">
        <v>123</v>
      </c>
      <c r="H286" s="47" t="str">
        <f>"VALID - BASE"</f>
        <v>VALID - BASE</v>
      </c>
      <c r="I286" s="46" t="s">
        <v>506</v>
      </c>
      <c r="J286" s="12">
        <f>'05-ISO Reference'!$B$9</f>
        <v>210</v>
      </c>
      <c r="K286" s="12">
        <f>'05-ISO Reference'!$C$9</f>
        <v>297</v>
      </c>
      <c r="L286" s="12">
        <f>'01-Process Controls'!$G$5</f>
        <v>3</v>
      </c>
      <c r="M286" s="12">
        <f>ROUNDDOWN(J286,0)</f>
        <v>210</v>
      </c>
      <c r="N286" s="12">
        <f>ROUNDDOWN(K286,0)</f>
        <v>297</v>
      </c>
      <c r="O286" s="9">
        <v>0</v>
      </c>
    </row>
    <row r="287" spans="1:15" ht="21" customHeight="1">
      <c r="A287" s="9" t="s">
        <v>507</v>
      </c>
      <c r="B287" s="12">
        <f>IF(LEFT(H287,5)="VALID",M287,"")</f>
        <v>105</v>
      </c>
      <c r="C287" s="12">
        <f>IF(LEFT(H287,5)="VALID",N287,"")</f>
        <v>297</v>
      </c>
      <c r="D287" s="10" t="s">
        <v>82</v>
      </c>
      <c r="E287" s="10" t="s">
        <v>505</v>
      </c>
      <c r="F287" s="10" t="s">
        <v>126</v>
      </c>
      <c r="G287" s="10" t="s">
        <v>127</v>
      </c>
      <c r="H287" s="11" t="str">
        <f>IF(OR(M287&lt;=0,N287&lt;=0),"SKIPPED - NONPOSITIVE",IF(OR(M287&lt;L287,N287&lt;L287),"SKIPPED - BELOW MIN",IF(OR(M287&gt;J287,N287&gt;K287),"SKIPPED - EXCEEDS BASE",IF(COUNTIFS($M$286:M286,M287,$N$286:N286,N287)&gt;0,"SKIPPED - DUPLICATE","VALID - GENERATED"))))</f>
        <v>VALID - GENERATED</v>
      </c>
      <c r="I287" s="10" t="s">
        <v>506</v>
      </c>
      <c r="J287" s="12">
        <f>'05-ISO Reference'!$B$9</f>
        <v>210</v>
      </c>
      <c r="K287" s="12">
        <f>'05-ISO Reference'!$C$9</f>
        <v>297</v>
      </c>
      <c r="L287" s="12">
        <f>'01-Process Controls'!$G$5</f>
        <v>3</v>
      </c>
      <c r="M287" s="12">
        <f>ROUNDDOWN(J287*'04-Variant Rules'!$D$6,0)</f>
        <v>105</v>
      </c>
      <c r="N287" s="12">
        <f>ROUNDDOWN(K287,0)</f>
        <v>297</v>
      </c>
      <c r="O287" s="9">
        <v>1</v>
      </c>
    </row>
    <row r="288" spans="1:15" ht="21" customHeight="1">
      <c r="A288" s="9" t="s">
        <v>508</v>
      </c>
      <c r="B288" s="12">
        <f>IF(LEFT(H288,5)="VALID",M288,"")</f>
        <v>70</v>
      </c>
      <c r="C288" s="12">
        <f>IF(LEFT(H288,5)="VALID",N288,"")</f>
        <v>297</v>
      </c>
      <c r="D288" s="10" t="s">
        <v>82</v>
      </c>
      <c r="E288" s="10" t="s">
        <v>505</v>
      </c>
      <c r="F288" s="10" t="s">
        <v>129</v>
      </c>
      <c r="G288" s="10" t="s">
        <v>130</v>
      </c>
      <c r="H288" s="11" t="str">
        <f>IF(OR(M288&lt;=0,N288&lt;=0),"SKIPPED - NONPOSITIVE",IF(OR(M288&lt;L288,N288&lt;L288),"SKIPPED - BELOW MIN",IF(OR(M288&gt;J288,N288&gt;K288),"SKIPPED - EXCEEDS BASE",IF(COUNTIFS($M$286:M287,M288,$N$286:N287,N288)&gt;0,"SKIPPED - DUPLICATE","VALID - GENERATED"))))</f>
        <v>VALID - GENERATED</v>
      </c>
      <c r="I288" s="10" t="s">
        <v>506</v>
      </c>
      <c r="J288" s="12">
        <f>'05-ISO Reference'!$B$9</f>
        <v>210</v>
      </c>
      <c r="K288" s="12">
        <f>'05-ISO Reference'!$C$9</f>
        <v>297</v>
      </c>
      <c r="L288" s="12">
        <f>'01-Process Controls'!$G$5</f>
        <v>3</v>
      </c>
      <c r="M288" s="12">
        <f>ROUNDDOWN(J288*'04-Variant Rules'!$D$7,0)</f>
        <v>70</v>
      </c>
      <c r="N288" s="12">
        <f>ROUNDDOWN(K288,0)</f>
        <v>297</v>
      </c>
      <c r="O288" s="9">
        <v>2</v>
      </c>
    </row>
    <row r="289" spans="1:15" ht="21" customHeight="1">
      <c r="A289" s="9" t="s">
        <v>509</v>
      </c>
      <c r="B289" s="12">
        <f>IF(LEFT(H289,5)="VALID",M289,"")</f>
        <v>52</v>
      </c>
      <c r="C289" s="12">
        <f>IF(LEFT(H289,5)="VALID",N289,"")</f>
        <v>297</v>
      </c>
      <c r="D289" s="10" t="s">
        <v>82</v>
      </c>
      <c r="E289" s="10" t="s">
        <v>505</v>
      </c>
      <c r="F289" s="10" t="s">
        <v>132</v>
      </c>
      <c r="G289" s="10" t="s">
        <v>133</v>
      </c>
      <c r="H289" s="11" t="str">
        <f>IF(OR(M289&lt;=0,N289&lt;=0),"SKIPPED - NONPOSITIVE",IF(OR(M289&lt;L289,N289&lt;L289),"SKIPPED - BELOW MIN",IF(OR(M289&gt;J289,N289&gt;K289),"SKIPPED - EXCEEDS BASE",IF(COUNTIFS($M$286:M288,M289,$N$286:N288,N289)&gt;0,"SKIPPED - DUPLICATE","VALID - GENERATED"))))</f>
        <v>VALID - GENERATED</v>
      </c>
      <c r="I289" s="10" t="s">
        <v>506</v>
      </c>
      <c r="J289" s="12">
        <f>'05-ISO Reference'!$B$9</f>
        <v>210</v>
      </c>
      <c r="K289" s="12">
        <f>'05-ISO Reference'!$C$9</f>
        <v>297</v>
      </c>
      <c r="L289" s="12">
        <f>'01-Process Controls'!$G$5</f>
        <v>3</v>
      </c>
      <c r="M289" s="12">
        <f>ROUNDDOWN(J289*'04-Variant Rules'!$D$8,0)</f>
        <v>52</v>
      </c>
      <c r="N289" s="12">
        <f>ROUNDDOWN(K289,0)</f>
        <v>297</v>
      </c>
      <c r="O289" s="9">
        <v>3</v>
      </c>
    </row>
    <row r="290" spans="1:15" ht="21" customHeight="1">
      <c r="A290" s="9" t="s">
        <v>510</v>
      </c>
      <c r="B290" s="12">
        <f>IF(LEFT(H290,5)="VALID",M290,"")</f>
        <v>140</v>
      </c>
      <c r="C290" s="12">
        <f>IF(LEFT(H290,5)="VALID",N290,"")</f>
        <v>297</v>
      </c>
      <c r="D290" s="10" t="s">
        <v>82</v>
      </c>
      <c r="E290" s="10" t="s">
        <v>505</v>
      </c>
      <c r="F290" s="10" t="s">
        <v>135</v>
      </c>
      <c r="G290" s="10" t="s">
        <v>136</v>
      </c>
      <c r="H290" s="11" t="str">
        <f>IF(OR(M290&lt;=0,N290&lt;=0),"SKIPPED - NONPOSITIVE",IF(OR(M290&lt;L290,N290&lt;L290),"SKIPPED - BELOW MIN",IF(OR(M290&gt;J290,N290&gt;K290),"SKIPPED - EXCEEDS BASE",IF(COUNTIFS($M$286:M289,M290,$N$286:N289,N290)&gt;0,"SKIPPED - DUPLICATE","VALID - GENERATED"))))</f>
        <v>VALID - GENERATED</v>
      </c>
      <c r="I290" s="10" t="s">
        <v>506</v>
      </c>
      <c r="J290" s="12">
        <f>'05-ISO Reference'!$B$9</f>
        <v>210</v>
      </c>
      <c r="K290" s="12">
        <f>'05-ISO Reference'!$C$9</f>
        <v>297</v>
      </c>
      <c r="L290" s="12">
        <f>'01-Process Controls'!$G$5</f>
        <v>3</v>
      </c>
      <c r="M290" s="12">
        <f>ROUNDDOWN(J290*'04-Variant Rules'!$D$9,0)</f>
        <v>140</v>
      </c>
      <c r="N290" s="12">
        <f>ROUNDDOWN(K290,0)</f>
        <v>297</v>
      </c>
      <c r="O290" s="9">
        <v>4</v>
      </c>
    </row>
    <row r="291" spans="1:15" ht="21" customHeight="1">
      <c r="A291" s="9" t="s">
        <v>511</v>
      </c>
      <c r="B291" s="12">
        <f>IF(LEFT(H291,5)="VALID",M291,"")</f>
        <v>157</v>
      </c>
      <c r="C291" s="12">
        <f>IF(LEFT(H291,5)="VALID",N291,"")</f>
        <v>297</v>
      </c>
      <c r="D291" s="10" t="s">
        <v>82</v>
      </c>
      <c r="E291" s="10" t="s">
        <v>505</v>
      </c>
      <c r="F291" s="10" t="s">
        <v>138</v>
      </c>
      <c r="G291" s="10" t="s">
        <v>139</v>
      </c>
      <c r="H291" s="11" t="str">
        <f>IF(OR(M291&lt;=0,N291&lt;=0),"SKIPPED - NONPOSITIVE",IF(OR(M291&lt;L291,N291&lt;L291),"SKIPPED - BELOW MIN",IF(OR(M291&gt;J291,N291&gt;K291),"SKIPPED - EXCEEDS BASE",IF(COUNTIFS($M$286:M290,M291,$N$286:N290,N291)&gt;0,"SKIPPED - DUPLICATE","VALID - GENERATED"))))</f>
        <v>VALID - GENERATED</v>
      </c>
      <c r="I291" s="10" t="s">
        <v>506</v>
      </c>
      <c r="J291" s="12">
        <f>'05-ISO Reference'!$B$9</f>
        <v>210</v>
      </c>
      <c r="K291" s="12">
        <f>'05-ISO Reference'!$C$9</f>
        <v>297</v>
      </c>
      <c r="L291" s="12">
        <f>'01-Process Controls'!$G$5</f>
        <v>3</v>
      </c>
      <c r="M291" s="12">
        <f>ROUNDDOWN(J291*'04-Variant Rules'!$D$10,0)</f>
        <v>157</v>
      </c>
      <c r="N291" s="12">
        <f>ROUNDDOWN(K291,0)</f>
        <v>297</v>
      </c>
      <c r="O291" s="9">
        <v>5</v>
      </c>
    </row>
    <row r="292" spans="1:15" ht="21" customHeight="1">
      <c r="A292" s="9" t="s">
        <v>512</v>
      </c>
      <c r="B292" s="12">
        <f>IF(LEFT(H292,5)="VALID",M292,"")</f>
        <v>210</v>
      </c>
      <c r="C292" s="12">
        <f>IF(LEFT(H292,5)="VALID",N292,"")</f>
        <v>148</v>
      </c>
      <c r="D292" s="10" t="s">
        <v>82</v>
      </c>
      <c r="E292" s="10" t="s">
        <v>505</v>
      </c>
      <c r="F292" s="10" t="s">
        <v>141</v>
      </c>
      <c r="G292" s="10" t="s">
        <v>142</v>
      </c>
      <c r="H292" s="11" t="str">
        <f>IF(OR(M292&lt;=0,N292&lt;=0),"SKIPPED - NONPOSITIVE",IF(OR(M292&lt;L292,N292&lt;L292),"SKIPPED - BELOW MIN",IF(OR(M292&gt;J292,N292&gt;K292),"SKIPPED - EXCEEDS BASE",IF(COUNTIFS($M$286:M291,M292,$N$286:N291,N292)&gt;0,"SKIPPED - DUPLICATE","VALID - GENERATED"))))</f>
        <v>VALID - GENERATED</v>
      </c>
      <c r="I292" s="10" t="s">
        <v>506</v>
      </c>
      <c r="J292" s="12">
        <f>'05-ISO Reference'!$B$9</f>
        <v>210</v>
      </c>
      <c r="K292" s="12">
        <f>'05-ISO Reference'!$C$9</f>
        <v>297</v>
      </c>
      <c r="L292" s="12">
        <f>'01-Process Controls'!$G$5</f>
        <v>3</v>
      </c>
      <c r="M292" s="12">
        <f>ROUNDDOWN(J292,0)</f>
        <v>210</v>
      </c>
      <c r="N292" s="12">
        <f>ROUNDDOWN(K292*'04-Variant Rules'!$D$11,0)</f>
        <v>148</v>
      </c>
      <c r="O292" s="9">
        <v>6</v>
      </c>
    </row>
    <row r="293" spans="1:15" ht="21" customHeight="1">
      <c r="A293" s="9" t="s">
        <v>513</v>
      </c>
      <c r="B293" s="12">
        <f>IF(LEFT(H293,5)="VALID",M293,"")</f>
        <v>210</v>
      </c>
      <c r="C293" s="12">
        <f>IF(LEFT(H293,5)="VALID",N293,"")</f>
        <v>99</v>
      </c>
      <c r="D293" s="10" t="s">
        <v>82</v>
      </c>
      <c r="E293" s="10" t="s">
        <v>505</v>
      </c>
      <c r="F293" s="10" t="s">
        <v>144</v>
      </c>
      <c r="G293" s="10" t="s">
        <v>145</v>
      </c>
      <c r="H293" s="11" t="str">
        <f>IF(OR(M293&lt;=0,N293&lt;=0),"SKIPPED - NONPOSITIVE",IF(OR(M293&lt;L293,N293&lt;L293),"SKIPPED - BELOW MIN",IF(OR(M293&gt;J293,N293&gt;K293),"SKIPPED - EXCEEDS BASE",IF(COUNTIFS($M$286:M292,M293,$N$286:N292,N293)&gt;0,"SKIPPED - DUPLICATE","VALID - GENERATED"))))</f>
        <v>VALID - GENERATED</v>
      </c>
      <c r="I293" s="10" t="s">
        <v>506</v>
      </c>
      <c r="J293" s="12">
        <f>'05-ISO Reference'!$B$9</f>
        <v>210</v>
      </c>
      <c r="K293" s="12">
        <f>'05-ISO Reference'!$C$9</f>
        <v>297</v>
      </c>
      <c r="L293" s="12">
        <f>'01-Process Controls'!$G$5</f>
        <v>3</v>
      </c>
      <c r="M293" s="12">
        <f>ROUNDDOWN(J293,0)</f>
        <v>210</v>
      </c>
      <c r="N293" s="12">
        <f>ROUNDDOWN(K293*'04-Variant Rules'!$D$12,0)</f>
        <v>99</v>
      </c>
      <c r="O293" s="9">
        <v>7</v>
      </c>
    </row>
    <row r="294" spans="1:15" ht="21" customHeight="1">
      <c r="A294" s="9" t="s">
        <v>514</v>
      </c>
      <c r="B294" s="12">
        <f>IF(LEFT(H294,5)="VALID",M294,"")</f>
        <v>210</v>
      </c>
      <c r="C294" s="12">
        <f>IF(LEFT(H294,5)="VALID",N294,"")</f>
        <v>74</v>
      </c>
      <c r="D294" s="10" t="s">
        <v>82</v>
      </c>
      <c r="E294" s="10" t="s">
        <v>505</v>
      </c>
      <c r="F294" s="10" t="s">
        <v>147</v>
      </c>
      <c r="G294" s="10" t="s">
        <v>148</v>
      </c>
      <c r="H294" s="11" t="str">
        <f>IF(OR(M294&lt;=0,N294&lt;=0),"SKIPPED - NONPOSITIVE",IF(OR(M294&lt;L294,N294&lt;L294),"SKIPPED - BELOW MIN",IF(OR(M294&gt;J294,N294&gt;K294),"SKIPPED - EXCEEDS BASE",IF(COUNTIFS($M$286:M293,M294,$N$286:N293,N294)&gt;0,"SKIPPED - DUPLICATE","VALID - GENERATED"))))</f>
        <v>VALID - GENERATED</v>
      </c>
      <c r="I294" s="10" t="s">
        <v>506</v>
      </c>
      <c r="J294" s="12">
        <f>'05-ISO Reference'!$B$9</f>
        <v>210</v>
      </c>
      <c r="K294" s="12">
        <f>'05-ISO Reference'!$C$9</f>
        <v>297</v>
      </c>
      <c r="L294" s="12">
        <f>'01-Process Controls'!$G$5</f>
        <v>3</v>
      </c>
      <c r="M294" s="12">
        <f>ROUNDDOWN(J294,0)</f>
        <v>210</v>
      </c>
      <c r="N294" s="12">
        <f>ROUNDDOWN(K294*'04-Variant Rules'!$D$13,0)</f>
        <v>74</v>
      </c>
      <c r="O294" s="9">
        <v>8</v>
      </c>
    </row>
    <row r="295" spans="1:15" ht="21" customHeight="1">
      <c r="A295" s="9" t="s">
        <v>515</v>
      </c>
      <c r="B295" s="12">
        <f>IF(LEFT(H295,5)="VALID",M295,"")</f>
        <v>210</v>
      </c>
      <c r="C295" s="12">
        <f>IF(LEFT(H295,5)="VALID",N295,"")</f>
        <v>198</v>
      </c>
      <c r="D295" s="10" t="s">
        <v>82</v>
      </c>
      <c r="E295" s="10" t="s">
        <v>505</v>
      </c>
      <c r="F295" s="10" t="s">
        <v>150</v>
      </c>
      <c r="G295" s="10" t="s">
        <v>151</v>
      </c>
      <c r="H295" s="11" t="str">
        <f>IF(OR(M295&lt;=0,N295&lt;=0),"SKIPPED - NONPOSITIVE",IF(OR(M295&lt;L295,N295&lt;L295),"SKIPPED - BELOW MIN",IF(OR(M295&gt;J295,N295&gt;K295),"SKIPPED - EXCEEDS BASE",IF(COUNTIFS($M$286:M294,M295,$N$286:N294,N295)&gt;0,"SKIPPED - DUPLICATE","VALID - GENERATED"))))</f>
        <v>VALID - GENERATED</v>
      </c>
      <c r="I295" s="10" t="s">
        <v>506</v>
      </c>
      <c r="J295" s="12">
        <f>'05-ISO Reference'!$B$9</f>
        <v>210</v>
      </c>
      <c r="K295" s="12">
        <f>'05-ISO Reference'!$C$9</f>
        <v>297</v>
      </c>
      <c r="L295" s="12">
        <f>'01-Process Controls'!$G$5</f>
        <v>3</v>
      </c>
      <c r="M295" s="12">
        <f>ROUNDDOWN(J295,0)</f>
        <v>210</v>
      </c>
      <c r="N295" s="12">
        <f>ROUNDDOWN(K295*'04-Variant Rules'!$D$14,0)</f>
        <v>198</v>
      </c>
      <c r="O295" s="9">
        <v>9</v>
      </c>
    </row>
    <row r="296" spans="1:15" ht="21" customHeight="1">
      <c r="A296" s="9" t="s">
        <v>516</v>
      </c>
      <c r="B296" s="12">
        <f>IF(LEFT(H296,5)="VALID",M296,"")</f>
        <v>210</v>
      </c>
      <c r="C296" s="12">
        <f>IF(LEFT(H296,5)="VALID",N296,"")</f>
        <v>222</v>
      </c>
      <c r="D296" s="10" t="s">
        <v>82</v>
      </c>
      <c r="E296" s="10" t="s">
        <v>505</v>
      </c>
      <c r="F296" s="10" t="s">
        <v>153</v>
      </c>
      <c r="G296" s="10" t="s">
        <v>154</v>
      </c>
      <c r="H296" s="11" t="str">
        <f>IF(OR(M296&lt;=0,N296&lt;=0),"SKIPPED - NONPOSITIVE",IF(OR(M296&lt;L296,N296&lt;L296),"SKIPPED - BELOW MIN",IF(OR(M296&gt;J296,N296&gt;K296),"SKIPPED - EXCEEDS BASE",IF(COUNTIFS($M$286:M295,M296,$N$286:N295,N296)&gt;0,"SKIPPED - DUPLICATE","VALID - GENERATED"))))</f>
        <v>VALID - GENERATED</v>
      </c>
      <c r="I296" s="10" t="s">
        <v>506</v>
      </c>
      <c r="J296" s="12">
        <f>'05-ISO Reference'!$B$9</f>
        <v>210</v>
      </c>
      <c r="K296" s="12">
        <f>'05-ISO Reference'!$C$9</f>
        <v>297</v>
      </c>
      <c r="L296" s="12">
        <f>'01-Process Controls'!$G$5</f>
        <v>3</v>
      </c>
      <c r="M296" s="12">
        <f>ROUNDDOWN(J296,0)</f>
        <v>210</v>
      </c>
      <c r="N296" s="12">
        <f>ROUNDDOWN(K296*'04-Variant Rules'!$D$15,0)</f>
        <v>222</v>
      </c>
      <c r="O296" s="9">
        <v>10</v>
      </c>
    </row>
    <row r="297" spans="1:15" ht="21" customHeight="1">
      <c r="A297" s="9" t="s">
        <v>517</v>
      </c>
      <c r="B297" s="12">
        <f>IF(LEFT(H297,5)="VALID",M297,"")</f>
        <v>105</v>
      </c>
      <c r="C297" s="12">
        <f>IF(LEFT(H297,5)="VALID",N297,"")</f>
        <v>148</v>
      </c>
      <c r="D297" s="10" t="s">
        <v>82</v>
      </c>
      <c r="E297" s="10" t="s">
        <v>505</v>
      </c>
      <c r="F297" s="10" t="s">
        <v>156</v>
      </c>
      <c r="G297" s="10" t="s">
        <v>157</v>
      </c>
      <c r="H297" s="11" t="str">
        <f>IF(OR(M297&lt;=0,N297&lt;=0),"SKIPPED - NONPOSITIVE",IF(OR(M297&lt;L297,N297&lt;L297),"SKIPPED - BELOW MIN",IF(OR(M297&gt;J297,N297&gt;K297),"SKIPPED - EXCEEDS BASE",IF(COUNTIFS($M$286:M296,M297,$N$286:N296,N297)&gt;0,"SKIPPED - DUPLICATE","VALID - GENERATED"))))</f>
        <v>VALID - GENERATED</v>
      </c>
      <c r="I297" s="10" t="s">
        <v>506</v>
      </c>
      <c r="J297" s="12">
        <f>'05-ISO Reference'!$B$9</f>
        <v>210</v>
      </c>
      <c r="K297" s="12">
        <f>'05-ISO Reference'!$C$9</f>
        <v>297</v>
      </c>
      <c r="L297" s="12">
        <f>'01-Process Controls'!$G$5</f>
        <v>3</v>
      </c>
      <c r="M297" s="12">
        <f>ROUNDDOWN(J297*'04-Variant Rules'!$D$16,0)</f>
        <v>105</v>
      </c>
      <c r="N297" s="12">
        <f>ROUNDDOWN(K297*'04-Variant Rules'!$E$16,0)</f>
        <v>148</v>
      </c>
      <c r="O297" s="9">
        <v>11</v>
      </c>
    </row>
    <row r="298" spans="1:15" ht="21" customHeight="1">
      <c r="A298" s="9" t="s">
        <v>518</v>
      </c>
      <c r="B298" s="12">
        <f>IF(LEFT(H298,5)="VALID",M298,"")</f>
        <v>70</v>
      </c>
      <c r="C298" s="12">
        <f>IF(LEFT(H298,5)="VALID",N298,"")</f>
        <v>99</v>
      </c>
      <c r="D298" s="10" t="s">
        <v>82</v>
      </c>
      <c r="E298" s="10" t="s">
        <v>505</v>
      </c>
      <c r="F298" s="10" t="s">
        <v>159</v>
      </c>
      <c r="G298" s="10" t="s">
        <v>160</v>
      </c>
      <c r="H298" s="11" t="str">
        <f>IF(OR(M298&lt;=0,N298&lt;=0),"SKIPPED - NONPOSITIVE",IF(OR(M298&lt;L298,N298&lt;L298),"SKIPPED - BELOW MIN",IF(OR(M298&gt;J298,N298&gt;K298),"SKIPPED - EXCEEDS BASE",IF(COUNTIFS($M$286:M297,M298,$N$286:N297,N298)&gt;0,"SKIPPED - DUPLICATE","VALID - GENERATED"))))</f>
        <v>VALID - GENERATED</v>
      </c>
      <c r="I298" s="10" t="s">
        <v>506</v>
      </c>
      <c r="J298" s="12">
        <f>'05-ISO Reference'!$B$9</f>
        <v>210</v>
      </c>
      <c r="K298" s="12">
        <f>'05-ISO Reference'!$C$9</f>
        <v>297</v>
      </c>
      <c r="L298" s="12">
        <f>'01-Process Controls'!$G$5</f>
        <v>3</v>
      </c>
      <c r="M298" s="12">
        <f>ROUNDDOWN(J298*'04-Variant Rules'!$D$17,0)</f>
        <v>70</v>
      </c>
      <c r="N298" s="12">
        <f>ROUNDDOWN(K298*'04-Variant Rules'!$E$17,0)</f>
        <v>99</v>
      </c>
      <c r="O298" s="9">
        <v>12</v>
      </c>
    </row>
    <row r="299" spans="1:15" ht="21" customHeight="1">
      <c r="A299" s="9" t="s">
        <v>519</v>
      </c>
      <c r="B299" s="12">
        <f>IF(LEFT(H299,5)="VALID",M299,"")</f>
        <v>52</v>
      </c>
      <c r="C299" s="12">
        <f>IF(LEFT(H299,5)="VALID",N299,"")</f>
        <v>74</v>
      </c>
      <c r="D299" s="10" t="s">
        <v>82</v>
      </c>
      <c r="E299" s="10" t="s">
        <v>505</v>
      </c>
      <c r="F299" s="10" t="s">
        <v>162</v>
      </c>
      <c r="G299" s="10" t="s">
        <v>163</v>
      </c>
      <c r="H299" s="11" t="str">
        <f>IF(OR(M299&lt;=0,N299&lt;=0),"SKIPPED - NONPOSITIVE",IF(OR(M299&lt;L299,N299&lt;L299),"SKIPPED - BELOW MIN",IF(OR(M299&gt;J299,N299&gt;K299),"SKIPPED - EXCEEDS BASE",IF(COUNTIFS($M$286:M298,M299,$N$286:N298,N299)&gt;0,"SKIPPED - DUPLICATE","VALID - GENERATED"))))</f>
        <v>VALID - GENERATED</v>
      </c>
      <c r="I299" s="10" t="s">
        <v>506</v>
      </c>
      <c r="J299" s="12">
        <f>'05-ISO Reference'!$B$9</f>
        <v>210</v>
      </c>
      <c r="K299" s="12">
        <f>'05-ISO Reference'!$C$9</f>
        <v>297</v>
      </c>
      <c r="L299" s="12">
        <f>'01-Process Controls'!$G$5</f>
        <v>3</v>
      </c>
      <c r="M299" s="12">
        <f>ROUNDDOWN(J299*'04-Variant Rules'!$D$18,0)</f>
        <v>52</v>
      </c>
      <c r="N299" s="12">
        <f>ROUNDDOWN(K299*'04-Variant Rules'!$E$18,0)</f>
        <v>74</v>
      </c>
      <c r="O299" s="9">
        <v>13</v>
      </c>
    </row>
    <row r="300" spans="1:15" ht="21" customHeight="1">
      <c r="A300" s="9" t="s">
        <v>520</v>
      </c>
      <c r="B300" s="12">
        <f>IF(LEFT(H300,5)="VALID",M300,"")</f>
        <v>105</v>
      </c>
      <c r="C300" s="12">
        <f>IF(LEFT(H300,5)="VALID",N300,"")</f>
        <v>99</v>
      </c>
      <c r="D300" s="10" t="s">
        <v>82</v>
      </c>
      <c r="E300" s="10" t="s">
        <v>505</v>
      </c>
      <c r="F300" s="10" t="s">
        <v>165</v>
      </c>
      <c r="G300" s="10" t="s">
        <v>166</v>
      </c>
      <c r="H300" s="11" t="str">
        <f>IF(OR(M300&lt;=0,N300&lt;=0),"SKIPPED - NONPOSITIVE",IF(OR(M300&lt;L300,N300&lt;L300),"SKIPPED - BELOW MIN",IF(OR(M300&gt;J300,N300&gt;K300),"SKIPPED - EXCEEDS BASE",IF(COUNTIFS($M$286:M299,M300,$N$286:N299,N300)&gt;0,"SKIPPED - DUPLICATE","VALID - GENERATED"))))</f>
        <v>VALID - GENERATED</v>
      </c>
      <c r="I300" s="10" t="s">
        <v>506</v>
      </c>
      <c r="J300" s="12">
        <f>'05-ISO Reference'!$B$9</f>
        <v>210</v>
      </c>
      <c r="K300" s="12">
        <f>'05-ISO Reference'!$C$9</f>
        <v>297</v>
      </c>
      <c r="L300" s="12">
        <f>'01-Process Controls'!$G$5</f>
        <v>3</v>
      </c>
      <c r="M300" s="12">
        <f>ROUNDDOWN(J300*'04-Variant Rules'!$D$19,0)</f>
        <v>105</v>
      </c>
      <c r="N300" s="12">
        <f>ROUNDDOWN(K300*'04-Variant Rules'!$E$19,0)</f>
        <v>99</v>
      </c>
      <c r="O300" s="9">
        <v>14</v>
      </c>
    </row>
    <row r="301" spans="1:15" ht="21" customHeight="1">
      <c r="A301" s="9" t="s">
        <v>521</v>
      </c>
      <c r="B301" s="12">
        <f>IF(LEFT(H301,5)="VALID",M301,"")</f>
        <v>70</v>
      </c>
      <c r="C301" s="12">
        <f>IF(LEFT(H301,5)="VALID",N301,"")</f>
        <v>148</v>
      </c>
      <c r="D301" s="10" t="s">
        <v>82</v>
      </c>
      <c r="E301" s="10" t="s">
        <v>505</v>
      </c>
      <c r="F301" s="10" t="s">
        <v>168</v>
      </c>
      <c r="G301" s="10" t="s">
        <v>166</v>
      </c>
      <c r="H301" s="11" t="str">
        <f>IF(OR(M301&lt;=0,N301&lt;=0),"SKIPPED - NONPOSITIVE",IF(OR(M301&lt;L301,N301&lt;L301),"SKIPPED - BELOW MIN",IF(OR(M301&gt;J301,N301&gt;K301),"SKIPPED - EXCEEDS BASE",IF(COUNTIFS($M$286:M300,M301,$N$286:N300,N301)&gt;0,"SKIPPED - DUPLICATE","VALID - GENERATED"))))</f>
        <v>VALID - GENERATED</v>
      </c>
      <c r="I301" s="10" t="s">
        <v>506</v>
      </c>
      <c r="J301" s="12">
        <f>'05-ISO Reference'!$B$9</f>
        <v>210</v>
      </c>
      <c r="K301" s="12">
        <f>'05-ISO Reference'!$C$9</f>
        <v>297</v>
      </c>
      <c r="L301" s="12">
        <f>'01-Process Controls'!$G$5</f>
        <v>3</v>
      </c>
      <c r="M301" s="12">
        <f>ROUNDDOWN(J301*'04-Variant Rules'!$D$20,0)</f>
        <v>70</v>
      </c>
      <c r="N301" s="12">
        <f>ROUNDDOWN(K301*'04-Variant Rules'!$E$20,0)</f>
        <v>148</v>
      </c>
      <c r="O301" s="9">
        <v>15</v>
      </c>
    </row>
    <row r="302" spans="1:15" ht="21" customHeight="1">
      <c r="A302" s="9" t="s">
        <v>522</v>
      </c>
      <c r="B302" s="12">
        <f>IF(LEFT(H302,5)="VALID",M302,"")</f>
        <v>105</v>
      </c>
      <c r="C302" s="12">
        <f>IF(LEFT(H302,5)="VALID",N302,"")</f>
        <v>74</v>
      </c>
      <c r="D302" s="10" t="s">
        <v>82</v>
      </c>
      <c r="E302" s="10" t="s">
        <v>505</v>
      </c>
      <c r="F302" s="10" t="s">
        <v>170</v>
      </c>
      <c r="G302" s="10" t="s">
        <v>166</v>
      </c>
      <c r="H302" s="11" t="str">
        <f>IF(OR(M302&lt;=0,N302&lt;=0),"SKIPPED - NONPOSITIVE",IF(OR(M302&lt;L302,N302&lt;L302),"SKIPPED - BELOW MIN",IF(OR(M302&gt;J302,N302&gt;K302),"SKIPPED - EXCEEDS BASE",IF(COUNTIFS($M$286:M301,M302,$N$286:N301,N302)&gt;0,"SKIPPED - DUPLICATE","VALID - GENERATED"))))</f>
        <v>VALID - GENERATED</v>
      </c>
      <c r="I302" s="10" t="s">
        <v>506</v>
      </c>
      <c r="J302" s="12">
        <f>'05-ISO Reference'!$B$9</f>
        <v>210</v>
      </c>
      <c r="K302" s="12">
        <f>'05-ISO Reference'!$C$9</f>
        <v>297</v>
      </c>
      <c r="L302" s="12">
        <f>'01-Process Controls'!$G$5</f>
        <v>3</v>
      </c>
      <c r="M302" s="12">
        <f>ROUNDDOWN(J302*'04-Variant Rules'!$D$21,0)</f>
        <v>105</v>
      </c>
      <c r="N302" s="12">
        <f>ROUNDDOWN(K302*'04-Variant Rules'!$E$21,0)</f>
        <v>74</v>
      </c>
      <c r="O302" s="9">
        <v>16</v>
      </c>
    </row>
    <row r="303" spans="1:15" ht="21" customHeight="1">
      <c r="A303" s="9" t="s">
        <v>523</v>
      </c>
      <c r="B303" s="12">
        <f>IF(LEFT(H303,5)="VALID",M303,"")</f>
        <v>52</v>
      </c>
      <c r="C303" s="12">
        <f>IF(LEFT(H303,5)="VALID",N303,"")</f>
        <v>148</v>
      </c>
      <c r="D303" s="10" t="s">
        <v>82</v>
      </c>
      <c r="E303" s="10" t="s">
        <v>505</v>
      </c>
      <c r="F303" s="10" t="s">
        <v>172</v>
      </c>
      <c r="G303" s="10" t="s">
        <v>166</v>
      </c>
      <c r="H303" s="11" t="str">
        <f>IF(OR(M303&lt;=0,N303&lt;=0),"SKIPPED - NONPOSITIVE",IF(OR(M303&lt;L303,N303&lt;L303),"SKIPPED - BELOW MIN",IF(OR(M303&gt;J303,N303&gt;K303),"SKIPPED - EXCEEDS BASE",IF(COUNTIFS($M$286:M302,M303,$N$286:N302,N303)&gt;0,"SKIPPED - DUPLICATE","VALID - GENERATED"))))</f>
        <v>VALID - GENERATED</v>
      </c>
      <c r="I303" s="10" t="s">
        <v>506</v>
      </c>
      <c r="J303" s="12">
        <f>'05-ISO Reference'!$B$9</f>
        <v>210</v>
      </c>
      <c r="K303" s="12">
        <f>'05-ISO Reference'!$C$9</f>
        <v>297</v>
      </c>
      <c r="L303" s="12">
        <f>'01-Process Controls'!$G$5</f>
        <v>3</v>
      </c>
      <c r="M303" s="12">
        <f>ROUNDDOWN(J303*'04-Variant Rules'!$D$22,0)</f>
        <v>52</v>
      </c>
      <c r="N303" s="12">
        <f>ROUNDDOWN(K303*'04-Variant Rules'!$E$22,0)</f>
        <v>148</v>
      </c>
      <c r="O303" s="9">
        <v>17</v>
      </c>
    </row>
    <row r="304" spans="1:15" ht="21" customHeight="1">
      <c r="A304" s="9" t="s">
        <v>524</v>
      </c>
      <c r="B304" s="12">
        <f>IF(LEFT(H304,5)="VALID",M304,"")</f>
        <v>140</v>
      </c>
      <c r="C304" s="12">
        <f>IF(LEFT(H304,5)="VALID",N304,"")</f>
        <v>148</v>
      </c>
      <c r="D304" s="10" t="s">
        <v>82</v>
      </c>
      <c r="E304" s="10" t="s">
        <v>505</v>
      </c>
      <c r="F304" s="10" t="s">
        <v>174</v>
      </c>
      <c r="G304" s="10" t="s">
        <v>166</v>
      </c>
      <c r="H304" s="11" t="str">
        <f>IF(OR(M304&lt;=0,N304&lt;=0),"SKIPPED - NONPOSITIVE",IF(OR(M304&lt;L304,N304&lt;L304),"SKIPPED - BELOW MIN",IF(OR(M304&gt;J304,N304&gt;K304),"SKIPPED - EXCEEDS BASE",IF(COUNTIFS($M$286:M303,M304,$N$286:N303,N304)&gt;0,"SKIPPED - DUPLICATE","VALID - GENERATED"))))</f>
        <v>VALID - GENERATED</v>
      </c>
      <c r="I304" s="10" t="s">
        <v>506</v>
      </c>
      <c r="J304" s="12">
        <f>'05-ISO Reference'!$B$9</f>
        <v>210</v>
      </c>
      <c r="K304" s="12">
        <f>'05-ISO Reference'!$C$9</f>
        <v>297</v>
      </c>
      <c r="L304" s="12">
        <f>'01-Process Controls'!$G$5</f>
        <v>3</v>
      </c>
      <c r="M304" s="12">
        <f>ROUNDDOWN(J304*'04-Variant Rules'!$D$23,0)</f>
        <v>140</v>
      </c>
      <c r="N304" s="12">
        <f>ROUNDDOWN(K304*'04-Variant Rules'!$E$23,0)</f>
        <v>148</v>
      </c>
      <c r="O304" s="9">
        <v>18</v>
      </c>
    </row>
    <row r="305" spans="1:15" ht="21" customHeight="1">
      <c r="A305" s="9" t="s">
        <v>525</v>
      </c>
      <c r="B305" s="12">
        <f>IF(LEFT(H305,5)="VALID",M305,"")</f>
        <v>105</v>
      </c>
      <c r="C305" s="12">
        <f>IF(LEFT(H305,5)="VALID",N305,"")</f>
        <v>198</v>
      </c>
      <c r="D305" s="10" t="s">
        <v>82</v>
      </c>
      <c r="E305" s="10" t="s">
        <v>505</v>
      </c>
      <c r="F305" s="10" t="s">
        <v>176</v>
      </c>
      <c r="G305" s="10" t="s">
        <v>166</v>
      </c>
      <c r="H305" s="11" t="str">
        <f>IF(OR(M305&lt;=0,N305&lt;=0),"SKIPPED - NONPOSITIVE",IF(OR(M305&lt;L305,N305&lt;L305),"SKIPPED - BELOW MIN",IF(OR(M305&gt;J305,N305&gt;K305),"SKIPPED - EXCEEDS BASE",IF(COUNTIFS($M$286:M304,M305,$N$286:N304,N305)&gt;0,"SKIPPED - DUPLICATE","VALID - GENERATED"))))</f>
        <v>VALID - GENERATED</v>
      </c>
      <c r="I305" s="10" t="s">
        <v>506</v>
      </c>
      <c r="J305" s="12">
        <f>'05-ISO Reference'!$B$9</f>
        <v>210</v>
      </c>
      <c r="K305" s="12">
        <f>'05-ISO Reference'!$C$9</f>
        <v>297</v>
      </c>
      <c r="L305" s="12">
        <f>'01-Process Controls'!$G$5</f>
        <v>3</v>
      </c>
      <c r="M305" s="12">
        <f>ROUNDDOWN(J305*'04-Variant Rules'!$D$24,0)</f>
        <v>105</v>
      </c>
      <c r="N305" s="12">
        <f>ROUNDDOWN(K305*'04-Variant Rules'!$E$24,0)</f>
        <v>198</v>
      </c>
      <c r="O305" s="9">
        <v>19</v>
      </c>
    </row>
    <row r="306" spans="1:15" ht="21" customHeight="1">
      <c r="A306" s="9" t="s">
        <v>526</v>
      </c>
      <c r="B306" s="12">
        <f>IF(LEFT(H306,5)="VALID",M306,"")</f>
        <v>157</v>
      </c>
      <c r="C306" s="12">
        <f>IF(LEFT(H306,5)="VALID",N306,"")</f>
        <v>148</v>
      </c>
      <c r="D306" s="10" t="s">
        <v>82</v>
      </c>
      <c r="E306" s="10" t="s">
        <v>505</v>
      </c>
      <c r="F306" s="10" t="s">
        <v>178</v>
      </c>
      <c r="G306" s="10" t="s">
        <v>166</v>
      </c>
      <c r="H306" s="11" t="str">
        <f>IF(OR(M306&lt;=0,N306&lt;=0),"SKIPPED - NONPOSITIVE",IF(OR(M306&lt;L306,N306&lt;L306),"SKIPPED - BELOW MIN",IF(OR(M306&gt;J306,N306&gt;K306),"SKIPPED - EXCEEDS BASE",IF(COUNTIFS($M$286:M305,M306,$N$286:N305,N306)&gt;0,"SKIPPED - DUPLICATE","VALID - GENERATED"))))</f>
        <v>VALID - GENERATED</v>
      </c>
      <c r="I306" s="10" t="s">
        <v>506</v>
      </c>
      <c r="J306" s="12">
        <f>'05-ISO Reference'!$B$9</f>
        <v>210</v>
      </c>
      <c r="K306" s="12">
        <f>'05-ISO Reference'!$C$9</f>
        <v>297</v>
      </c>
      <c r="L306" s="12">
        <f>'01-Process Controls'!$G$5</f>
        <v>3</v>
      </c>
      <c r="M306" s="12">
        <f>ROUNDDOWN(J306*'04-Variant Rules'!$D$25,0)</f>
        <v>157</v>
      </c>
      <c r="N306" s="12">
        <f>ROUNDDOWN(K306*'04-Variant Rules'!$E$25,0)</f>
        <v>148</v>
      </c>
      <c r="O306" s="9">
        <v>20</v>
      </c>
    </row>
    <row r="307" spans="1:15" ht="21" customHeight="1">
      <c r="A307" s="9" t="s">
        <v>527</v>
      </c>
      <c r="B307" s="12">
        <f>IF(LEFT(H307,5)="VALID",M307,"")</f>
        <v>105</v>
      </c>
      <c r="C307" s="12">
        <f>IF(LEFT(H307,5)="VALID",N307,"")</f>
        <v>222</v>
      </c>
      <c r="D307" s="10" t="s">
        <v>82</v>
      </c>
      <c r="E307" s="10" t="s">
        <v>505</v>
      </c>
      <c r="F307" s="10" t="s">
        <v>180</v>
      </c>
      <c r="G307" s="10" t="s">
        <v>166</v>
      </c>
      <c r="H307" s="11" t="str">
        <f>IF(OR(M307&lt;=0,N307&lt;=0),"SKIPPED - NONPOSITIVE",IF(OR(M307&lt;L307,N307&lt;L307),"SKIPPED - BELOW MIN",IF(OR(M307&gt;J307,N307&gt;K307),"SKIPPED - EXCEEDS BASE",IF(COUNTIFS($M$286:M306,M307,$N$286:N306,N307)&gt;0,"SKIPPED - DUPLICATE","VALID - GENERATED"))))</f>
        <v>VALID - GENERATED</v>
      </c>
      <c r="I307" s="10" t="s">
        <v>506</v>
      </c>
      <c r="J307" s="12">
        <f>'05-ISO Reference'!$B$9</f>
        <v>210</v>
      </c>
      <c r="K307" s="12">
        <f>'05-ISO Reference'!$C$9</f>
        <v>297</v>
      </c>
      <c r="L307" s="12">
        <f>'01-Process Controls'!$G$5</f>
        <v>3</v>
      </c>
      <c r="M307" s="12">
        <f>ROUNDDOWN(J307*'04-Variant Rules'!$D$26,0)</f>
        <v>105</v>
      </c>
      <c r="N307" s="12">
        <f>ROUNDDOWN(K307*'04-Variant Rules'!$E$26,0)</f>
        <v>222</v>
      </c>
      <c r="O307" s="9">
        <v>21</v>
      </c>
    </row>
    <row r="308" spans="1:15" ht="21" customHeight="1">
      <c r="A308" s="9" t="s">
        <v>528</v>
      </c>
      <c r="B308" s="12">
        <f>IF(LEFT(H308,5)="VALID",M308,"")</f>
        <v>199</v>
      </c>
      <c r="C308" s="12">
        <f>IF(LEFT(H308,5)="VALID",N308,"")</f>
        <v>282</v>
      </c>
      <c r="D308" s="10" t="s">
        <v>82</v>
      </c>
      <c r="E308" s="10" t="s">
        <v>505</v>
      </c>
      <c r="F308" s="10" t="s">
        <v>182</v>
      </c>
      <c r="G308" s="10" t="s">
        <v>183</v>
      </c>
      <c r="H308" s="11" t="str">
        <f>IF(OR(M308&lt;=0,N308&lt;=0),"SKIPPED - NONPOSITIVE",IF(OR(M308&lt;L308,N308&lt;L308),"SKIPPED - BELOW MIN",IF(OR(M308&gt;J308,N308&gt;K308),"SKIPPED - EXCEEDS BASE",IF(COUNTIFS($M$286:M307,M308,$N$286:N307,N308)&gt;0,"SKIPPED - DUPLICATE","VALID - GENERATED"))))</f>
        <v>VALID - GENERATED</v>
      </c>
      <c r="I308" s="10" t="s">
        <v>506</v>
      </c>
      <c r="J308" s="12">
        <f>'05-ISO Reference'!$B$9</f>
        <v>210</v>
      </c>
      <c r="K308" s="12">
        <f>'05-ISO Reference'!$C$9</f>
        <v>297</v>
      </c>
      <c r="L308" s="12">
        <f>'01-Process Controls'!$G$5</f>
        <v>3</v>
      </c>
      <c r="M308" s="12">
        <f>ROUNDDOWN(J308*'04-Variant Rules'!$D$27,0)</f>
        <v>199</v>
      </c>
      <c r="N308" s="12">
        <f>ROUNDDOWN(K308*'04-Variant Rules'!$E$27,0)</f>
        <v>282</v>
      </c>
      <c r="O308" s="9">
        <v>22</v>
      </c>
    </row>
    <row r="309" spans="1:15" ht="21" customHeight="1">
      <c r="A309" s="9" t="s">
        <v>529</v>
      </c>
      <c r="B309" s="12">
        <f>IF(LEFT(H309,5)="VALID",M309,"")</f>
        <v>189</v>
      </c>
      <c r="C309" s="12">
        <f>IF(LEFT(H309,5)="VALID",N309,"")</f>
        <v>267</v>
      </c>
      <c r="D309" s="10" t="s">
        <v>82</v>
      </c>
      <c r="E309" s="10" t="s">
        <v>505</v>
      </c>
      <c r="F309" s="10" t="s">
        <v>185</v>
      </c>
      <c r="G309" s="10" t="s">
        <v>186</v>
      </c>
      <c r="H309" s="11" t="str">
        <f>IF(OR(M309&lt;=0,N309&lt;=0),"SKIPPED - NONPOSITIVE",IF(OR(M309&lt;L309,N309&lt;L309),"SKIPPED - BELOW MIN",IF(OR(M309&gt;J309,N309&gt;K309),"SKIPPED - EXCEEDS BASE",IF(COUNTIFS($M$286:M308,M309,$N$286:N308,N309)&gt;0,"SKIPPED - DUPLICATE","VALID - GENERATED"))))</f>
        <v>VALID - GENERATED</v>
      </c>
      <c r="I309" s="10" t="s">
        <v>506</v>
      </c>
      <c r="J309" s="12">
        <f>'05-ISO Reference'!$B$9</f>
        <v>210</v>
      </c>
      <c r="K309" s="12">
        <f>'05-ISO Reference'!$C$9</f>
        <v>297</v>
      </c>
      <c r="L309" s="12">
        <f>'01-Process Controls'!$G$5</f>
        <v>3</v>
      </c>
      <c r="M309" s="12">
        <f>ROUNDDOWN(J309*'04-Variant Rules'!$D$28,0)</f>
        <v>189</v>
      </c>
      <c r="N309" s="12">
        <f>ROUNDDOWN(K309*'04-Variant Rules'!$E$28,0)</f>
        <v>267</v>
      </c>
      <c r="O309" s="9">
        <v>23</v>
      </c>
    </row>
    <row r="310" spans="1:15" ht="21" customHeight="1">
      <c r="A310" s="9" t="s">
        <v>530</v>
      </c>
      <c r="B310" s="12">
        <f>IF(LEFT(H310,5)="VALID",M310,"")</f>
        <v>178</v>
      </c>
      <c r="C310" s="12">
        <f>IF(LEFT(H310,5)="VALID",N310,"")</f>
        <v>252</v>
      </c>
      <c r="D310" s="10" t="s">
        <v>82</v>
      </c>
      <c r="E310" s="10" t="s">
        <v>505</v>
      </c>
      <c r="F310" s="10" t="s">
        <v>188</v>
      </c>
      <c r="G310" s="10" t="s">
        <v>186</v>
      </c>
      <c r="H310" s="11" t="str">
        <f>IF(OR(M310&lt;=0,N310&lt;=0),"SKIPPED - NONPOSITIVE",IF(OR(M310&lt;L310,N310&lt;L310),"SKIPPED - BELOW MIN",IF(OR(M310&gt;J310,N310&gt;K310),"SKIPPED - EXCEEDS BASE",IF(COUNTIFS($M$286:M309,M310,$N$286:N309,N310)&gt;0,"SKIPPED - DUPLICATE","VALID - GENERATED"))))</f>
        <v>VALID - GENERATED</v>
      </c>
      <c r="I310" s="10" t="s">
        <v>506</v>
      </c>
      <c r="J310" s="12">
        <f>'05-ISO Reference'!$B$9</f>
        <v>210</v>
      </c>
      <c r="K310" s="12">
        <f>'05-ISO Reference'!$C$9</f>
        <v>297</v>
      </c>
      <c r="L310" s="12">
        <f>'01-Process Controls'!$G$5</f>
        <v>3</v>
      </c>
      <c r="M310" s="12">
        <f>ROUNDDOWN(J310*'04-Variant Rules'!$D$29,0)</f>
        <v>178</v>
      </c>
      <c r="N310" s="12">
        <f>ROUNDDOWN(K310*'04-Variant Rules'!$E$29,0)</f>
        <v>252</v>
      </c>
      <c r="O310" s="9">
        <v>24</v>
      </c>
    </row>
    <row r="311" spans="1:15" ht="21" customHeight="1">
      <c r="A311" s="9" t="s">
        <v>531</v>
      </c>
      <c r="B311" s="12">
        <f>IF(LEFT(H311,5)="VALID",M311,"")</f>
        <v>168</v>
      </c>
      <c r="C311" s="12">
        <f>IF(LEFT(H311,5)="VALID",N311,"")</f>
        <v>237</v>
      </c>
      <c r="D311" s="10" t="s">
        <v>82</v>
      </c>
      <c r="E311" s="10" t="s">
        <v>505</v>
      </c>
      <c r="F311" s="10" t="s">
        <v>190</v>
      </c>
      <c r="G311" s="10" t="s">
        <v>186</v>
      </c>
      <c r="H311" s="11" t="str">
        <f>IF(OR(M311&lt;=0,N311&lt;=0),"SKIPPED - NONPOSITIVE",IF(OR(M311&lt;L311,N311&lt;L311),"SKIPPED - BELOW MIN",IF(OR(M311&gt;J311,N311&gt;K311),"SKIPPED - EXCEEDS BASE",IF(COUNTIFS($M$286:M310,M311,$N$286:N310,N311)&gt;0,"SKIPPED - DUPLICATE","VALID - GENERATED"))))</f>
        <v>VALID - GENERATED</v>
      </c>
      <c r="I311" s="10" t="s">
        <v>506</v>
      </c>
      <c r="J311" s="12">
        <f>'05-ISO Reference'!$B$9</f>
        <v>210</v>
      </c>
      <c r="K311" s="12">
        <f>'05-ISO Reference'!$C$9</f>
        <v>297</v>
      </c>
      <c r="L311" s="12">
        <f>'01-Process Controls'!$G$5</f>
        <v>3</v>
      </c>
      <c r="M311" s="12">
        <f>ROUNDDOWN(J311*'04-Variant Rules'!$D$30,0)</f>
        <v>168</v>
      </c>
      <c r="N311" s="12">
        <f>ROUNDDOWN(K311*'04-Variant Rules'!$E$30,0)</f>
        <v>237</v>
      </c>
      <c r="O311" s="9">
        <v>25</v>
      </c>
    </row>
    <row r="312" spans="1:15" ht="21" customHeight="1">
      <c r="A312" s="9" t="s">
        <v>532</v>
      </c>
      <c r="B312" s="12">
        <f>IF(LEFT(H312,5)="VALID",M312,"")</f>
        <v>157</v>
      </c>
      <c r="C312" s="12">
        <f>IF(LEFT(H312,5)="VALID",N312,"")</f>
        <v>222</v>
      </c>
      <c r="D312" s="10" t="s">
        <v>82</v>
      </c>
      <c r="E312" s="10" t="s">
        <v>505</v>
      </c>
      <c r="F312" s="10" t="s">
        <v>192</v>
      </c>
      <c r="G312" s="10" t="s">
        <v>186</v>
      </c>
      <c r="H312" s="11" t="str">
        <f>IF(OR(M312&lt;=0,N312&lt;=0),"SKIPPED - NONPOSITIVE",IF(OR(M312&lt;L312,N312&lt;L312),"SKIPPED - BELOW MIN",IF(OR(M312&gt;J312,N312&gt;K312),"SKIPPED - EXCEEDS BASE",IF(COUNTIFS($M$286:M311,M312,$N$286:N311,N312)&gt;0,"SKIPPED - DUPLICATE","VALID - GENERATED"))))</f>
        <v>VALID - GENERATED</v>
      </c>
      <c r="I312" s="10" t="s">
        <v>506</v>
      </c>
      <c r="J312" s="12">
        <f>'05-ISO Reference'!$B$9</f>
        <v>210</v>
      </c>
      <c r="K312" s="12">
        <f>'05-ISO Reference'!$C$9</f>
        <v>297</v>
      </c>
      <c r="L312" s="12">
        <f>'01-Process Controls'!$G$5</f>
        <v>3</v>
      </c>
      <c r="M312" s="12">
        <f>ROUNDDOWN(J312*'04-Variant Rules'!$D$31,0)</f>
        <v>157</v>
      </c>
      <c r="N312" s="12">
        <f>ROUNDDOWN(K312*'04-Variant Rules'!$E$31,0)</f>
        <v>222</v>
      </c>
      <c r="O312" s="9">
        <v>26</v>
      </c>
    </row>
    <row r="313" spans="1:15" ht="21" customHeight="1">
      <c r="A313" s="9" t="s">
        <v>533</v>
      </c>
      <c r="B313" s="12">
        <f>IF(LEFT(H313,5)="VALID",M313,"")</f>
        <v>147</v>
      </c>
      <c r="C313" s="12">
        <f>IF(LEFT(H313,5)="VALID",N313,"")</f>
        <v>207</v>
      </c>
      <c r="D313" s="10" t="s">
        <v>82</v>
      </c>
      <c r="E313" s="10" t="s">
        <v>505</v>
      </c>
      <c r="F313" s="10" t="s">
        <v>194</v>
      </c>
      <c r="G313" s="10" t="s">
        <v>186</v>
      </c>
      <c r="H313" s="11" t="str">
        <f>IF(OR(M313&lt;=0,N313&lt;=0),"SKIPPED - NONPOSITIVE",IF(OR(M313&lt;L313,N313&lt;L313),"SKIPPED - BELOW MIN",IF(OR(M313&gt;J313,N313&gt;K313),"SKIPPED - EXCEEDS BASE",IF(COUNTIFS($M$286:M312,M313,$N$286:N312,N313)&gt;0,"SKIPPED - DUPLICATE","VALID - GENERATED"))))</f>
        <v>VALID - GENERATED</v>
      </c>
      <c r="I313" s="10" t="s">
        <v>506</v>
      </c>
      <c r="J313" s="12">
        <f>'05-ISO Reference'!$B$9</f>
        <v>210</v>
      </c>
      <c r="K313" s="12">
        <f>'05-ISO Reference'!$C$9</f>
        <v>297</v>
      </c>
      <c r="L313" s="12">
        <f>'01-Process Controls'!$G$5</f>
        <v>3</v>
      </c>
      <c r="M313" s="12">
        <f>ROUNDDOWN(J313*'04-Variant Rules'!$D$32,0)</f>
        <v>147</v>
      </c>
      <c r="N313" s="12">
        <f>ROUNDDOWN(K313*'04-Variant Rules'!$E$32,0)</f>
        <v>207</v>
      </c>
      <c r="O313" s="9">
        <v>27</v>
      </c>
    </row>
    <row r="314" spans="1:15" ht="21" customHeight="1">
      <c r="A314" s="9" t="s">
        <v>534</v>
      </c>
      <c r="B314" s="12">
        <f>IF(LEFT(H314,5)="VALID",M314,"")</f>
        <v>140</v>
      </c>
      <c r="C314" s="12">
        <f>IF(LEFT(H314,5)="VALID",N314,"")</f>
        <v>198</v>
      </c>
      <c r="D314" s="10" t="s">
        <v>82</v>
      </c>
      <c r="E314" s="10" t="s">
        <v>505</v>
      </c>
      <c r="F314" s="10" t="s">
        <v>196</v>
      </c>
      <c r="G314" s="10" t="s">
        <v>186</v>
      </c>
      <c r="H314" s="11" t="str">
        <f>IF(OR(M314&lt;=0,N314&lt;=0),"SKIPPED - NONPOSITIVE",IF(OR(M314&lt;L314,N314&lt;L314),"SKIPPED - BELOW MIN",IF(OR(M314&gt;J314,N314&gt;K314),"SKIPPED - EXCEEDS BASE",IF(COUNTIFS($M$286:M313,M314,$N$286:N313,N314)&gt;0,"SKIPPED - DUPLICATE","VALID - GENERATED"))))</f>
        <v>VALID - GENERATED</v>
      </c>
      <c r="I314" s="10" t="s">
        <v>506</v>
      </c>
      <c r="J314" s="12">
        <f>'05-ISO Reference'!$B$9</f>
        <v>210</v>
      </c>
      <c r="K314" s="12">
        <f>'05-ISO Reference'!$C$9</f>
        <v>297</v>
      </c>
      <c r="L314" s="12">
        <f>'01-Process Controls'!$G$5</f>
        <v>3</v>
      </c>
      <c r="M314" s="12">
        <f>ROUNDDOWN(J314*'04-Variant Rules'!$D$33,0)</f>
        <v>140</v>
      </c>
      <c r="N314" s="12">
        <f>ROUNDDOWN(K314*'04-Variant Rules'!$E$33,0)</f>
        <v>198</v>
      </c>
      <c r="O314" s="9">
        <v>28</v>
      </c>
    </row>
    <row r="315" spans="1:15" ht="21" customHeight="1">
      <c r="A315" s="9" t="s">
        <v>535</v>
      </c>
      <c r="B315" s="12">
        <f>IF(LEFT(H315,5)="VALID",M315,"")</f>
        <v>126</v>
      </c>
      <c r="C315" s="12">
        <f>IF(LEFT(H315,5)="VALID",N315,"")</f>
        <v>178</v>
      </c>
      <c r="D315" s="10" t="s">
        <v>82</v>
      </c>
      <c r="E315" s="10" t="s">
        <v>505</v>
      </c>
      <c r="F315" s="10" t="s">
        <v>198</v>
      </c>
      <c r="G315" s="10" t="s">
        <v>186</v>
      </c>
      <c r="H315" s="11" t="str">
        <f>IF(OR(M315&lt;=0,N315&lt;=0),"SKIPPED - NONPOSITIVE",IF(OR(M315&lt;L315,N315&lt;L315),"SKIPPED - BELOW MIN",IF(OR(M315&gt;J315,N315&gt;K315),"SKIPPED - EXCEEDS BASE",IF(COUNTIFS($M$286:M314,M315,$N$286:N314,N315)&gt;0,"SKIPPED - DUPLICATE","VALID - GENERATED"))))</f>
        <v>VALID - GENERATED</v>
      </c>
      <c r="I315" s="10" t="s">
        <v>506</v>
      </c>
      <c r="J315" s="12">
        <f>'05-ISO Reference'!$B$9</f>
        <v>210</v>
      </c>
      <c r="K315" s="12">
        <f>'05-ISO Reference'!$C$9</f>
        <v>297</v>
      </c>
      <c r="L315" s="12">
        <f>'01-Process Controls'!$G$5</f>
        <v>3</v>
      </c>
      <c r="M315" s="12">
        <f>ROUNDDOWN(J315*'04-Variant Rules'!$D$34,0)</f>
        <v>126</v>
      </c>
      <c r="N315" s="12">
        <f>ROUNDDOWN(K315*'04-Variant Rules'!$E$34,0)</f>
        <v>178</v>
      </c>
      <c r="O315" s="9">
        <v>29</v>
      </c>
    </row>
    <row r="316" spans="1:15" ht="21" customHeight="1">
      <c r="A316" s="9" t="s">
        <v>536</v>
      </c>
      <c r="B316" s="12">
        <f>IF(LEFT(H316,5)="VALID",M316,"")</f>
        <v>115</v>
      </c>
      <c r="C316" s="12">
        <f>IF(LEFT(H316,5)="VALID",N316,"")</f>
        <v>163</v>
      </c>
      <c r="D316" s="10" t="s">
        <v>82</v>
      </c>
      <c r="E316" s="10" t="s">
        <v>505</v>
      </c>
      <c r="F316" s="10" t="s">
        <v>200</v>
      </c>
      <c r="G316" s="10" t="s">
        <v>186</v>
      </c>
      <c r="H316" s="11" t="str">
        <f>IF(OR(M316&lt;=0,N316&lt;=0),"SKIPPED - NONPOSITIVE",IF(OR(M316&lt;L316,N316&lt;L316),"SKIPPED - BELOW MIN",IF(OR(M316&gt;J316,N316&gt;K316),"SKIPPED - EXCEEDS BASE",IF(COUNTIFS($M$286:M315,M316,$N$286:N315,N316)&gt;0,"SKIPPED - DUPLICATE","VALID - GENERATED"))))</f>
        <v>VALID - GENERATED</v>
      </c>
      <c r="I316" s="10" t="s">
        <v>506</v>
      </c>
      <c r="J316" s="12">
        <f>'05-ISO Reference'!$B$9</f>
        <v>210</v>
      </c>
      <c r="K316" s="12">
        <f>'05-ISO Reference'!$C$9</f>
        <v>297</v>
      </c>
      <c r="L316" s="12">
        <f>'01-Process Controls'!$G$5</f>
        <v>3</v>
      </c>
      <c r="M316" s="12">
        <f>ROUNDDOWN(J316*'04-Variant Rules'!$D$35,0)</f>
        <v>115</v>
      </c>
      <c r="N316" s="12">
        <f>ROUNDDOWN(K316*'04-Variant Rules'!$E$35,0)</f>
        <v>163</v>
      </c>
      <c r="O316" s="9">
        <v>30</v>
      </c>
    </row>
    <row r="317" spans="1:15" ht="21" customHeight="1">
      <c r="A317" s="9" t="s">
        <v>537</v>
      </c>
      <c r="B317" s="12">
        <f>IF(LEFT(H317,5)="VALID",M317,"")</f>
        <v>94</v>
      </c>
      <c r="C317" s="12">
        <f>IF(LEFT(H317,5)="VALID",N317,"")</f>
        <v>133</v>
      </c>
      <c r="D317" s="10" t="s">
        <v>82</v>
      </c>
      <c r="E317" s="10" t="s">
        <v>505</v>
      </c>
      <c r="F317" s="10" t="s">
        <v>202</v>
      </c>
      <c r="G317" s="10" t="s">
        <v>186</v>
      </c>
      <c r="H317" s="11" t="str">
        <f>IF(OR(M317&lt;=0,N317&lt;=0),"SKIPPED - NONPOSITIVE",IF(OR(M317&lt;L317,N317&lt;L317),"SKIPPED - BELOW MIN",IF(OR(M317&gt;J317,N317&gt;K317),"SKIPPED - EXCEEDS BASE",IF(COUNTIFS($M$286:M316,M317,$N$286:N316,N317)&gt;0,"SKIPPED - DUPLICATE","VALID - GENERATED"))))</f>
        <v>VALID - GENERATED</v>
      </c>
      <c r="I317" s="10" t="s">
        <v>506</v>
      </c>
      <c r="J317" s="12">
        <f>'05-ISO Reference'!$B$9</f>
        <v>210</v>
      </c>
      <c r="K317" s="12">
        <f>'05-ISO Reference'!$C$9</f>
        <v>297</v>
      </c>
      <c r="L317" s="12">
        <f>'01-Process Controls'!$G$5</f>
        <v>3</v>
      </c>
      <c r="M317" s="12">
        <f>ROUNDDOWN(J317*'04-Variant Rules'!$D$36,0)</f>
        <v>94</v>
      </c>
      <c r="N317" s="12">
        <f>ROUNDDOWN(K317*'04-Variant Rules'!$E$36,0)</f>
        <v>133</v>
      </c>
      <c r="O317" s="9">
        <v>31</v>
      </c>
    </row>
    <row r="318" spans="1:15" ht="21" customHeight="1">
      <c r="A318" s="9" t="s">
        <v>538</v>
      </c>
      <c r="B318" s="12">
        <f>IF(LEFT(H318,5)="VALID",M318,"")</f>
        <v>84</v>
      </c>
      <c r="C318" s="12">
        <f>IF(LEFT(H318,5)="VALID",N318,"")</f>
        <v>118</v>
      </c>
      <c r="D318" s="10" t="s">
        <v>82</v>
      </c>
      <c r="E318" s="10" t="s">
        <v>505</v>
      </c>
      <c r="F318" s="10" t="s">
        <v>204</v>
      </c>
      <c r="G318" s="10" t="s">
        <v>186</v>
      </c>
      <c r="H318" s="11" t="str">
        <f>IF(OR(M318&lt;=0,N318&lt;=0),"SKIPPED - NONPOSITIVE",IF(OR(M318&lt;L318,N318&lt;L318),"SKIPPED - BELOW MIN",IF(OR(M318&gt;J318,N318&gt;K318),"SKIPPED - EXCEEDS BASE",IF(COUNTIFS($M$286:M317,M318,$N$286:N317,N318)&gt;0,"SKIPPED - DUPLICATE","VALID - GENERATED"))))</f>
        <v>VALID - GENERATED</v>
      </c>
      <c r="I318" s="10" t="s">
        <v>506</v>
      </c>
      <c r="J318" s="12">
        <f>'05-ISO Reference'!$B$9</f>
        <v>210</v>
      </c>
      <c r="K318" s="12">
        <f>'05-ISO Reference'!$C$9</f>
        <v>297</v>
      </c>
      <c r="L318" s="12">
        <f>'01-Process Controls'!$G$5</f>
        <v>3</v>
      </c>
      <c r="M318" s="12">
        <f>ROUNDDOWN(J318*'04-Variant Rules'!$D$37,0)</f>
        <v>84</v>
      </c>
      <c r="N318" s="12">
        <f>ROUNDDOWN(K318*'04-Variant Rules'!$E$37,0)</f>
        <v>118</v>
      </c>
      <c r="O318" s="9">
        <v>32</v>
      </c>
    </row>
    <row r="319" spans="1:15" ht="21" customHeight="1">
      <c r="A319" s="9" t="s">
        <v>539</v>
      </c>
      <c r="B319" s="12">
        <f>IF(LEFT(H319,5)="VALID",M319,"")</f>
        <v>73</v>
      </c>
      <c r="C319" s="12">
        <f>IF(LEFT(H319,5)="VALID",N319,"")</f>
        <v>103</v>
      </c>
      <c r="D319" s="10" t="s">
        <v>82</v>
      </c>
      <c r="E319" s="10" t="s">
        <v>505</v>
      </c>
      <c r="F319" s="10" t="s">
        <v>206</v>
      </c>
      <c r="G319" s="10" t="s">
        <v>186</v>
      </c>
      <c r="H319" s="11" t="str">
        <f>IF(OR(M319&lt;=0,N319&lt;=0),"SKIPPED - NONPOSITIVE",IF(OR(M319&lt;L319,N319&lt;L319),"SKIPPED - BELOW MIN",IF(OR(M319&gt;J319,N319&gt;K319),"SKIPPED - EXCEEDS BASE",IF(COUNTIFS($M$286:M318,M319,$N$286:N318,N319)&gt;0,"SKIPPED - DUPLICATE","VALID - GENERATED"))))</f>
        <v>VALID - GENERATED</v>
      </c>
      <c r="I319" s="10" t="s">
        <v>506</v>
      </c>
      <c r="J319" s="12">
        <f>'05-ISO Reference'!$B$9</f>
        <v>210</v>
      </c>
      <c r="K319" s="12">
        <f>'05-ISO Reference'!$C$9</f>
        <v>297</v>
      </c>
      <c r="L319" s="12">
        <f>'01-Process Controls'!$G$5</f>
        <v>3</v>
      </c>
      <c r="M319" s="12">
        <f>ROUNDDOWN(J319*'04-Variant Rules'!$D$38,0)</f>
        <v>73</v>
      </c>
      <c r="N319" s="12">
        <f>ROUNDDOWN(K319*'04-Variant Rules'!$E$38,0)</f>
        <v>103</v>
      </c>
      <c r="O319" s="9">
        <v>33</v>
      </c>
    </row>
    <row r="320" spans="1:15" ht="21" customHeight="1">
      <c r="A320" s="9" t="s">
        <v>540</v>
      </c>
      <c r="B320" s="12">
        <f>IF(LEFT(H320,5)="VALID",M320,"")</f>
        <v>63</v>
      </c>
      <c r="C320" s="12">
        <f>IF(LEFT(H320,5)="VALID",N320,"")</f>
        <v>89</v>
      </c>
      <c r="D320" s="10" t="s">
        <v>82</v>
      </c>
      <c r="E320" s="10" t="s">
        <v>505</v>
      </c>
      <c r="F320" s="10" t="s">
        <v>208</v>
      </c>
      <c r="G320" s="10" t="s">
        <v>186</v>
      </c>
      <c r="H320" s="11" t="str">
        <f>IF(OR(M320&lt;=0,N320&lt;=0),"SKIPPED - NONPOSITIVE",IF(OR(M320&lt;L320,N320&lt;L320),"SKIPPED - BELOW MIN",IF(OR(M320&gt;J320,N320&gt;K320),"SKIPPED - EXCEEDS BASE",IF(COUNTIFS($M$286:M319,M320,$N$286:N319,N320)&gt;0,"SKIPPED - DUPLICATE","VALID - GENERATED"))))</f>
        <v>VALID - GENERATED</v>
      </c>
      <c r="I320" s="10" t="s">
        <v>506</v>
      </c>
      <c r="J320" s="12">
        <f>'05-ISO Reference'!$B$9</f>
        <v>210</v>
      </c>
      <c r="K320" s="12">
        <f>'05-ISO Reference'!$C$9</f>
        <v>297</v>
      </c>
      <c r="L320" s="12">
        <f>'01-Process Controls'!$G$5</f>
        <v>3</v>
      </c>
      <c r="M320" s="12">
        <f>ROUNDDOWN(J320*'04-Variant Rules'!$D$39,0)</f>
        <v>63</v>
      </c>
      <c r="N320" s="12">
        <f>ROUNDDOWN(K320*'04-Variant Rules'!$E$39,0)</f>
        <v>89</v>
      </c>
      <c r="O320" s="9">
        <v>34</v>
      </c>
    </row>
    <row r="321" spans="1:15" ht="21" customHeight="1">
      <c r="A321" s="9" t="s">
        <v>541</v>
      </c>
      <c r="B321" s="12">
        <f>IF(LEFT(H321,5)="VALID",M321,"")</f>
        <v>42</v>
      </c>
      <c r="C321" s="12">
        <f>IF(LEFT(H321,5)="VALID",N321,"")</f>
        <v>59</v>
      </c>
      <c r="D321" s="10" t="s">
        <v>82</v>
      </c>
      <c r="E321" s="10" t="s">
        <v>505</v>
      </c>
      <c r="F321" s="10" t="s">
        <v>210</v>
      </c>
      <c r="G321" s="10" t="s">
        <v>186</v>
      </c>
      <c r="H321" s="11" t="str">
        <f>IF(OR(M321&lt;=0,N321&lt;=0),"SKIPPED - NONPOSITIVE",IF(OR(M321&lt;L321,N321&lt;L321),"SKIPPED - BELOW MIN",IF(OR(M321&gt;J321,N321&gt;K321),"SKIPPED - EXCEEDS BASE",IF(COUNTIFS($M$286:M320,M321,$N$286:N320,N321)&gt;0,"SKIPPED - DUPLICATE","VALID - GENERATED"))))</f>
        <v>VALID - GENERATED</v>
      </c>
      <c r="I321" s="10" t="s">
        <v>506</v>
      </c>
      <c r="J321" s="12">
        <f>'05-ISO Reference'!$B$9</f>
        <v>210</v>
      </c>
      <c r="K321" s="12">
        <f>'05-ISO Reference'!$C$9</f>
        <v>297</v>
      </c>
      <c r="L321" s="12">
        <f>'01-Process Controls'!$G$5</f>
        <v>3</v>
      </c>
      <c r="M321" s="12">
        <f>ROUNDDOWN(J321*'04-Variant Rules'!$D$40,0)</f>
        <v>42</v>
      </c>
      <c r="N321" s="12">
        <f>ROUNDDOWN(K321*'04-Variant Rules'!$E$40,0)</f>
        <v>59</v>
      </c>
      <c r="O321" s="9">
        <v>35</v>
      </c>
    </row>
    <row r="322" spans="1:15" ht="21" customHeight="1">
      <c r="A322" s="9" t="s">
        <v>542</v>
      </c>
      <c r="B322" s="12">
        <f>IF(LEFT(H322,5)="VALID",M322,"")</f>
        <v>31</v>
      </c>
      <c r="C322" s="12">
        <f>IF(LEFT(H322,5)="VALID",N322,"")</f>
        <v>44</v>
      </c>
      <c r="D322" s="10" t="s">
        <v>82</v>
      </c>
      <c r="E322" s="10" t="s">
        <v>505</v>
      </c>
      <c r="F322" s="10" t="s">
        <v>212</v>
      </c>
      <c r="G322" s="10" t="s">
        <v>213</v>
      </c>
      <c r="H322" s="11" t="str">
        <f>IF(OR(M322&lt;=0,N322&lt;=0),"SKIPPED - NONPOSITIVE",IF(OR(M322&lt;L322,N322&lt;L322),"SKIPPED - BELOW MIN",IF(OR(M322&gt;J322,N322&gt;K322),"SKIPPED - EXCEEDS BASE",IF(COUNTIFS($M$286:M321,M322,$N$286:N321,N322)&gt;0,"SKIPPED - DUPLICATE","VALID - GENERATED"))))</f>
        <v>VALID - GENERATED</v>
      </c>
      <c r="I322" s="10" t="s">
        <v>506</v>
      </c>
      <c r="J322" s="12">
        <f>'05-ISO Reference'!$B$9</f>
        <v>210</v>
      </c>
      <c r="K322" s="12">
        <f>'05-ISO Reference'!$C$9</f>
        <v>297</v>
      </c>
      <c r="L322" s="12">
        <f>'01-Process Controls'!$G$5</f>
        <v>3</v>
      </c>
      <c r="M322" s="12">
        <f>ROUNDDOWN(J322*'04-Variant Rules'!$D$41,0)</f>
        <v>31</v>
      </c>
      <c r="N322" s="12">
        <f>ROUNDDOWN(K322*'04-Variant Rules'!$E$41,0)</f>
        <v>44</v>
      </c>
      <c r="O322" s="9">
        <v>36</v>
      </c>
    </row>
    <row r="323" spans="1:15" ht="21" customHeight="1">
      <c r="A323" s="9" t="s">
        <v>543</v>
      </c>
      <c r="B323" s="12">
        <f>IF(LEFT(H323,5)="VALID",M323,"")</f>
        <v>210</v>
      </c>
      <c r="C323" s="12">
        <f>IF(LEFT(H323,5)="VALID",N323,"")</f>
        <v>210</v>
      </c>
      <c r="D323" s="10" t="s">
        <v>82</v>
      </c>
      <c r="E323" s="10" t="s">
        <v>505</v>
      </c>
      <c r="F323" s="10" t="s">
        <v>215</v>
      </c>
      <c r="G323" s="10" t="s">
        <v>216</v>
      </c>
      <c r="H323" s="11" t="str">
        <f>IF(OR(M323&lt;=0,N323&lt;=0),"SKIPPED - NONPOSITIVE",IF(OR(M323&lt;L323,N323&lt;L323),"SKIPPED - BELOW MIN",IF(OR(M323&gt;J323,N323&gt;K323),"SKIPPED - EXCEEDS BASE",IF(COUNTIFS($M$286:M322,M323,$N$286:N322,N323)&gt;0,"SKIPPED - DUPLICATE","VALID - GENERATED"))))</f>
        <v>VALID - GENERATED</v>
      </c>
      <c r="I323" s="10" t="s">
        <v>506</v>
      </c>
      <c r="J323" s="12">
        <f>'05-ISO Reference'!$B$9</f>
        <v>210</v>
      </c>
      <c r="K323" s="12">
        <f>'05-ISO Reference'!$C$9</f>
        <v>297</v>
      </c>
      <c r="L323" s="12">
        <f>'01-Process Controls'!$G$5</f>
        <v>3</v>
      </c>
      <c r="M323" s="12">
        <f>ROUNDDOWN(MIN(J323,K323)*'04-Variant Rules'!$D$42,0)</f>
        <v>210</v>
      </c>
      <c r="N323" s="12">
        <f>ROUNDDOWN(MIN(J323,K323)*'04-Variant Rules'!$D$42,0)</f>
        <v>210</v>
      </c>
      <c r="O323" s="9">
        <v>37</v>
      </c>
    </row>
    <row r="324" spans="1:15" ht="21" customHeight="1">
      <c r="A324" s="9" t="s">
        <v>544</v>
      </c>
      <c r="B324" s="12">
        <f>IF(LEFT(H324,5)="VALID",M324,"")</f>
        <v>189</v>
      </c>
      <c r="C324" s="12">
        <f>IF(LEFT(H324,5)="VALID",N324,"")</f>
        <v>189</v>
      </c>
      <c r="D324" s="10" t="s">
        <v>82</v>
      </c>
      <c r="E324" s="10" t="s">
        <v>505</v>
      </c>
      <c r="F324" s="10" t="s">
        <v>218</v>
      </c>
      <c r="G324" s="10" t="s">
        <v>219</v>
      </c>
      <c r="H324" s="11" t="str">
        <f>IF(OR(M324&lt;=0,N324&lt;=0),"SKIPPED - NONPOSITIVE",IF(OR(M324&lt;L324,N324&lt;L324),"SKIPPED - BELOW MIN",IF(OR(M324&gt;J324,N324&gt;K324),"SKIPPED - EXCEEDS BASE",IF(COUNTIFS($M$286:M323,M324,$N$286:N323,N324)&gt;0,"SKIPPED - DUPLICATE","VALID - GENERATED"))))</f>
        <v>VALID - GENERATED</v>
      </c>
      <c r="I324" s="10" t="s">
        <v>506</v>
      </c>
      <c r="J324" s="12">
        <f>'05-ISO Reference'!$B$9</f>
        <v>210</v>
      </c>
      <c r="K324" s="12">
        <f>'05-ISO Reference'!$C$9</f>
        <v>297</v>
      </c>
      <c r="L324" s="12">
        <f>'01-Process Controls'!$G$5</f>
        <v>3</v>
      </c>
      <c r="M324" s="12">
        <f>ROUNDDOWN(MIN(J324,K324)*'04-Variant Rules'!$D$43,0)</f>
        <v>189</v>
      </c>
      <c r="N324" s="12">
        <f>ROUNDDOWN(MIN(J324,K324)*'04-Variant Rules'!$D$43,0)</f>
        <v>189</v>
      </c>
      <c r="O324" s="9">
        <v>38</v>
      </c>
    </row>
    <row r="325" spans="1:15" ht="21" customHeight="1">
      <c r="A325" s="9" t="s">
        <v>545</v>
      </c>
      <c r="B325" s="12">
        <f>IF(LEFT(H325,5)="VALID",M325,"")</f>
        <v>168</v>
      </c>
      <c r="C325" s="12">
        <f>IF(LEFT(H325,5)="VALID",N325,"")</f>
        <v>168</v>
      </c>
      <c r="D325" s="10" t="s">
        <v>82</v>
      </c>
      <c r="E325" s="10" t="s">
        <v>505</v>
      </c>
      <c r="F325" s="10" t="s">
        <v>221</v>
      </c>
      <c r="G325" s="10" t="s">
        <v>219</v>
      </c>
      <c r="H325" s="11" t="str">
        <f>IF(OR(M325&lt;=0,N325&lt;=0),"SKIPPED - NONPOSITIVE",IF(OR(M325&lt;L325,N325&lt;L325),"SKIPPED - BELOW MIN",IF(OR(M325&gt;J325,N325&gt;K325),"SKIPPED - EXCEEDS BASE",IF(COUNTIFS($M$286:M324,M325,$N$286:N324,N325)&gt;0,"SKIPPED - DUPLICATE","VALID - GENERATED"))))</f>
        <v>VALID - GENERATED</v>
      </c>
      <c r="I325" s="10" t="s">
        <v>506</v>
      </c>
      <c r="J325" s="12">
        <f>'05-ISO Reference'!$B$9</f>
        <v>210</v>
      </c>
      <c r="K325" s="12">
        <f>'05-ISO Reference'!$C$9</f>
        <v>297</v>
      </c>
      <c r="L325" s="12">
        <f>'01-Process Controls'!$G$5</f>
        <v>3</v>
      </c>
      <c r="M325" s="12">
        <f>ROUNDDOWN(MIN(J325,K325)*'04-Variant Rules'!$D$44,0)</f>
        <v>168</v>
      </c>
      <c r="N325" s="12">
        <f>ROUNDDOWN(MIN(J325,K325)*'04-Variant Rules'!$D$44,0)</f>
        <v>168</v>
      </c>
      <c r="O325" s="9">
        <v>39</v>
      </c>
    </row>
    <row r="326" spans="1:15" ht="21" customHeight="1">
      <c r="A326" s="9" t="s">
        <v>546</v>
      </c>
      <c r="B326" s="12">
        <f>IF(LEFT(H326,5)="VALID",M326,"")</f>
        <v>157</v>
      </c>
      <c r="C326" s="12">
        <f>IF(LEFT(H326,5)="VALID",N326,"")</f>
        <v>157</v>
      </c>
      <c r="D326" s="10" t="s">
        <v>82</v>
      </c>
      <c r="E326" s="10" t="s">
        <v>505</v>
      </c>
      <c r="F326" s="10" t="s">
        <v>223</v>
      </c>
      <c r="G326" s="10" t="s">
        <v>219</v>
      </c>
      <c r="H326" s="11" t="str">
        <f>IF(OR(M326&lt;=0,N326&lt;=0),"SKIPPED - NONPOSITIVE",IF(OR(M326&lt;L326,N326&lt;L326),"SKIPPED - BELOW MIN",IF(OR(M326&gt;J326,N326&gt;K326),"SKIPPED - EXCEEDS BASE",IF(COUNTIFS($M$286:M325,M326,$N$286:N325,N326)&gt;0,"SKIPPED - DUPLICATE","VALID - GENERATED"))))</f>
        <v>VALID - GENERATED</v>
      </c>
      <c r="I326" s="10" t="s">
        <v>506</v>
      </c>
      <c r="J326" s="12">
        <f>'05-ISO Reference'!$B$9</f>
        <v>210</v>
      </c>
      <c r="K326" s="12">
        <f>'05-ISO Reference'!$C$9</f>
        <v>297</v>
      </c>
      <c r="L326" s="12">
        <f>'01-Process Controls'!$G$5</f>
        <v>3</v>
      </c>
      <c r="M326" s="12">
        <f>ROUNDDOWN(MIN(J326,K326)*'04-Variant Rules'!$D$45,0)</f>
        <v>157</v>
      </c>
      <c r="N326" s="12">
        <f>ROUNDDOWN(MIN(J326,K326)*'04-Variant Rules'!$D$45,0)</f>
        <v>157</v>
      </c>
      <c r="O326" s="9">
        <v>40</v>
      </c>
    </row>
    <row r="327" spans="1:15" ht="21" customHeight="1">
      <c r="A327" s="9" t="s">
        <v>547</v>
      </c>
      <c r="B327" s="12">
        <f>IF(LEFT(H327,5)="VALID",M327,"")</f>
        <v>140</v>
      </c>
      <c r="C327" s="12">
        <f>IF(LEFT(H327,5)="VALID",N327,"")</f>
        <v>140</v>
      </c>
      <c r="D327" s="10" t="s">
        <v>82</v>
      </c>
      <c r="E327" s="10" t="s">
        <v>505</v>
      </c>
      <c r="F327" s="10" t="s">
        <v>225</v>
      </c>
      <c r="G327" s="10" t="s">
        <v>219</v>
      </c>
      <c r="H327" s="11" t="str">
        <f>IF(OR(M327&lt;=0,N327&lt;=0),"SKIPPED - NONPOSITIVE",IF(OR(M327&lt;L327,N327&lt;L327),"SKIPPED - BELOW MIN",IF(OR(M327&gt;J327,N327&gt;K327),"SKIPPED - EXCEEDS BASE",IF(COUNTIFS($M$286:M326,M327,$N$286:N326,N327)&gt;0,"SKIPPED - DUPLICATE","VALID - GENERATED"))))</f>
        <v>VALID - GENERATED</v>
      </c>
      <c r="I327" s="10" t="s">
        <v>506</v>
      </c>
      <c r="J327" s="12">
        <f>'05-ISO Reference'!$B$9</f>
        <v>210</v>
      </c>
      <c r="K327" s="12">
        <f>'05-ISO Reference'!$C$9</f>
        <v>297</v>
      </c>
      <c r="L327" s="12">
        <f>'01-Process Controls'!$G$5</f>
        <v>3</v>
      </c>
      <c r="M327" s="12">
        <f>ROUNDDOWN(MIN(J327,K327)*'04-Variant Rules'!$D$46,0)</f>
        <v>140</v>
      </c>
      <c r="N327" s="12">
        <f>ROUNDDOWN(MIN(J327,K327)*'04-Variant Rules'!$D$46,0)</f>
        <v>140</v>
      </c>
      <c r="O327" s="9">
        <v>41</v>
      </c>
    </row>
    <row r="328" spans="1:15" ht="21" customHeight="1">
      <c r="A328" s="9" t="s">
        <v>548</v>
      </c>
      <c r="B328" s="12">
        <f>IF(LEFT(H328,5)="VALID",M328,"")</f>
        <v>126</v>
      </c>
      <c r="C328" s="12">
        <f>IF(LEFT(H328,5)="VALID",N328,"")</f>
        <v>126</v>
      </c>
      <c r="D328" s="10" t="s">
        <v>82</v>
      </c>
      <c r="E328" s="10" t="s">
        <v>505</v>
      </c>
      <c r="F328" s="10" t="s">
        <v>227</v>
      </c>
      <c r="G328" s="10" t="s">
        <v>219</v>
      </c>
      <c r="H328" s="11" t="str">
        <f>IF(OR(M328&lt;=0,N328&lt;=0),"SKIPPED - NONPOSITIVE",IF(OR(M328&lt;L328,N328&lt;L328),"SKIPPED - BELOW MIN",IF(OR(M328&gt;J328,N328&gt;K328),"SKIPPED - EXCEEDS BASE",IF(COUNTIFS($M$286:M327,M328,$N$286:N327,N328)&gt;0,"SKIPPED - DUPLICATE","VALID - GENERATED"))))</f>
        <v>VALID - GENERATED</v>
      </c>
      <c r="I328" s="10" t="s">
        <v>506</v>
      </c>
      <c r="J328" s="12">
        <f>'05-ISO Reference'!$B$9</f>
        <v>210</v>
      </c>
      <c r="K328" s="12">
        <f>'05-ISO Reference'!$C$9</f>
        <v>297</v>
      </c>
      <c r="L328" s="12">
        <f>'01-Process Controls'!$G$5</f>
        <v>3</v>
      </c>
      <c r="M328" s="12">
        <f>ROUNDDOWN(MIN(J328,K328)*'04-Variant Rules'!$D$47,0)</f>
        <v>126</v>
      </c>
      <c r="N328" s="12">
        <f>ROUNDDOWN(MIN(J328,K328)*'04-Variant Rules'!$D$47,0)</f>
        <v>126</v>
      </c>
      <c r="O328" s="9">
        <v>42</v>
      </c>
    </row>
    <row r="329" spans="1:15" ht="21" customHeight="1">
      <c r="A329" s="9" t="s">
        <v>549</v>
      </c>
      <c r="B329" s="12">
        <f>IF(LEFT(H329,5)="VALID",M329,"")</f>
        <v>105</v>
      </c>
      <c r="C329" s="12">
        <f>IF(LEFT(H329,5)="VALID",N329,"")</f>
        <v>105</v>
      </c>
      <c r="D329" s="10" t="s">
        <v>82</v>
      </c>
      <c r="E329" s="10" t="s">
        <v>505</v>
      </c>
      <c r="F329" s="10" t="s">
        <v>229</v>
      </c>
      <c r="G329" s="10" t="s">
        <v>219</v>
      </c>
      <c r="H329" s="11" t="str">
        <f>IF(OR(M329&lt;=0,N329&lt;=0),"SKIPPED - NONPOSITIVE",IF(OR(M329&lt;L329,N329&lt;L329),"SKIPPED - BELOW MIN",IF(OR(M329&gt;J329,N329&gt;K329),"SKIPPED - EXCEEDS BASE",IF(COUNTIFS($M$286:M328,M329,$N$286:N328,N329)&gt;0,"SKIPPED - DUPLICATE","VALID - GENERATED"))))</f>
        <v>VALID - GENERATED</v>
      </c>
      <c r="I329" s="10" t="s">
        <v>506</v>
      </c>
      <c r="J329" s="12">
        <f>'05-ISO Reference'!$B$9</f>
        <v>210</v>
      </c>
      <c r="K329" s="12">
        <f>'05-ISO Reference'!$C$9</f>
        <v>297</v>
      </c>
      <c r="L329" s="12">
        <f>'01-Process Controls'!$G$5</f>
        <v>3</v>
      </c>
      <c r="M329" s="12">
        <f>ROUNDDOWN(MIN(J329,K329)*'04-Variant Rules'!$D$48,0)</f>
        <v>105</v>
      </c>
      <c r="N329" s="12">
        <f>ROUNDDOWN(MIN(J329,K329)*'04-Variant Rules'!$D$48,0)</f>
        <v>105</v>
      </c>
      <c r="O329" s="9">
        <v>43</v>
      </c>
    </row>
    <row r="330" spans="1:15" ht="21" customHeight="1">
      <c r="A330" s="9" t="s">
        <v>550</v>
      </c>
      <c r="B330" s="12">
        <f>IF(LEFT(H330,5)="VALID",M330,"")</f>
        <v>84</v>
      </c>
      <c r="C330" s="12">
        <f>IF(LEFT(H330,5)="VALID",N330,"")</f>
        <v>84</v>
      </c>
      <c r="D330" s="10" t="s">
        <v>82</v>
      </c>
      <c r="E330" s="10" t="s">
        <v>505</v>
      </c>
      <c r="F330" s="10" t="s">
        <v>231</v>
      </c>
      <c r="G330" s="10" t="s">
        <v>219</v>
      </c>
      <c r="H330" s="11" t="str">
        <f>IF(OR(M330&lt;=0,N330&lt;=0),"SKIPPED - NONPOSITIVE",IF(OR(M330&lt;L330,N330&lt;L330),"SKIPPED - BELOW MIN",IF(OR(M330&gt;J330,N330&gt;K330),"SKIPPED - EXCEEDS BASE",IF(COUNTIFS($M$286:M329,M330,$N$286:N329,N330)&gt;0,"SKIPPED - DUPLICATE","VALID - GENERATED"))))</f>
        <v>VALID - GENERATED</v>
      </c>
      <c r="I330" s="10" t="s">
        <v>506</v>
      </c>
      <c r="J330" s="12">
        <f>'05-ISO Reference'!$B$9</f>
        <v>210</v>
      </c>
      <c r="K330" s="12">
        <f>'05-ISO Reference'!$C$9</f>
        <v>297</v>
      </c>
      <c r="L330" s="12">
        <f>'01-Process Controls'!$G$5</f>
        <v>3</v>
      </c>
      <c r="M330" s="12">
        <f>ROUNDDOWN(MIN(J330,K330)*'04-Variant Rules'!$D$49,0)</f>
        <v>84</v>
      </c>
      <c r="N330" s="12">
        <f>ROUNDDOWN(MIN(J330,K330)*'04-Variant Rules'!$D$49,0)</f>
        <v>84</v>
      </c>
      <c r="O330" s="9">
        <v>44</v>
      </c>
    </row>
    <row r="331" spans="1:15" ht="21" customHeight="1">
      <c r="A331" s="9" t="s">
        <v>551</v>
      </c>
      <c r="B331" s="12">
        <f>IF(LEFT(H331,5)="VALID",M331,"")</f>
        <v>70</v>
      </c>
      <c r="C331" s="12">
        <f>IF(LEFT(H331,5)="VALID",N331,"")</f>
        <v>70</v>
      </c>
      <c r="D331" s="10" t="s">
        <v>82</v>
      </c>
      <c r="E331" s="10" t="s">
        <v>505</v>
      </c>
      <c r="F331" s="10" t="s">
        <v>233</v>
      </c>
      <c r="G331" s="10" t="s">
        <v>219</v>
      </c>
      <c r="H331" s="11" t="str">
        <f>IF(OR(M331&lt;=0,N331&lt;=0),"SKIPPED - NONPOSITIVE",IF(OR(M331&lt;L331,N331&lt;L331),"SKIPPED - BELOW MIN",IF(OR(M331&gt;J331,N331&gt;K331),"SKIPPED - EXCEEDS BASE",IF(COUNTIFS($M$286:M330,M331,$N$286:N330,N331)&gt;0,"SKIPPED - DUPLICATE","VALID - GENERATED"))))</f>
        <v>VALID - GENERATED</v>
      </c>
      <c r="I331" s="10" t="s">
        <v>506</v>
      </c>
      <c r="J331" s="12">
        <f>'05-ISO Reference'!$B$9</f>
        <v>210</v>
      </c>
      <c r="K331" s="12">
        <f>'05-ISO Reference'!$C$9</f>
        <v>297</v>
      </c>
      <c r="L331" s="12">
        <f>'01-Process Controls'!$G$5</f>
        <v>3</v>
      </c>
      <c r="M331" s="12">
        <f>ROUNDDOWN(MIN(J331,K331)*'04-Variant Rules'!$D$50,0)</f>
        <v>70</v>
      </c>
      <c r="N331" s="12">
        <f>ROUNDDOWN(MIN(J331,K331)*'04-Variant Rules'!$D$50,0)</f>
        <v>70</v>
      </c>
      <c r="O331" s="9">
        <v>45</v>
      </c>
    </row>
    <row r="332" spans="1:15" ht="21" customHeight="1">
      <c r="A332" s="9" t="s">
        <v>552</v>
      </c>
      <c r="B332" s="12">
        <f>IF(LEFT(H332,5)="VALID",M332,"")</f>
        <v>52</v>
      </c>
      <c r="C332" s="12">
        <f>IF(LEFT(H332,5)="VALID",N332,"")</f>
        <v>52</v>
      </c>
      <c r="D332" s="10" t="s">
        <v>82</v>
      </c>
      <c r="E332" s="10" t="s">
        <v>505</v>
      </c>
      <c r="F332" s="10" t="s">
        <v>235</v>
      </c>
      <c r="G332" s="10" t="s">
        <v>219</v>
      </c>
      <c r="H332" s="11" t="str">
        <f>IF(OR(M332&lt;=0,N332&lt;=0),"SKIPPED - NONPOSITIVE",IF(OR(M332&lt;L332,N332&lt;L332),"SKIPPED - BELOW MIN",IF(OR(M332&gt;J332,N332&gt;K332),"SKIPPED - EXCEEDS BASE",IF(COUNTIFS($M$286:M331,M332,$N$286:N331,N332)&gt;0,"SKIPPED - DUPLICATE","VALID - GENERATED"))))</f>
        <v>VALID - GENERATED</v>
      </c>
      <c r="I332" s="10" t="s">
        <v>506</v>
      </c>
      <c r="J332" s="12">
        <f>'05-ISO Reference'!$B$9</f>
        <v>210</v>
      </c>
      <c r="K332" s="12">
        <f>'05-ISO Reference'!$C$9</f>
        <v>297</v>
      </c>
      <c r="L332" s="12">
        <f>'01-Process Controls'!$G$5</f>
        <v>3</v>
      </c>
      <c r="M332" s="12">
        <f>ROUNDDOWN(MIN(J332,K332)*'04-Variant Rules'!$D$51,0)</f>
        <v>52</v>
      </c>
      <c r="N332" s="12">
        <f>ROUNDDOWN(MIN(J332,K332)*'04-Variant Rules'!$D$51,0)</f>
        <v>52</v>
      </c>
      <c r="O332" s="9">
        <v>46</v>
      </c>
    </row>
    <row r="333" spans="1:15" ht="21" customHeight="1">
      <c r="A333" s="9" t="s">
        <v>553</v>
      </c>
      <c r="B333" s="12">
        <f>IF(LEFT(H333,5)="VALID",M333,"")</f>
        <v>42</v>
      </c>
      <c r="C333" s="12">
        <f>IF(LEFT(H333,5)="VALID",N333,"")</f>
        <v>42</v>
      </c>
      <c r="D333" s="10" t="s">
        <v>82</v>
      </c>
      <c r="E333" s="10" t="s">
        <v>505</v>
      </c>
      <c r="F333" s="10" t="s">
        <v>237</v>
      </c>
      <c r="G333" s="10" t="s">
        <v>219</v>
      </c>
      <c r="H333" s="11" t="str">
        <f>IF(OR(M333&lt;=0,N333&lt;=0),"SKIPPED - NONPOSITIVE",IF(OR(M333&lt;L333,N333&lt;L333),"SKIPPED - BELOW MIN",IF(OR(M333&gt;J333,N333&gt;K333),"SKIPPED - EXCEEDS BASE",IF(COUNTIFS($M$286:M332,M333,$N$286:N332,N333)&gt;0,"SKIPPED - DUPLICATE","VALID - GENERATED"))))</f>
        <v>VALID - GENERATED</v>
      </c>
      <c r="I333" s="10" t="s">
        <v>506</v>
      </c>
      <c r="J333" s="12">
        <f>'05-ISO Reference'!$B$9</f>
        <v>210</v>
      </c>
      <c r="K333" s="12">
        <f>'05-ISO Reference'!$C$9</f>
        <v>297</v>
      </c>
      <c r="L333" s="12">
        <f>'01-Process Controls'!$G$5</f>
        <v>3</v>
      </c>
      <c r="M333" s="12">
        <f>ROUNDDOWN(MIN(J333,K333)*'04-Variant Rules'!$D$52,0)</f>
        <v>42</v>
      </c>
      <c r="N333" s="12">
        <f>ROUNDDOWN(MIN(J333,K333)*'04-Variant Rules'!$D$52,0)</f>
        <v>42</v>
      </c>
      <c r="O333" s="9">
        <v>47</v>
      </c>
    </row>
    <row r="334" spans="1:15" ht="21" customHeight="1">
      <c r="A334" s="9" t="s">
        <v>554</v>
      </c>
      <c r="B334" s="12">
        <f>IF(LEFT(H334,5)="VALID",M334,"")</f>
        <v>210</v>
      </c>
      <c r="C334" s="12">
        <f>IF(LEFT(H334,5)="VALID",N334,"")</f>
        <v>157</v>
      </c>
      <c r="D334" s="10" t="s">
        <v>82</v>
      </c>
      <c r="E334" s="10" t="s">
        <v>505</v>
      </c>
      <c r="F334" s="10" t="s">
        <v>239</v>
      </c>
      <c r="G334" s="10" t="s">
        <v>240</v>
      </c>
      <c r="H334" s="11" t="str">
        <f>IF(OR(M334&lt;=0,N334&lt;=0),"SKIPPED - NONPOSITIVE",IF(OR(M334&lt;L334,N334&lt;L334),"SKIPPED - BELOW MIN",IF(OR(M334&gt;J334,N334&gt;K334),"SKIPPED - EXCEEDS BASE",IF(COUNTIFS($M$286:M333,M334,$N$286:N333,N334)&gt;0,"SKIPPED - DUPLICATE","VALID - GENERATED"))))</f>
        <v>VALID - GENERATED</v>
      </c>
      <c r="I334" s="10" t="s">
        <v>506</v>
      </c>
      <c r="J334" s="12">
        <f>'05-ISO Reference'!$B$9</f>
        <v>210</v>
      </c>
      <c r="K334" s="12">
        <f>'05-ISO Reference'!$C$9</f>
        <v>297</v>
      </c>
      <c r="L334" s="12">
        <f>'01-Process Controls'!$G$5</f>
        <v>3</v>
      </c>
      <c r="M334" s="12">
        <f>ROUNDDOWN(MIN(J334,K334*'04-Variant Rules'!$D$53),0)</f>
        <v>210</v>
      </c>
      <c r="N334" s="12">
        <f>ROUNDDOWN(M334/'04-Variant Rules'!$D$53,0)</f>
        <v>157</v>
      </c>
      <c r="O334" s="9">
        <v>48</v>
      </c>
    </row>
    <row r="335" spans="1:15" ht="21" customHeight="1">
      <c r="A335" s="9" t="s">
        <v>555</v>
      </c>
      <c r="B335" s="12">
        <f>IF(LEFT(H335,5)="VALID",M335,"")</f>
        <v>210</v>
      </c>
      <c r="C335" s="12">
        <f>IF(LEFT(H335,5)="VALID",N335,"")</f>
        <v>280</v>
      </c>
      <c r="D335" s="10" t="s">
        <v>82</v>
      </c>
      <c r="E335" s="10" t="s">
        <v>505</v>
      </c>
      <c r="F335" s="10" t="s">
        <v>242</v>
      </c>
      <c r="G335" s="10" t="s">
        <v>243</v>
      </c>
      <c r="H335" s="11" t="str">
        <f>IF(OR(M335&lt;=0,N335&lt;=0),"SKIPPED - NONPOSITIVE",IF(OR(M335&lt;L335,N335&lt;L335),"SKIPPED - BELOW MIN",IF(OR(M335&gt;J335,N335&gt;K335),"SKIPPED - EXCEEDS BASE",IF(COUNTIFS($M$286:M334,M335,$N$286:N334,N335)&gt;0,"SKIPPED - DUPLICATE","VALID - GENERATED"))))</f>
        <v>VALID - GENERATED</v>
      </c>
      <c r="I335" s="10" t="s">
        <v>506</v>
      </c>
      <c r="J335" s="12">
        <f>'05-ISO Reference'!$B$9</f>
        <v>210</v>
      </c>
      <c r="K335" s="12">
        <f>'05-ISO Reference'!$C$9</f>
        <v>297</v>
      </c>
      <c r="L335" s="12">
        <f>'01-Process Controls'!$G$5</f>
        <v>3</v>
      </c>
      <c r="M335" s="12">
        <f>ROUNDDOWN(MIN(J335,K335*'04-Variant Rules'!$D$54),0)</f>
        <v>210</v>
      </c>
      <c r="N335" s="12">
        <f>ROUNDDOWN(M335/'04-Variant Rules'!$D$54,0)</f>
        <v>280</v>
      </c>
      <c r="O335" s="9">
        <v>49</v>
      </c>
    </row>
    <row r="336" spans="1:15" ht="21" customHeight="1">
      <c r="A336" s="9" t="s">
        <v>556</v>
      </c>
      <c r="B336" s="12">
        <f>IF(LEFT(H336,5)="VALID",M336,"")</f>
        <v>210</v>
      </c>
      <c r="C336" s="12">
        <f>IF(LEFT(H336,5)="VALID",N336,"")</f>
        <v>140</v>
      </c>
      <c r="D336" s="10" t="s">
        <v>82</v>
      </c>
      <c r="E336" s="10" t="s">
        <v>505</v>
      </c>
      <c r="F336" s="10" t="s">
        <v>245</v>
      </c>
      <c r="G336" s="10" t="s">
        <v>246</v>
      </c>
      <c r="H336" s="11" t="str">
        <f>IF(OR(M336&lt;=0,N336&lt;=0),"SKIPPED - NONPOSITIVE",IF(OR(M336&lt;L336,N336&lt;L336),"SKIPPED - BELOW MIN",IF(OR(M336&gt;J336,N336&gt;K336),"SKIPPED - EXCEEDS BASE",IF(COUNTIFS($M$286:M335,M336,$N$286:N335,N336)&gt;0,"SKIPPED - DUPLICATE","VALID - GENERATED"))))</f>
        <v>VALID - GENERATED</v>
      </c>
      <c r="I336" s="10" t="s">
        <v>506</v>
      </c>
      <c r="J336" s="12">
        <f>'05-ISO Reference'!$B$9</f>
        <v>210</v>
      </c>
      <c r="K336" s="12">
        <f>'05-ISO Reference'!$C$9</f>
        <v>297</v>
      </c>
      <c r="L336" s="12">
        <f>'01-Process Controls'!$G$5</f>
        <v>3</v>
      </c>
      <c r="M336" s="12">
        <f>ROUNDDOWN(MIN(J336,K336*'04-Variant Rules'!$D$55),0)</f>
        <v>210</v>
      </c>
      <c r="N336" s="12">
        <f>ROUNDDOWN(M336/'04-Variant Rules'!$D$55,0)</f>
        <v>140</v>
      </c>
      <c r="O336" s="9">
        <v>50</v>
      </c>
    </row>
    <row r="337" spans="1:15" ht="21" customHeight="1">
      <c r="A337" s="9" t="s">
        <v>557</v>
      </c>
      <c r="B337" s="12">
        <f>IF(LEFT(H337,5)="VALID",M337,"")</f>
        <v>198</v>
      </c>
      <c r="C337" s="12">
        <f>IF(LEFT(H337,5)="VALID",N337,"")</f>
        <v>297</v>
      </c>
      <c r="D337" s="10" t="s">
        <v>82</v>
      </c>
      <c r="E337" s="10" t="s">
        <v>505</v>
      </c>
      <c r="F337" s="10" t="s">
        <v>248</v>
      </c>
      <c r="G337" s="10" t="s">
        <v>249</v>
      </c>
      <c r="H337" s="11" t="str">
        <f>IF(OR(M337&lt;=0,N337&lt;=0),"SKIPPED - NONPOSITIVE",IF(OR(M337&lt;L337,N337&lt;L337),"SKIPPED - BELOW MIN",IF(OR(M337&gt;J337,N337&gt;K337),"SKIPPED - EXCEEDS BASE",IF(COUNTIFS($M$286:M336,M337,$N$286:N336,N337)&gt;0,"SKIPPED - DUPLICATE","VALID - GENERATED"))))</f>
        <v>VALID - GENERATED</v>
      </c>
      <c r="I337" s="10" t="s">
        <v>506</v>
      </c>
      <c r="J337" s="12">
        <f>'05-ISO Reference'!$B$9</f>
        <v>210</v>
      </c>
      <c r="K337" s="12">
        <f>'05-ISO Reference'!$C$9</f>
        <v>297</v>
      </c>
      <c r="L337" s="12">
        <f>'01-Process Controls'!$G$5</f>
        <v>3</v>
      </c>
      <c r="M337" s="12">
        <f>ROUNDDOWN(MIN(J337,K337*'04-Variant Rules'!$D$56),0)</f>
        <v>198</v>
      </c>
      <c r="N337" s="12">
        <f>ROUNDDOWN(M337/'04-Variant Rules'!$D$56,0)</f>
        <v>297</v>
      </c>
      <c r="O337" s="9">
        <v>51</v>
      </c>
    </row>
    <row r="338" spans="1:15" ht="21" customHeight="1">
      <c r="A338" s="9" t="s">
        <v>558</v>
      </c>
      <c r="B338" s="12">
        <f>IF(LEFT(H338,5)="VALID",M338,"")</f>
        <v>210</v>
      </c>
      <c r="C338" s="12">
        <f>IF(LEFT(H338,5)="VALID",N338,"")</f>
        <v>118</v>
      </c>
      <c r="D338" s="10" t="s">
        <v>82</v>
      </c>
      <c r="E338" s="10" t="s">
        <v>505</v>
      </c>
      <c r="F338" s="10" t="s">
        <v>251</v>
      </c>
      <c r="G338" s="10" t="s">
        <v>252</v>
      </c>
      <c r="H338" s="11" t="str">
        <f>IF(OR(M338&lt;=0,N338&lt;=0),"SKIPPED - NONPOSITIVE",IF(OR(M338&lt;L338,N338&lt;L338),"SKIPPED - BELOW MIN",IF(OR(M338&gt;J338,N338&gt;K338),"SKIPPED - EXCEEDS BASE",IF(COUNTIFS($M$286:M337,M338,$N$286:N337,N338)&gt;0,"SKIPPED - DUPLICATE","VALID - GENERATED"))))</f>
        <v>VALID - GENERATED</v>
      </c>
      <c r="I338" s="10" t="s">
        <v>506</v>
      </c>
      <c r="J338" s="12">
        <f>'05-ISO Reference'!$B$9</f>
        <v>210</v>
      </c>
      <c r="K338" s="12">
        <f>'05-ISO Reference'!$C$9</f>
        <v>297</v>
      </c>
      <c r="L338" s="12">
        <f>'01-Process Controls'!$G$5</f>
        <v>3</v>
      </c>
      <c r="M338" s="12">
        <f>ROUNDDOWN(MIN(J338,K338*'04-Variant Rules'!$D$57),0)</f>
        <v>210</v>
      </c>
      <c r="N338" s="12">
        <f>ROUNDDOWN(M338/'04-Variant Rules'!$D$57,0)</f>
        <v>118</v>
      </c>
      <c r="O338" s="9">
        <v>52</v>
      </c>
    </row>
    <row r="339" spans="1:15" ht="21" customHeight="1">
      <c r="A339" s="9" t="s">
        <v>559</v>
      </c>
      <c r="B339" s="12">
        <f>IF(LEFT(H339,5)="VALID",M339,"")</f>
        <v>167</v>
      </c>
      <c r="C339" s="12">
        <f>IF(LEFT(H339,5)="VALID",N339,"")</f>
        <v>296</v>
      </c>
      <c r="D339" s="10" t="s">
        <v>82</v>
      </c>
      <c r="E339" s="10" t="s">
        <v>505</v>
      </c>
      <c r="F339" s="10" t="s">
        <v>254</v>
      </c>
      <c r="G339" s="10" t="s">
        <v>255</v>
      </c>
      <c r="H339" s="11" t="str">
        <f>IF(OR(M339&lt;=0,N339&lt;=0),"SKIPPED - NONPOSITIVE",IF(OR(M339&lt;L339,N339&lt;L339),"SKIPPED - BELOW MIN",IF(OR(M339&gt;J339,N339&gt;K339),"SKIPPED - EXCEEDS BASE",IF(COUNTIFS($M$286:M338,M339,$N$286:N338,N339)&gt;0,"SKIPPED - DUPLICATE","VALID - GENERATED"))))</f>
        <v>VALID - GENERATED</v>
      </c>
      <c r="I339" s="10" t="s">
        <v>506</v>
      </c>
      <c r="J339" s="12">
        <f>'05-ISO Reference'!$B$9</f>
        <v>210</v>
      </c>
      <c r="K339" s="12">
        <f>'05-ISO Reference'!$C$9</f>
        <v>297</v>
      </c>
      <c r="L339" s="12">
        <f>'01-Process Controls'!$G$5</f>
        <v>3</v>
      </c>
      <c r="M339" s="12">
        <f>ROUNDDOWN(MIN(J339,K339*'04-Variant Rules'!$D$58),0)</f>
        <v>167</v>
      </c>
      <c r="N339" s="12">
        <f>ROUNDDOWN(M339/'04-Variant Rules'!$D$58,0)</f>
        <v>296</v>
      </c>
      <c r="O339" s="9">
        <v>53</v>
      </c>
    </row>
    <row r="340" spans="1:15" ht="21" customHeight="1">
      <c r="A340" s="9" t="s">
        <v>560</v>
      </c>
      <c r="B340" s="12">
        <f>IF(LEFT(H340,5)="VALID",M340,"")</f>
        <v>210</v>
      </c>
      <c r="C340" s="12">
        <f>IF(LEFT(H340,5)="VALID",N340,"")</f>
        <v>105</v>
      </c>
      <c r="D340" s="10" t="s">
        <v>82</v>
      </c>
      <c r="E340" s="10" t="s">
        <v>505</v>
      </c>
      <c r="F340" s="10" t="s">
        <v>257</v>
      </c>
      <c r="G340" s="10" t="s">
        <v>258</v>
      </c>
      <c r="H340" s="11" t="str">
        <f>IF(OR(M340&lt;=0,N340&lt;=0),"SKIPPED - NONPOSITIVE",IF(OR(M340&lt;L340,N340&lt;L340),"SKIPPED - BELOW MIN",IF(OR(M340&gt;J340,N340&gt;K340),"SKIPPED - EXCEEDS BASE",IF(COUNTIFS($M$286:M339,M340,$N$286:N339,N340)&gt;0,"SKIPPED - DUPLICATE","VALID - GENERATED"))))</f>
        <v>VALID - GENERATED</v>
      </c>
      <c r="I340" s="10" t="s">
        <v>506</v>
      </c>
      <c r="J340" s="12">
        <f>'05-ISO Reference'!$B$9</f>
        <v>210</v>
      </c>
      <c r="K340" s="12">
        <f>'05-ISO Reference'!$C$9</f>
        <v>297</v>
      </c>
      <c r="L340" s="12">
        <f>'01-Process Controls'!$G$5</f>
        <v>3</v>
      </c>
      <c r="M340" s="12">
        <f>ROUNDDOWN(MIN(J340,K340*'04-Variant Rules'!$D$59),0)</f>
        <v>210</v>
      </c>
      <c r="N340" s="12">
        <f>ROUNDDOWN(M340/'04-Variant Rules'!$D$59,0)</f>
        <v>105</v>
      </c>
      <c r="O340" s="9">
        <v>54</v>
      </c>
    </row>
    <row r="341" spans="1:15" ht="21" customHeight="1">
      <c r="A341" s="9" t="s">
        <v>561</v>
      </c>
      <c r="B341" s="12">
        <f>IF(LEFT(H341,5)="VALID",M341,"")</f>
        <v>148</v>
      </c>
      <c r="C341" s="12">
        <f>IF(LEFT(H341,5)="VALID",N341,"")</f>
        <v>296</v>
      </c>
      <c r="D341" s="10" t="s">
        <v>82</v>
      </c>
      <c r="E341" s="10" t="s">
        <v>505</v>
      </c>
      <c r="F341" s="10" t="s">
        <v>260</v>
      </c>
      <c r="G341" s="10" t="s">
        <v>261</v>
      </c>
      <c r="H341" s="11" t="str">
        <f>IF(OR(M341&lt;=0,N341&lt;=0),"SKIPPED - NONPOSITIVE",IF(OR(M341&lt;L341,N341&lt;L341),"SKIPPED - BELOW MIN",IF(OR(M341&gt;J341,N341&gt;K341),"SKIPPED - EXCEEDS BASE",IF(COUNTIFS($M$286:M340,M341,$N$286:N340,N341)&gt;0,"SKIPPED - DUPLICATE","VALID - GENERATED"))))</f>
        <v>VALID - GENERATED</v>
      </c>
      <c r="I341" s="10" t="s">
        <v>506</v>
      </c>
      <c r="J341" s="12">
        <f>'05-ISO Reference'!$B$9</f>
        <v>210</v>
      </c>
      <c r="K341" s="12">
        <f>'05-ISO Reference'!$C$9</f>
        <v>297</v>
      </c>
      <c r="L341" s="12">
        <f>'01-Process Controls'!$G$5</f>
        <v>3</v>
      </c>
      <c r="M341" s="12">
        <f>ROUNDDOWN(MIN(J341,K341*'04-Variant Rules'!$D$60),0)</f>
        <v>148</v>
      </c>
      <c r="N341" s="12">
        <f>ROUNDDOWN(M341/'04-Variant Rules'!$D$60,0)</f>
        <v>296</v>
      </c>
      <c r="O341" s="9">
        <v>55</v>
      </c>
    </row>
    <row r="342" spans="1:15" ht="21" customHeight="1">
      <c r="A342" s="9" t="s">
        <v>562</v>
      </c>
      <c r="B342" s="48"/>
      <c r="C342" s="48"/>
      <c r="D342" s="10" t="s">
        <v>263</v>
      </c>
      <c r="E342" s="10" t="s">
        <v>563</v>
      </c>
      <c r="F342" s="10" t="s">
        <v>265</v>
      </c>
      <c r="G342" s="10" t="s">
        <v>266</v>
      </c>
      <c r="H342" s="11" t="str">
        <f>IF(AND(B342="",C342=""),"CUSTOM BLANK",IF(OR(B342="",C342=""),"ERROR - ENTER BOTH",IF(OR(B342&lt;=0,C342&lt;=0),"ERROR - NONPOSITIVE",IF(OR(B342&lt;L342,C342&lt;L342),"ERROR - BELOW MIN",IF(OR(AND(B342&lt;=J342,C342&lt;=K342),AND(B342&lt;=K342,C342&lt;=J342)),"VALID - CUSTOM","ERROR - EXCEEDS BASE")))))</f>
        <v>CUSTOM BLANK</v>
      </c>
      <c r="I342" s="10" t="s">
        <v>267</v>
      </c>
      <c r="J342" s="12">
        <f>'05-ISO Reference'!$B$9</f>
        <v>210</v>
      </c>
      <c r="K342" s="12">
        <f>'05-ISO Reference'!$C$9</f>
        <v>297</v>
      </c>
      <c r="L342" s="12">
        <f>'01-Process Controls'!$G$5</f>
        <v>3</v>
      </c>
      <c r="M342" s="8"/>
      <c r="N342" s="8"/>
    </row>
    <row r="343" spans="1:15" ht="21" customHeight="1">
      <c r="A343" s="9" t="s">
        <v>564</v>
      </c>
      <c r="B343" s="48"/>
      <c r="C343" s="48"/>
      <c r="D343" s="10" t="s">
        <v>263</v>
      </c>
      <c r="E343" s="10" t="s">
        <v>563</v>
      </c>
      <c r="F343" s="10" t="s">
        <v>265</v>
      </c>
      <c r="G343" s="10" t="s">
        <v>266</v>
      </c>
      <c r="H343" s="11" t="str">
        <f>IF(AND(B343="",C343=""),"CUSTOM BLANK",IF(OR(B343="",C343=""),"ERROR - ENTER BOTH",IF(OR(B343&lt;=0,C343&lt;=0),"ERROR - NONPOSITIVE",IF(OR(B343&lt;L343,C343&lt;L343),"ERROR - BELOW MIN",IF(OR(AND(B343&lt;=J343,C343&lt;=K343),AND(B343&lt;=K343,C343&lt;=J343)),"VALID - CUSTOM","ERROR - EXCEEDS BASE")))))</f>
        <v>CUSTOM BLANK</v>
      </c>
      <c r="I343" s="10" t="s">
        <v>267</v>
      </c>
      <c r="J343" s="12">
        <f>'05-ISO Reference'!$B$9</f>
        <v>210</v>
      </c>
      <c r="K343" s="12">
        <f>'05-ISO Reference'!$C$9</f>
        <v>297</v>
      </c>
      <c r="L343" s="12">
        <f>'01-Process Controls'!$G$5</f>
        <v>3</v>
      </c>
      <c r="M343" s="8"/>
      <c r="N343" s="8"/>
    </row>
    <row r="344" spans="1:15" ht="21" customHeight="1">
      <c r="A344" s="9" t="s">
        <v>565</v>
      </c>
      <c r="B344" s="48"/>
      <c r="C344" s="48"/>
      <c r="D344" s="10" t="s">
        <v>263</v>
      </c>
      <c r="E344" s="10" t="s">
        <v>563</v>
      </c>
      <c r="F344" s="10" t="s">
        <v>265</v>
      </c>
      <c r="G344" s="10" t="s">
        <v>266</v>
      </c>
      <c r="H344" s="11" t="str">
        <f>IF(AND(B344="",C344=""),"CUSTOM BLANK",IF(OR(B344="",C344=""),"ERROR - ENTER BOTH",IF(OR(B344&lt;=0,C344&lt;=0),"ERROR - NONPOSITIVE",IF(OR(B344&lt;L344,C344&lt;L344),"ERROR - BELOW MIN",IF(OR(AND(B344&lt;=J344,C344&lt;=K344),AND(B344&lt;=K344,C344&lt;=J344)),"VALID - CUSTOM","ERROR - EXCEEDS BASE")))))</f>
        <v>CUSTOM BLANK</v>
      </c>
      <c r="I344" s="10" t="s">
        <v>267</v>
      </c>
      <c r="J344" s="12">
        <f>'05-ISO Reference'!$B$9</f>
        <v>210</v>
      </c>
      <c r="K344" s="12">
        <f>'05-ISO Reference'!$C$9</f>
        <v>297</v>
      </c>
      <c r="L344" s="12">
        <f>'01-Process Controls'!$G$5</f>
        <v>3</v>
      </c>
      <c r="M344" s="8"/>
      <c r="N344" s="8"/>
    </row>
    <row r="345" spans="1:15" ht="21" customHeight="1">
      <c r="A345" s="9" t="s">
        <v>566</v>
      </c>
      <c r="B345" s="48"/>
      <c r="C345" s="48"/>
      <c r="D345" s="10" t="s">
        <v>263</v>
      </c>
      <c r="E345" s="10" t="s">
        <v>563</v>
      </c>
      <c r="F345" s="10" t="s">
        <v>265</v>
      </c>
      <c r="G345" s="10" t="s">
        <v>266</v>
      </c>
      <c r="H345" s="11" t="str">
        <f>IF(AND(B345="",C345=""),"CUSTOM BLANK",IF(OR(B345="",C345=""),"ERROR - ENTER BOTH",IF(OR(B345&lt;=0,C345&lt;=0),"ERROR - NONPOSITIVE",IF(OR(B345&lt;L345,C345&lt;L345),"ERROR - BELOW MIN",IF(OR(AND(B345&lt;=J345,C345&lt;=K345),AND(B345&lt;=K345,C345&lt;=J345)),"VALID - CUSTOM","ERROR - EXCEEDS BASE")))))</f>
        <v>CUSTOM BLANK</v>
      </c>
      <c r="I345" s="10" t="s">
        <v>267</v>
      </c>
      <c r="J345" s="12">
        <f>'05-ISO Reference'!$B$9</f>
        <v>210</v>
      </c>
      <c r="K345" s="12">
        <f>'05-ISO Reference'!$C$9</f>
        <v>297</v>
      </c>
      <c r="L345" s="12">
        <f>'01-Process Controls'!$G$5</f>
        <v>3</v>
      </c>
      <c r="M345" s="8"/>
      <c r="N345" s="8"/>
    </row>
    <row r="346" spans="1:15" ht="21" customHeight="1">
      <c r="A346" s="9" t="s">
        <v>567</v>
      </c>
      <c r="B346" s="48"/>
      <c r="C346" s="48"/>
      <c r="D346" s="10" t="s">
        <v>263</v>
      </c>
      <c r="E346" s="10" t="s">
        <v>563</v>
      </c>
      <c r="F346" s="10" t="s">
        <v>265</v>
      </c>
      <c r="G346" s="10" t="s">
        <v>266</v>
      </c>
      <c r="H346" s="11" t="str">
        <f>IF(AND(B346="",C346=""),"CUSTOM BLANK",IF(OR(B346="",C346=""),"ERROR - ENTER BOTH",IF(OR(B346&lt;=0,C346&lt;=0),"ERROR - NONPOSITIVE",IF(OR(B346&lt;L346,C346&lt;L346),"ERROR - BELOW MIN",IF(OR(AND(B346&lt;=J346,C346&lt;=K346),AND(B346&lt;=K346,C346&lt;=J346)),"VALID - CUSTOM","ERROR - EXCEEDS BASE")))))</f>
        <v>CUSTOM BLANK</v>
      </c>
      <c r="I346" s="10" t="s">
        <v>267</v>
      </c>
      <c r="J346" s="12">
        <f>'05-ISO Reference'!$B$9</f>
        <v>210</v>
      </c>
      <c r="K346" s="12">
        <f>'05-ISO Reference'!$C$9</f>
        <v>297</v>
      </c>
      <c r="L346" s="12">
        <f>'01-Process Controls'!$G$5</f>
        <v>3</v>
      </c>
      <c r="M346" s="8"/>
      <c r="N346" s="8"/>
    </row>
    <row r="347" spans="1:15" ht="21" customHeight="1">
      <c r="A347" s="9" t="s">
        <v>568</v>
      </c>
      <c r="B347" s="48"/>
      <c r="C347" s="48"/>
      <c r="D347" s="10" t="s">
        <v>263</v>
      </c>
      <c r="E347" s="10" t="s">
        <v>563</v>
      </c>
      <c r="F347" s="10" t="s">
        <v>265</v>
      </c>
      <c r="G347" s="10" t="s">
        <v>266</v>
      </c>
      <c r="H347" s="11" t="str">
        <f>IF(AND(B347="",C347=""),"CUSTOM BLANK",IF(OR(B347="",C347=""),"ERROR - ENTER BOTH",IF(OR(B347&lt;=0,C347&lt;=0),"ERROR - NONPOSITIVE",IF(OR(B347&lt;L347,C347&lt;L347),"ERROR - BELOW MIN",IF(OR(AND(B347&lt;=J347,C347&lt;=K347),AND(B347&lt;=K347,C347&lt;=J347)),"VALID - CUSTOM","ERROR - EXCEEDS BASE")))))</f>
        <v>CUSTOM BLANK</v>
      </c>
      <c r="I347" s="10" t="s">
        <v>267</v>
      </c>
      <c r="J347" s="12">
        <f>'05-ISO Reference'!$B$9</f>
        <v>210</v>
      </c>
      <c r="K347" s="12">
        <f>'05-ISO Reference'!$C$9</f>
        <v>297</v>
      </c>
      <c r="L347" s="12">
        <f>'01-Process Controls'!$G$5</f>
        <v>3</v>
      </c>
      <c r="M347" s="8"/>
      <c r="N347" s="8"/>
    </row>
    <row r="348" spans="1:15" ht="21" customHeight="1">
      <c r="A348" s="9" t="s">
        <v>569</v>
      </c>
      <c r="B348" s="48"/>
      <c r="C348" s="48"/>
      <c r="D348" s="10" t="s">
        <v>263</v>
      </c>
      <c r="E348" s="10" t="s">
        <v>563</v>
      </c>
      <c r="F348" s="10" t="s">
        <v>265</v>
      </c>
      <c r="G348" s="10" t="s">
        <v>266</v>
      </c>
      <c r="H348" s="11" t="str">
        <f>IF(AND(B348="",C348=""),"CUSTOM BLANK",IF(OR(B348="",C348=""),"ERROR - ENTER BOTH",IF(OR(B348&lt;=0,C348&lt;=0),"ERROR - NONPOSITIVE",IF(OR(B348&lt;L348,C348&lt;L348),"ERROR - BELOW MIN",IF(OR(AND(B348&lt;=J348,C348&lt;=K348),AND(B348&lt;=K348,C348&lt;=J348)),"VALID - CUSTOM","ERROR - EXCEEDS BASE")))))</f>
        <v>CUSTOM BLANK</v>
      </c>
      <c r="I348" s="10" t="s">
        <v>267</v>
      </c>
      <c r="J348" s="12">
        <f>'05-ISO Reference'!$B$9</f>
        <v>210</v>
      </c>
      <c r="K348" s="12">
        <f>'05-ISO Reference'!$C$9</f>
        <v>297</v>
      </c>
      <c r="L348" s="12">
        <f>'01-Process Controls'!$G$5</f>
        <v>3</v>
      </c>
      <c r="M348" s="8"/>
      <c r="N348" s="8"/>
    </row>
    <row r="349" spans="1:15" ht="21" customHeight="1">
      <c r="A349" s="9" t="s">
        <v>570</v>
      </c>
      <c r="B349" s="48"/>
      <c r="C349" s="48"/>
      <c r="D349" s="10" t="s">
        <v>263</v>
      </c>
      <c r="E349" s="10" t="s">
        <v>563</v>
      </c>
      <c r="F349" s="10" t="s">
        <v>265</v>
      </c>
      <c r="G349" s="10" t="s">
        <v>266</v>
      </c>
      <c r="H349" s="11" t="str">
        <f>IF(AND(B349="",C349=""),"CUSTOM BLANK",IF(OR(B349="",C349=""),"ERROR - ENTER BOTH",IF(OR(B349&lt;=0,C349&lt;=0),"ERROR - NONPOSITIVE",IF(OR(B349&lt;L349,C349&lt;L349),"ERROR - BELOW MIN",IF(OR(AND(B349&lt;=J349,C349&lt;=K349),AND(B349&lt;=K349,C349&lt;=J349)),"VALID - CUSTOM","ERROR - EXCEEDS BASE")))))</f>
        <v>CUSTOM BLANK</v>
      </c>
      <c r="I349" s="10" t="s">
        <v>267</v>
      </c>
      <c r="J349" s="12">
        <f>'05-ISO Reference'!$B$9</f>
        <v>210</v>
      </c>
      <c r="K349" s="12">
        <f>'05-ISO Reference'!$C$9</f>
        <v>297</v>
      </c>
      <c r="L349" s="12">
        <f>'01-Process Controls'!$G$5</f>
        <v>3</v>
      </c>
      <c r="M349" s="8"/>
      <c r="N349" s="8"/>
    </row>
    <row r="350" spans="1:15" ht="21" customHeight="1">
      <c r="A350" s="9" t="s">
        <v>571</v>
      </c>
      <c r="B350" s="48"/>
      <c r="C350" s="48"/>
      <c r="D350" s="10" t="s">
        <v>263</v>
      </c>
      <c r="E350" s="10" t="s">
        <v>563</v>
      </c>
      <c r="F350" s="10" t="s">
        <v>265</v>
      </c>
      <c r="G350" s="10" t="s">
        <v>266</v>
      </c>
      <c r="H350" s="11" t="str">
        <f>IF(AND(B350="",C350=""),"CUSTOM BLANK",IF(OR(B350="",C350=""),"ERROR - ENTER BOTH",IF(OR(B350&lt;=0,C350&lt;=0),"ERROR - NONPOSITIVE",IF(OR(B350&lt;L350,C350&lt;L350),"ERROR - BELOW MIN",IF(OR(AND(B350&lt;=J350,C350&lt;=K350),AND(B350&lt;=K350,C350&lt;=J350)),"VALID - CUSTOM","ERROR - EXCEEDS BASE")))))</f>
        <v>CUSTOM BLANK</v>
      </c>
      <c r="I350" s="10" t="s">
        <v>267</v>
      </c>
      <c r="J350" s="12">
        <f>'05-ISO Reference'!$B$9</f>
        <v>210</v>
      </c>
      <c r="K350" s="12">
        <f>'05-ISO Reference'!$C$9</f>
        <v>297</v>
      </c>
      <c r="L350" s="12">
        <f>'01-Process Controls'!$G$5</f>
        <v>3</v>
      </c>
      <c r="M350" s="8"/>
      <c r="N350" s="8"/>
    </row>
    <row r="351" spans="1:15" ht="21" customHeight="1">
      <c r="A351" s="9" t="s">
        <v>572</v>
      </c>
      <c r="B351" s="48"/>
      <c r="C351" s="48"/>
      <c r="D351" s="10" t="s">
        <v>263</v>
      </c>
      <c r="E351" s="10" t="s">
        <v>563</v>
      </c>
      <c r="F351" s="10" t="s">
        <v>265</v>
      </c>
      <c r="G351" s="10" t="s">
        <v>266</v>
      </c>
      <c r="H351" s="11" t="str">
        <f>IF(AND(B351="",C351=""),"CUSTOM BLANK",IF(OR(B351="",C351=""),"ERROR - ENTER BOTH",IF(OR(B351&lt;=0,C351&lt;=0),"ERROR - NONPOSITIVE",IF(OR(B351&lt;L351,C351&lt;L351),"ERROR - BELOW MIN",IF(OR(AND(B351&lt;=J351,C351&lt;=K351),AND(B351&lt;=K351,C351&lt;=J351)),"VALID - CUSTOM","ERROR - EXCEEDS BASE")))))</f>
        <v>CUSTOM BLANK</v>
      </c>
      <c r="I351" s="10" t="s">
        <v>267</v>
      </c>
      <c r="J351" s="12">
        <f>'05-ISO Reference'!$B$9</f>
        <v>210</v>
      </c>
      <c r="K351" s="12">
        <f>'05-ISO Reference'!$C$9</f>
        <v>297</v>
      </c>
      <c r="L351" s="12">
        <f>'01-Process Controls'!$G$5</f>
        <v>3</v>
      </c>
      <c r="M351" s="8"/>
      <c r="N351" s="8"/>
    </row>
    <row r="352" spans="1:15" ht="21" customHeight="1">
      <c r="A352" s="9" t="s">
        <v>573</v>
      </c>
      <c r="B352" s="48"/>
      <c r="C352" s="48"/>
      <c r="D352" s="10" t="s">
        <v>263</v>
      </c>
      <c r="E352" s="10" t="s">
        <v>563</v>
      </c>
      <c r="F352" s="10" t="s">
        <v>265</v>
      </c>
      <c r="G352" s="10" t="s">
        <v>266</v>
      </c>
      <c r="H352" s="11" t="str">
        <f>IF(AND(B352="",C352=""),"CUSTOM BLANK",IF(OR(B352="",C352=""),"ERROR - ENTER BOTH",IF(OR(B352&lt;=0,C352&lt;=0),"ERROR - NONPOSITIVE",IF(OR(B352&lt;L352,C352&lt;L352),"ERROR - BELOW MIN",IF(OR(AND(B352&lt;=J352,C352&lt;=K352),AND(B352&lt;=K352,C352&lt;=J352)),"VALID - CUSTOM","ERROR - EXCEEDS BASE")))))</f>
        <v>CUSTOM BLANK</v>
      </c>
      <c r="I352" s="10" t="s">
        <v>267</v>
      </c>
      <c r="J352" s="12">
        <f>'05-ISO Reference'!$B$9</f>
        <v>210</v>
      </c>
      <c r="K352" s="12">
        <f>'05-ISO Reference'!$C$9</f>
        <v>297</v>
      </c>
      <c r="L352" s="12">
        <f>'01-Process Controls'!$G$5</f>
        <v>3</v>
      </c>
      <c r="M352" s="8"/>
      <c r="N352" s="8"/>
    </row>
    <row r="353" spans="1:15" ht="21" customHeight="1">
      <c r="A353" s="9" t="s">
        <v>574</v>
      </c>
      <c r="B353" s="48"/>
      <c r="C353" s="48"/>
      <c r="D353" s="10" t="s">
        <v>263</v>
      </c>
      <c r="E353" s="10" t="s">
        <v>563</v>
      </c>
      <c r="F353" s="10" t="s">
        <v>265</v>
      </c>
      <c r="G353" s="10" t="s">
        <v>266</v>
      </c>
      <c r="H353" s="11" t="str">
        <f>IF(AND(B353="",C353=""),"CUSTOM BLANK",IF(OR(B353="",C353=""),"ERROR - ENTER BOTH",IF(OR(B353&lt;=0,C353&lt;=0),"ERROR - NONPOSITIVE",IF(OR(B353&lt;L353,C353&lt;L353),"ERROR - BELOW MIN",IF(OR(AND(B353&lt;=J353,C353&lt;=K353),AND(B353&lt;=K353,C353&lt;=J353)),"VALID - CUSTOM","ERROR - EXCEEDS BASE")))))</f>
        <v>CUSTOM BLANK</v>
      </c>
      <c r="I353" s="10" t="s">
        <v>267</v>
      </c>
      <c r="J353" s="12">
        <f>'05-ISO Reference'!$B$9</f>
        <v>210</v>
      </c>
      <c r="K353" s="12">
        <f>'05-ISO Reference'!$C$9</f>
        <v>297</v>
      </c>
      <c r="L353" s="12">
        <f>'01-Process Controls'!$G$5</f>
        <v>3</v>
      </c>
      <c r="M353" s="8"/>
      <c r="N353" s="8"/>
    </row>
    <row r="354" spans="1:15" ht="21" customHeight="1">
      <c r="A354" s="9" t="s">
        <v>575</v>
      </c>
      <c r="B354" s="48"/>
      <c r="C354" s="48"/>
      <c r="D354" s="10" t="s">
        <v>263</v>
      </c>
      <c r="E354" s="10" t="s">
        <v>563</v>
      </c>
      <c r="F354" s="10" t="s">
        <v>265</v>
      </c>
      <c r="G354" s="10" t="s">
        <v>266</v>
      </c>
      <c r="H354" s="11" t="str">
        <f>IF(AND(B354="",C354=""),"CUSTOM BLANK",IF(OR(B354="",C354=""),"ERROR - ENTER BOTH",IF(OR(B354&lt;=0,C354&lt;=0),"ERROR - NONPOSITIVE",IF(OR(B354&lt;L354,C354&lt;L354),"ERROR - BELOW MIN",IF(OR(AND(B354&lt;=J354,C354&lt;=K354),AND(B354&lt;=K354,C354&lt;=J354)),"VALID - CUSTOM","ERROR - EXCEEDS BASE")))))</f>
        <v>CUSTOM BLANK</v>
      </c>
      <c r="I354" s="10" t="s">
        <v>267</v>
      </c>
      <c r="J354" s="12">
        <f>'05-ISO Reference'!$B$9</f>
        <v>210</v>
      </c>
      <c r="K354" s="12">
        <f>'05-ISO Reference'!$C$9</f>
        <v>297</v>
      </c>
      <c r="L354" s="12">
        <f>'01-Process Controls'!$G$5</f>
        <v>3</v>
      </c>
      <c r="M354" s="8"/>
      <c r="N354" s="8"/>
    </row>
    <row r="355" spans="1:15" ht="21" customHeight="1">
      <c r="A355" s="9" t="s">
        <v>576</v>
      </c>
      <c r="B355" s="48"/>
      <c r="C355" s="48"/>
      <c r="D355" s="10" t="s">
        <v>263</v>
      </c>
      <c r="E355" s="10" t="s">
        <v>563</v>
      </c>
      <c r="F355" s="10" t="s">
        <v>265</v>
      </c>
      <c r="G355" s="10" t="s">
        <v>266</v>
      </c>
      <c r="H355" s="11" t="str">
        <f>IF(AND(B355="",C355=""),"CUSTOM BLANK",IF(OR(B355="",C355=""),"ERROR - ENTER BOTH",IF(OR(B355&lt;=0,C355&lt;=0),"ERROR - NONPOSITIVE",IF(OR(B355&lt;L355,C355&lt;L355),"ERROR - BELOW MIN",IF(OR(AND(B355&lt;=J355,C355&lt;=K355),AND(B355&lt;=K355,C355&lt;=J355)),"VALID - CUSTOM","ERROR - EXCEEDS BASE")))))</f>
        <v>CUSTOM BLANK</v>
      </c>
      <c r="I355" s="10" t="s">
        <v>267</v>
      </c>
      <c r="J355" s="12">
        <f>'05-ISO Reference'!$B$9</f>
        <v>210</v>
      </c>
      <c r="K355" s="12">
        <f>'05-ISO Reference'!$C$9</f>
        <v>297</v>
      </c>
      <c r="L355" s="12">
        <f>'01-Process Controls'!$G$5</f>
        <v>3</v>
      </c>
      <c r="M355" s="8"/>
      <c r="N355" s="8"/>
    </row>
    <row r="356" spans="1:15" ht="21" customHeight="1">
      <c r="A356" s="9" t="s">
        <v>577</v>
      </c>
      <c r="B356" s="48"/>
      <c r="C356" s="48"/>
      <c r="D356" s="10" t="s">
        <v>263</v>
      </c>
      <c r="E356" s="10" t="s">
        <v>563</v>
      </c>
      <c r="F356" s="10" t="s">
        <v>265</v>
      </c>
      <c r="G356" s="10" t="s">
        <v>266</v>
      </c>
      <c r="H356" s="11" t="str">
        <f>IF(AND(B356="",C356=""),"CUSTOM BLANK",IF(OR(B356="",C356=""),"ERROR - ENTER BOTH",IF(OR(B356&lt;=0,C356&lt;=0),"ERROR - NONPOSITIVE",IF(OR(B356&lt;L356,C356&lt;L356),"ERROR - BELOW MIN",IF(OR(AND(B356&lt;=J356,C356&lt;=K356),AND(B356&lt;=K356,C356&lt;=J356)),"VALID - CUSTOM","ERROR - EXCEEDS BASE")))))</f>
        <v>CUSTOM BLANK</v>
      </c>
      <c r="I356" s="10" t="s">
        <v>267</v>
      </c>
      <c r="J356" s="12">
        <f>'05-ISO Reference'!$B$9</f>
        <v>210</v>
      </c>
      <c r="K356" s="12">
        <f>'05-ISO Reference'!$C$9</f>
        <v>297</v>
      </c>
      <c r="L356" s="12">
        <f>'01-Process Controls'!$G$5</f>
        <v>3</v>
      </c>
      <c r="M356" s="8"/>
      <c r="N356" s="8"/>
    </row>
    <row r="357" spans="1:15" ht="21" customHeight="1">
      <c r="A357" s="44" t="s">
        <v>578</v>
      </c>
      <c r="B357" s="45">
        <f>IF(LEFT(H357,5)="VALID",M357,"")</f>
        <v>148</v>
      </c>
      <c r="C357" s="45">
        <f>IF(LEFT(H357,5)="VALID",N357,"")</f>
        <v>210</v>
      </c>
      <c r="D357" s="46" t="s">
        <v>82</v>
      </c>
      <c r="E357" s="46" t="s">
        <v>579</v>
      </c>
      <c r="F357" s="46" t="s">
        <v>122</v>
      </c>
      <c r="G357" s="46" t="s">
        <v>123</v>
      </c>
      <c r="H357" s="47" t="str">
        <f>"VALID - BASE"</f>
        <v>VALID - BASE</v>
      </c>
      <c r="I357" s="46" t="s">
        <v>580</v>
      </c>
      <c r="J357" s="12">
        <f>'05-ISO Reference'!$B$10</f>
        <v>148</v>
      </c>
      <c r="K357" s="12">
        <f>'05-ISO Reference'!$C$10</f>
        <v>210</v>
      </c>
      <c r="L357" s="12">
        <f>'01-Process Controls'!$G$5</f>
        <v>3</v>
      </c>
      <c r="M357" s="12">
        <f>ROUNDDOWN(J357,0)</f>
        <v>148</v>
      </c>
      <c r="N357" s="12">
        <f>ROUNDDOWN(K357,0)</f>
        <v>210</v>
      </c>
      <c r="O357" s="9">
        <v>0</v>
      </c>
    </row>
    <row r="358" spans="1:15" ht="21" customHeight="1">
      <c r="A358" s="9" t="s">
        <v>581</v>
      </c>
      <c r="B358" s="12">
        <f>IF(LEFT(H358,5)="VALID",M358,"")</f>
        <v>74</v>
      </c>
      <c r="C358" s="12">
        <f>IF(LEFT(H358,5)="VALID",N358,"")</f>
        <v>210</v>
      </c>
      <c r="D358" s="10" t="s">
        <v>82</v>
      </c>
      <c r="E358" s="10" t="s">
        <v>579</v>
      </c>
      <c r="F358" s="10" t="s">
        <v>126</v>
      </c>
      <c r="G358" s="10" t="s">
        <v>127</v>
      </c>
      <c r="H358" s="11" t="str">
        <f>IF(OR(M358&lt;=0,N358&lt;=0),"SKIPPED - NONPOSITIVE",IF(OR(M358&lt;L358,N358&lt;L358),"SKIPPED - BELOW MIN",IF(OR(M358&gt;J358,N358&gt;K358),"SKIPPED - EXCEEDS BASE",IF(COUNTIFS($M$357:M357,M358,$N$357:N357,N358)&gt;0,"SKIPPED - DUPLICATE","VALID - GENERATED"))))</f>
        <v>VALID - GENERATED</v>
      </c>
      <c r="I358" s="10" t="s">
        <v>580</v>
      </c>
      <c r="J358" s="12">
        <f>'05-ISO Reference'!$B$10</f>
        <v>148</v>
      </c>
      <c r="K358" s="12">
        <f>'05-ISO Reference'!$C$10</f>
        <v>210</v>
      </c>
      <c r="L358" s="12">
        <f>'01-Process Controls'!$G$5</f>
        <v>3</v>
      </c>
      <c r="M358" s="12">
        <f>ROUNDDOWN(J358*'04-Variant Rules'!$D$6,0)</f>
        <v>74</v>
      </c>
      <c r="N358" s="12">
        <f>ROUNDDOWN(K358,0)</f>
        <v>210</v>
      </c>
      <c r="O358" s="9">
        <v>1</v>
      </c>
    </row>
    <row r="359" spans="1:15" ht="21" customHeight="1">
      <c r="A359" s="9" t="s">
        <v>582</v>
      </c>
      <c r="B359" s="12">
        <f>IF(LEFT(H359,5)="VALID",M359,"")</f>
        <v>49</v>
      </c>
      <c r="C359" s="12">
        <f>IF(LEFT(H359,5)="VALID",N359,"")</f>
        <v>210</v>
      </c>
      <c r="D359" s="10" t="s">
        <v>82</v>
      </c>
      <c r="E359" s="10" t="s">
        <v>579</v>
      </c>
      <c r="F359" s="10" t="s">
        <v>129</v>
      </c>
      <c r="G359" s="10" t="s">
        <v>130</v>
      </c>
      <c r="H359" s="11" t="str">
        <f>IF(OR(M359&lt;=0,N359&lt;=0),"SKIPPED - NONPOSITIVE",IF(OR(M359&lt;L359,N359&lt;L359),"SKIPPED - BELOW MIN",IF(OR(M359&gt;J359,N359&gt;K359),"SKIPPED - EXCEEDS BASE",IF(COUNTIFS($M$357:M358,M359,$N$357:N358,N359)&gt;0,"SKIPPED - DUPLICATE","VALID - GENERATED"))))</f>
        <v>VALID - GENERATED</v>
      </c>
      <c r="I359" s="10" t="s">
        <v>580</v>
      </c>
      <c r="J359" s="12">
        <f>'05-ISO Reference'!$B$10</f>
        <v>148</v>
      </c>
      <c r="K359" s="12">
        <f>'05-ISO Reference'!$C$10</f>
        <v>210</v>
      </c>
      <c r="L359" s="12">
        <f>'01-Process Controls'!$G$5</f>
        <v>3</v>
      </c>
      <c r="M359" s="12">
        <f>ROUNDDOWN(J359*'04-Variant Rules'!$D$7,0)</f>
        <v>49</v>
      </c>
      <c r="N359" s="12">
        <f>ROUNDDOWN(K359,0)</f>
        <v>210</v>
      </c>
      <c r="O359" s="9">
        <v>2</v>
      </c>
    </row>
    <row r="360" spans="1:15" ht="21" customHeight="1">
      <c r="A360" s="9" t="s">
        <v>583</v>
      </c>
      <c r="B360" s="12">
        <f>IF(LEFT(H360,5)="VALID",M360,"")</f>
        <v>37</v>
      </c>
      <c r="C360" s="12">
        <f>IF(LEFT(H360,5)="VALID",N360,"")</f>
        <v>210</v>
      </c>
      <c r="D360" s="10" t="s">
        <v>82</v>
      </c>
      <c r="E360" s="10" t="s">
        <v>579</v>
      </c>
      <c r="F360" s="10" t="s">
        <v>132</v>
      </c>
      <c r="G360" s="10" t="s">
        <v>133</v>
      </c>
      <c r="H360" s="11" t="str">
        <f>IF(OR(M360&lt;=0,N360&lt;=0),"SKIPPED - NONPOSITIVE",IF(OR(M360&lt;L360,N360&lt;L360),"SKIPPED - BELOW MIN",IF(OR(M360&gt;J360,N360&gt;K360),"SKIPPED - EXCEEDS BASE",IF(COUNTIFS($M$357:M359,M360,$N$357:N359,N360)&gt;0,"SKIPPED - DUPLICATE","VALID - GENERATED"))))</f>
        <v>VALID - GENERATED</v>
      </c>
      <c r="I360" s="10" t="s">
        <v>580</v>
      </c>
      <c r="J360" s="12">
        <f>'05-ISO Reference'!$B$10</f>
        <v>148</v>
      </c>
      <c r="K360" s="12">
        <f>'05-ISO Reference'!$C$10</f>
        <v>210</v>
      </c>
      <c r="L360" s="12">
        <f>'01-Process Controls'!$G$5</f>
        <v>3</v>
      </c>
      <c r="M360" s="12">
        <f>ROUNDDOWN(J360*'04-Variant Rules'!$D$8,0)</f>
        <v>37</v>
      </c>
      <c r="N360" s="12">
        <f>ROUNDDOWN(K360,0)</f>
        <v>210</v>
      </c>
      <c r="O360" s="9">
        <v>3</v>
      </c>
    </row>
    <row r="361" spans="1:15" ht="21" customHeight="1">
      <c r="A361" s="9" t="s">
        <v>584</v>
      </c>
      <c r="B361" s="12">
        <f>IF(LEFT(H361,5)="VALID",M361,"")</f>
        <v>98</v>
      </c>
      <c r="C361" s="12">
        <f>IF(LEFT(H361,5)="VALID",N361,"")</f>
        <v>210</v>
      </c>
      <c r="D361" s="10" t="s">
        <v>82</v>
      </c>
      <c r="E361" s="10" t="s">
        <v>579</v>
      </c>
      <c r="F361" s="10" t="s">
        <v>135</v>
      </c>
      <c r="G361" s="10" t="s">
        <v>136</v>
      </c>
      <c r="H361" s="11" t="str">
        <f>IF(OR(M361&lt;=0,N361&lt;=0),"SKIPPED - NONPOSITIVE",IF(OR(M361&lt;L361,N361&lt;L361),"SKIPPED - BELOW MIN",IF(OR(M361&gt;J361,N361&gt;K361),"SKIPPED - EXCEEDS BASE",IF(COUNTIFS($M$357:M360,M361,$N$357:N360,N361)&gt;0,"SKIPPED - DUPLICATE","VALID - GENERATED"))))</f>
        <v>VALID - GENERATED</v>
      </c>
      <c r="I361" s="10" t="s">
        <v>580</v>
      </c>
      <c r="J361" s="12">
        <f>'05-ISO Reference'!$B$10</f>
        <v>148</v>
      </c>
      <c r="K361" s="12">
        <f>'05-ISO Reference'!$C$10</f>
        <v>210</v>
      </c>
      <c r="L361" s="12">
        <f>'01-Process Controls'!$G$5</f>
        <v>3</v>
      </c>
      <c r="M361" s="12">
        <f>ROUNDDOWN(J361*'04-Variant Rules'!$D$9,0)</f>
        <v>98</v>
      </c>
      <c r="N361" s="12">
        <f>ROUNDDOWN(K361,0)</f>
        <v>210</v>
      </c>
      <c r="O361" s="9">
        <v>4</v>
      </c>
    </row>
    <row r="362" spans="1:15" ht="21" customHeight="1">
      <c r="A362" s="9" t="s">
        <v>585</v>
      </c>
      <c r="B362" s="12">
        <f>IF(LEFT(H362,5)="VALID",M362,"")</f>
        <v>111</v>
      </c>
      <c r="C362" s="12">
        <f>IF(LEFT(H362,5)="VALID",N362,"")</f>
        <v>210</v>
      </c>
      <c r="D362" s="10" t="s">
        <v>82</v>
      </c>
      <c r="E362" s="10" t="s">
        <v>579</v>
      </c>
      <c r="F362" s="10" t="s">
        <v>138</v>
      </c>
      <c r="G362" s="10" t="s">
        <v>139</v>
      </c>
      <c r="H362" s="11" t="str">
        <f>IF(OR(M362&lt;=0,N362&lt;=0),"SKIPPED - NONPOSITIVE",IF(OR(M362&lt;L362,N362&lt;L362),"SKIPPED - BELOW MIN",IF(OR(M362&gt;J362,N362&gt;K362),"SKIPPED - EXCEEDS BASE",IF(COUNTIFS($M$357:M361,M362,$N$357:N361,N362)&gt;0,"SKIPPED - DUPLICATE","VALID - GENERATED"))))</f>
        <v>VALID - GENERATED</v>
      </c>
      <c r="I362" s="10" t="s">
        <v>580</v>
      </c>
      <c r="J362" s="12">
        <f>'05-ISO Reference'!$B$10</f>
        <v>148</v>
      </c>
      <c r="K362" s="12">
        <f>'05-ISO Reference'!$C$10</f>
        <v>210</v>
      </c>
      <c r="L362" s="12">
        <f>'01-Process Controls'!$G$5</f>
        <v>3</v>
      </c>
      <c r="M362" s="12">
        <f>ROUNDDOWN(J362*'04-Variant Rules'!$D$10,0)</f>
        <v>111</v>
      </c>
      <c r="N362" s="12">
        <f>ROUNDDOWN(K362,0)</f>
        <v>210</v>
      </c>
      <c r="O362" s="9">
        <v>5</v>
      </c>
    </row>
    <row r="363" spans="1:15" ht="21" customHeight="1">
      <c r="A363" s="9" t="s">
        <v>586</v>
      </c>
      <c r="B363" s="12">
        <f>IF(LEFT(H363,5)="VALID",M363,"")</f>
        <v>148</v>
      </c>
      <c r="C363" s="12">
        <f>IF(LEFT(H363,5)="VALID",N363,"")</f>
        <v>105</v>
      </c>
      <c r="D363" s="10" t="s">
        <v>82</v>
      </c>
      <c r="E363" s="10" t="s">
        <v>579</v>
      </c>
      <c r="F363" s="10" t="s">
        <v>141</v>
      </c>
      <c r="G363" s="10" t="s">
        <v>142</v>
      </c>
      <c r="H363" s="11" t="str">
        <f>IF(OR(M363&lt;=0,N363&lt;=0),"SKIPPED - NONPOSITIVE",IF(OR(M363&lt;L363,N363&lt;L363),"SKIPPED - BELOW MIN",IF(OR(M363&gt;J363,N363&gt;K363),"SKIPPED - EXCEEDS BASE",IF(COUNTIFS($M$357:M362,M363,$N$357:N362,N363)&gt;0,"SKIPPED - DUPLICATE","VALID - GENERATED"))))</f>
        <v>VALID - GENERATED</v>
      </c>
      <c r="I363" s="10" t="s">
        <v>580</v>
      </c>
      <c r="J363" s="12">
        <f>'05-ISO Reference'!$B$10</f>
        <v>148</v>
      </c>
      <c r="K363" s="12">
        <f>'05-ISO Reference'!$C$10</f>
        <v>210</v>
      </c>
      <c r="L363" s="12">
        <f>'01-Process Controls'!$G$5</f>
        <v>3</v>
      </c>
      <c r="M363" s="12">
        <f>ROUNDDOWN(J363,0)</f>
        <v>148</v>
      </c>
      <c r="N363" s="12">
        <f>ROUNDDOWN(K363*'04-Variant Rules'!$D$11,0)</f>
        <v>105</v>
      </c>
      <c r="O363" s="9">
        <v>6</v>
      </c>
    </row>
    <row r="364" spans="1:15" ht="21" customHeight="1">
      <c r="A364" s="9" t="s">
        <v>587</v>
      </c>
      <c r="B364" s="12">
        <f>IF(LEFT(H364,5)="VALID",M364,"")</f>
        <v>148</v>
      </c>
      <c r="C364" s="12">
        <f>IF(LEFT(H364,5)="VALID",N364,"")</f>
        <v>70</v>
      </c>
      <c r="D364" s="10" t="s">
        <v>82</v>
      </c>
      <c r="E364" s="10" t="s">
        <v>579</v>
      </c>
      <c r="F364" s="10" t="s">
        <v>144</v>
      </c>
      <c r="G364" s="10" t="s">
        <v>145</v>
      </c>
      <c r="H364" s="11" t="str">
        <f>IF(OR(M364&lt;=0,N364&lt;=0),"SKIPPED - NONPOSITIVE",IF(OR(M364&lt;L364,N364&lt;L364),"SKIPPED - BELOW MIN",IF(OR(M364&gt;J364,N364&gt;K364),"SKIPPED - EXCEEDS BASE",IF(COUNTIFS($M$357:M363,M364,$N$357:N363,N364)&gt;0,"SKIPPED - DUPLICATE","VALID - GENERATED"))))</f>
        <v>VALID - GENERATED</v>
      </c>
      <c r="I364" s="10" t="s">
        <v>580</v>
      </c>
      <c r="J364" s="12">
        <f>'05-ISO Reference'!$B$10</f>
        <v>148</v>
      </c>
      <c r="K364" s="12">
        <f>'05-ISO Reference'!$C$10</f>
        <v>210</v>
      </c>
      <c r="L364" s="12">
        <f>'01-Process Controls'!$G$5</f>
        <v>3</v>
      </c>
      <c r="M364" s="12">
        <f>ROUNDDOWN(J364,0)</f>
        <v>148</v>
      </c>
      <c r="N364" s="12">
        <f>ROUNDDOWN(K364*'04-Variant Rules'!$D$12,0)</f>
        <v>70</v>
      </c>
      <c r="O364" s="9">
        <v>7</v>
      </c>
    </row>
    <row r="365" spans="1:15" ht="21" customHeight="1">
      <c r="A365" s="9" t="s">
        <v>588</v>
      </c>
      <c r="B365" s="12">
        <f>IF(LEFT(H365,5)="VALID",M365,"")</f>
        <v>148</v>
      </c>
      <c r="C365" s="12">
        <f>IF(LEFT(H365,5)="VALID",N365,"")</f>
        <v>52</v>
      </c>
      <c r="D365" s="10" t="s">
        <v>82</v>
      </c>
      <c r="E365" s="10" t="s">
        <v>579</v>
      </c>
      <c r="F365" s="10" t="s">
        <v>147</v>
      </c>
      <c r="G365" s="10" t="s">
        <v>148</v>
      </c>
      <c r="H365" s="11" t="str">
        <f>IF(OR(M365&lt;=0,N365&lt;=0),"SKIPPED - NONPOSITIVE",IF(OR(M365&lt;L365,N365&lt;L365),"SKIPPED - BELOW MIN",IF(OR(M365&gt;J365,N365&gt;K365),"SKIPPED - EXCEEDS BASE",IF(COUNTIFS($M$357:M364,M365,$N$357:N364,N365)&gt;0,"SKIPPED - DUPLICATE","VALID - GENERATED"))))</f>
        <v>VALID - GENERATED</v>
      </c>
      <c r="I365" s="10" t="s">
        <v>580</v>
      </c>
      <c r="J365" s="12">
        <f>'05-ISO Reference'!$B$10</f>
        <v>148</v>
      </c>
      <c r="K365" s="12">
        <f>'05-ISO Reference'!$C$10</f>
        <v>210</v>
      </c>
      <c r="L365" s="12">
        <f>'01-Process Controls'!$G$5</f>
        <v>3</v>
      </c>
      <c r="M365" s="12">
        <f>ROUNDDOWN(J365,0)</f>
        <v>148</v>
      </c>
      <c r="N365" s="12">
        <f>ROUNDDOWN(K365*'04-Variant Rules'!$D$13,0)</f>
        <v>52</v>
      </c>
      <c r="O365" s="9">
        <v>8</v>
      </c>
    </row>
    <row r="366" spans="1:15" ht="21" customHeight="1">
      <c r="A366" s="9" t="s">
        <v>589</v>
      </c>
      <c r="B366" s="12">
        <f>IF(LEFT(H366,5)="VALID",M366,"")</f>
        <v>148</v>
      </c>
      <c r="C366" s="12">
        <f>IF(LEFT(H366,5)="VALID",N366,"")</f>
        <v>140</v>
      </c>
      <c r="D366" s="10" t="s">
        <v>82</v>
      </c>
      <c r="E366" s="10" t="s">
        <v>579</v>
      </c>
      <c r="F366" s="10" t="s">
        <v>150</v>
      </c>
      <c r="G366" s="10" t="s">
        <v>151</v>
      </c>
      <c r="H366" s="11" t="str">
        <f>IF(OR(M366&lt;=0,N366&lt;=0),"SKIPPED - NONPOSITIVE",IF(OR(M366&lt;L366,N366&lt;L366),"SKIPPED - BELOW MIN",IF(OR(M366&gt;J366,N366&gt;K366),"SKIPPED - EXCEEDS BASE",IF(COUNTIFS($M$357:M365,M366,$N$357:N365,N366)&gt;0,"SKIPPED - DUPLICATE","VALID - GENERATED"))))</f>
        <v>VALID - GENERATED</v>
      </c>
      <c r="I366" s="10" t="s">
        <v>580</v>
      </c>
      <c r="J366" s="12">
        <f>'05-ISO Reference'!$B$10</f>
        <v>148</v>
      </c>
      <c r="K366" s="12">
        <f>'05-ISO Reference'!$C$10</f>
        <v>210</v>
      </c>
      <c r="L366" s="12">
        <f>'01-Process Controls'!$G$5</f>
        <v>3</v>
      </c>
      <c r="M366" s="12">
        <f>ROUNDDOWN(J366,0)</f>
        <v>148</v>
      </c>
      <c r="N366" s="12">
        <f>ROUNDDOWN(K366*'04-Variant Rules'!$D$14,0)</f>
        <v>140</v>
      </c>
      <c r="O366" s="9">
        <v>9</v>
      </c>
    </row>
    <row r="367" spans="1:15" ht="21" customHeight="1">
      <c r="A367" s="9" t="s">
        <v>590</v>
      </c>
      <c r="B367" s="12">
        <f>IF(LEFT(H367,5)="VALID",M367,"")</f>
        <v>148</v>
      </c>
      <c r="C367" s="12">
        <f>IF(LEFT(H367,5)="VALID",N367,"")</f>
        <v>157</v>
      </c>
      <c r="D367" s="10" t="s">
        <v>82</v>
      </c>
      <c r="E367" s="10" t="s">
        <v>579</v>
      </c>
      <c r="F367" s="10" t="s">
        <v>153</v>
      </c>
      <c r="G367" s="10" t="s">
        <v>154</v>
      </c>
      <c r="H367" s="11" t="str">
        <f>IF(OR(M367&lt;=0,N367&lt;=0),"SKIPPED - NONPOSITIVE",IF(OR(M367&lt;L367,N367&lt;L367),"SKIPPED - BELOW MIN",IF(OR(M367&gt;J367,N367&gt;K367),"SKIPPED - EXCEEDS BASE",IF(COUNTIFS($M$357:M366,M367,$N$357:N366,N367)&gt;0,"SKIPPED - DUPLICATE","VALID - GENERATED"))))</f>
        <v>VALID - GENERATED</v>
      </c>
      <c r="I367" s="10" t="s">
        <v>580</v>
      </c>
      <c r="J367" s="12">
        <f>'05-ISO Reference'!$B$10</f>
        <v>148</v>
      </c>
      <c r="K367" s="12">
        <f>'05-ISO Reference'!$C$10</f>
        <v>210</v>
      </c>
      <c r="L367" s="12">
        <f>'01-Process Controls'!$G$5</f>
        <v>3</v>
      </c>
      <c r="M367" s="12">
        <f>ROUNDDOWN(J367,0)</f>
        <v>148</v>
      </c>
      <c r="N367" s="12">
        <f>ROUNDDOWN(K367*'04-Variant Rules'!$D$15,0)</f>
        <v>157</v>
      </c>
      <c r="O367" s="9">
        <v>10</v>
      </c>
    </row>
    <row r="368" spans="1:15" ht="21" customHeight="1">
      <c r="A368" s="9" t="s">
        <v>591</v>
      </c>
      <c r="B368" s="12">
        <f>IF(LEFT(H368,5)="VALID",M368,"")</f>
        <v>74</v>
      </c>
      <c r="C368" s="12">
        <f>IF(LEFT(H368,5)="VALID",N368,"")</f>
        <v>105</v>
      </c>
      <c r="D368" s="10" t="s">
        <v>82</v>
      </c>
      <c r="E368" s="10" t="s">
        <v>579</v>
      </c>
      <c r="F368" s="10" t="s">
        <v>156</v>
      </c>
      <c r="G368" s="10" t="s">
        <v>157</v>
      </c>
      <c r="H368" s="11" t="str">
        <f>IF(OR(M368&lt;=0,N368&lt;=0),"SKIPPED - NONPOSITIVE",IF(OR(M368&lt;L368,N368&lt;L368),"SKIPPED - BELOW MIN",IF(OR(M368&gt;J368,N368&gt;K368),"SKIPPED - EXCEEDS BASE",IF(COUNTIFS($M$357:M367,M368,$N$357:N367,N368)&gt;0,"SKIPPED - DUPLICATE","VALID - GENERATED"))))</f>
        <v>VALID - GENERATED</v>
      </c>
      <c r="I368" s="10" t="s">
        <v>580</v>
      </c>
      <c r="J368" s="12">
        <f>'05-ISO Reference'!$B$10</f>
        <v>148</v>
      </c>
      <c r="K368" s="12">
        <f>'05-ISO Reference'!$C$10</f>
        <v>210</v>
      </c>
      <c r="L368" s="12">
        <f>'01-Process Controls'!$G$5</f>
        <v>3</v>
      </c>
      <c r="M368" s="12">
        <f>ROUNDDOWN(J368*'04-Variant Rules'!$D$16,0)</f>
        <v>74</v>
      </c>
      <c r="N368" s="12">
        <f>ROUNDDOWN(K368*'04-Variant Rules'!$E$16,0)</f>
        <v>105</v>
      </c>
      <c r="O368" s="9">
        <v>11</v>
      </c>
    </row>
    <row r="369" spans="1:15" ht="21" customHeight="1">
      <c r="A369" s="9" t="s">
        <v>592</v>
      </c>
      <c r="B369" s="12">
        <f>IF(LEFT(H369,5)="VALID",M369,"")</f>
        <v>49</v>
      </c>
      <c r="C369" s="12">
        <f>IF(LEFT(H369,5)="VALID",N369,"")</f>
        <v>70</v>
      </c>
      <c r="D369" s="10" t="s">
        <v>82</v>
      </c>
      <c r="E369" s="10" t="s">
        <v>579</v>
      </c>
      <c r="F369" s="10" t="s">
        <v>159</v>
      </c>
      <c r="G369" s="10" t="s">
        <v>160</v>
      </c>
      <c r="H369" s="11" t="str">
        <f>IF(OR(M369&lt;=0,N369&lt;=0),"SKIPPED - NONPOSITIVE",IF(OR(M369&lt;L369,N369&lt;L369),"SKIPPED - BELOW MIN",IF(OR(M369&gt;J369,N369&gt;K369),"SKIPPED - EXCEEDS BASE",IF(COUNTIFS($M$357:M368,M369,$N$357:N368,N369)&gt;0,"SKIPPED - DUPLICATE","VALID - GENERATED"))))</f>
        <v>VALID - GENERATED</v>
      </c>
      <c r="I369" s="10" t="s">
        <v>580</v>
      </c>
      <c r="J369" s="12">
        <f>'05-ISO Reference'!$B$10</f>
        <v>148</v>
      </c>
      <c r="K369" s="12">
        <f>'05-ISO Reference'!$C$10</f>
        <v>210</v>
      </c>
      <c r="L369" s="12">
        <f>'01-Process Controls'!$G$5</f>
        <v>3</v>
      </c>
      <c r="M369" s="12">
        <f>ROUNDDOWN(J369*'04-Variant Rules'!$D$17,0)</f>
        <v>49</v>
      </c>
      <c r="N369" s="12">
        <f>ROUNDDOWN(K369*'04-Variant Rules'!$E$17,0)</f>
        <v>70</v>
      </c>
      <c r="O369" s="9">
        <v>12</v>
      </c>
    </row>
    <row r="370" spans="1:15" ht="21" customHeight="1">
      <c r="A370" s="9" t="s">
        <v>593</v>
      </c>
      <c r="B370" s="12">
        <f>IF(LEFT(H370,5)="VALID",M370,"")</f>
        <v>37</v>
      </c>
      <c r="C370" s="12">
        <f>IF(LEFT(H370,5)="VALID",N370,"")</f>
        <v>52</v>
      </c>
      <c r="D370" s="10" t="s">
        <v>82</v>
      </c>
      <c r="E370" s="10" t="s">
        <v>579</v>
      </c>
      <c r="F370" s="10" t="s">
        <v>162</v>
      </c>
      <c r="G370" s="10" t="s">
        <v>163</v>
      </c>
      <c r="H370" s="11" t="str">
        <f>IF(OR(M370&lt;=0,N370&lt;=0),"SKIPPED - NONPOSITIVE",IF(OR(M370&lt;L370,N370&lt;L370),"SKIPPED - BELOW MIN",IF(OR(M370&gt;J370,N370&gt;K370),"SKIPPED - EXCEEDS BASE",IF(COUNTIFS($M$357:M369,M370,$N$357:N369,N370)&gt;0,"SKIPPED - DUPLICATE","VALID - GENERATED"))))</f>
        <v>VALID - GENERATED</v>
      </c>
      <c r="I370" s="10" t="s">
        <v>580</v>
      </c>
      <c r="J370" s="12">
        <f>'05-ISO Reference'!$B$10</f>
        <v>148</v>
      </c>
      <c r="K370" s="12">
        <f>'05-ISO Reference'!$C$10</f>
        <v>210</v>
      </c>
      <c r="L370" s="12">
        <f>'01-Process Controls'!$G$5</f>
        <v>3</v>
      </c>
      <c r="M370" s="12">
        <f>ROUNDDOWN(J370*'04-Variant Rules'!$D$18,0)</f>
        <v>37</v>
      </c>
      <c r="N370" s="12">
        <f>ROUNDDOWN(K370*'04-Variant Rules'!$E$18,0)</f>
        <v>52</v>
      </c>
      <c r="O370" s="9">
        <v>13</v>
      </c>
    </row>
    <row r="371" spans="1:15" ht="21" customHeight="1">
      <c r="A371" s="9" t="s">
        <v>594</v>
      </c>
      <c r="B371" s="12">
        <f>IF(LEFT(H371,5)="VALID",M371,"")</f>
        <v>74</v>
      </c>
      <c r="C371" s="12">
        <f>IF(LEFT(H371,5)="VALID",N371,"")</f>
        <v>70</v>
      </c>
      <c r="D371" s="10" t="s">
        <v>82</v>
      </c>
      <c r="E371" s="10" t="s">
        <v>579</v>
      </c>
      <c r="F371" s="10" t="s">
        <v>165</v>
      </c>
      <c r="G371" s="10" t="s">
        <v>166</v>
      </c>
      <c r="H371" s="11" t="str">
        <f>IF(OR(M371&lt;=0,N371&lt;=0),"SKIPPED - NONPOSITIVE",IF(OR(M371&lt;L371,N371&lt;L371),"SKIPPED - BELOW MIN",IF(OR(M371&gt;J371,N371&gt;K371),"SKIPPED - EXCEEDS BASE",IF(COUNTIFS($M$357:M370,M371,$N$357:N370,N371)&gt;0,"SKIPPED - DUPLICATE","VALID - GENERATED"))))</f>
        <v>VALID - GENERATED</v>
      </c>
      <c r="I371" s="10" t="s">
        <v>580</v>
      </c>
      <c r="J371" s="12">
        <f>'05-ISO Reference'!$B$10</f>
        <v>148</v>
      </c>
      <c r="K371" s="12">
        <f>'05-ISO Reference'!$C$10</f>
        <v>210</v>
      </c>
      <c r="L371" s="12">
        <f>'01-Process Controls'!$G$5</f>
        <v>3</v>
      </c>
      <c r="M371" s="12">
        <f>ROUNDDOWN(J371*'04-Variant Rules'!$D$19,0)</f>
        <v>74</v>
      </c>
      <c r="N371" s="12">
        <f>ROUNDDOWN(K371*'04-Variant Rules'!$E$19,0)</f>
        <v>70</v>
      </c>
      <c r="O371" s="9">
        <v>14</v>
      </c>
    </row>
    <row r="372" spans="1:15" ht="21" customHeight="1">
      <c r="A372" s="9" t="s">
        <v>595</v>
      </c>
      <c r="B372" s="12">
        <f>IF(LEFT(H372,5)="VALID",M372,"")</f>
        <v>49</v>
      </c>
      <c r="C372" s="12">
        <f>IF(LEFT(H372,5)="VALID",N372,"")</f>
        <v>105</v>
      </c>
      <c r="D372" s="10" t="s">
        <v>82</v>
      </c>
      <c r="E372" s="10" t="s">
        <v>579</v>
      </c>
      <c r="F372" s="10" t="s">
        <v>168</v>
      </c>
      <c r="G372" s="10" t="s">
        <v>166</v>
      </c>
      <c r="H372" s="11" t="str">
        <f>IF(OR(M372&lt;=0,N372&lt;=0),"SKIPPED - NONPOSITIVE",IF(OR(M372&lt;L372,N372&lt;L372),"SKIPPED - BELOW MIN",IF(OR(M372&gt;J372,N372&gt;K372),"SKIPPED - EXCEEDS BASE",IF(COUNTIFS($M$357:M371,M372,$N$357:N371,N372)&gt;0,"SKIPPED - DUPLICATE","VALID - GENERATED"))))</f>
        <v>VALID - GENERATED</v>
      </c>
      <c r="I372" s="10" t="s">
        <v>580</v>
      </c>
      <c r="J372" s="12">
        <f>'05-ISO Reference'!$B$10</f>
        <v>148</v>
      </c>
      <c r="K372" s="12">
        <f>'05-ISO Reference'!$C$10</f>
        <v>210</v>
      </c>
      <c r="L372" s="12">
        <f>'01-Process Controls'!$G$5</f>
        <v>3</v>
      </c>
      <c r="M372" s="12">
        <f>ROUNDDOWN(J372*'04-Variant Rules'!$D$20,0)</f>
        <v>49</v>
      </c>
      <c r="N372" s="12">
        <f>ROUNDDOWN(K372*'04-Variant Rules'!$E$20,0)</f>
        <v>105</v>
      </c>
      <c r="O372" s="9">
        <v>15</v>
      </c>
    </row>
    <row r="373" spans="1:15" ht="21" customHeight="1">
      <c r="A373" s="9" t="s">
        <v>596</v>
      </c>
      <c r="B373" s="12">
        <f>IF(LEFT(H373,5)="VALID",M373,"")</f>
        <v>74</v>
      </c>
      <c r="C373" s="12">
        <f>IF(LEFT(H373,5)="VALID",N373,"")</f>
        <v>52</v>
      </c>
      <c r="D373" s="10" t="s">
        <v>82</v>
      </c>
      <c r="E373" s="10" t="s">
        <v>579</v>
      </c>
      <c r="F373" s="10" t="s">
        <v>170</v>
      </c>
      <c r="G373" s="10" t="s">
        <v>166</v>
      </c>
      <c r="H373" s="11" t="str">
        <f>IF(OR(M373&lt;=0,N373&lt;=0),"SKIPPED - NONPOSITIVE",IF(OR(M373&lt;L373,N373&lt;L373),"SKIPPED - BELOW MIN",IF(OR(M373&gt;J373,N373&gt;K373),"SKIPPED - EXCEEDS BASE",IF(COUNTIFS($M$357:M372,M373,$N$357:N372,N373)&gt;0,"SKIPPED - DUPLICATE","VALID - GENERATED"))))</f>
        <v>VALID - GENERATED</v>
      </c>
      <c r="I373" s="10" t="s">
        <v>580</v>
      </c>
      <c r="J373" s="12">
        <f>'05-ISO Reference'!$B$10</f>
        <v>148</v>
      </c>
      <c r="K373" s="12">
        <f>'05-ISO Reference'!$C$10</f>
        <v>210</v>
      </c>
      <c r="L373" s="12">
        <f>'01-Process Controls'!$G$5</f>
        <v>3</v>
      </c>
      <c r="M373" s="12">
        <f>ROUNDDOWN(J373*'04-Variant Rules'!$D$21,0)</f>
        <v>74</v>
      </c>
      <c r="N373" s="12">
        <f>ROUNDDOWN(K373*'04-Variant Rules'!$E$21,0)</f>
        <v>52</v>
      </c>
      <c r="O373" s="9">
        <v>16</v>
      </c>
    </row>
    <row r="374" spans="1:15" ht="21" customHeight="1">
      <c r="A374" s="9" t="s">
        <v>597</v>
      </c>
      <c r="B374" s="12">
        <f>IF(LEFT(H374,5)="VALID",M374,"")</f>
        <v>37</v>
      </c>
      <c r="C374" s="12">
        <f>IF(LEFT(H374,5)="VALID",N374,"")</f>
        <v>105</v>
      </c>
      <c r="D374" s="10" t="s">
        <v>82</v>
      </c>
      <c r="E374" s="10" t="s">
        <v>579</v>
      </c>
      <c r="F374" s="10" t="s">
        <v>172</v>
      </c>
      <c r="G374" s="10" t="s">
        <v>166</v>
      </c>
      <c r="H374" s="11" t="str">
        <f>IF(OR(M374&lt;=0,N374&lt;=0),"SKIPPED - NONPOSITIVE",IF(OR(M374&lt;L374,N374&lt;L374),"SKIPPED - BELOW MIN",IF(OR(M374&gt;J374,N374&gt;K374),"SKIPPED - EXCEEDS BASE",IF(COUNTIFS($M$357:M373,M374,$N$357:N373,N374)&gt;0,"SKIPPED - DUPLICATE","VALID - GENERATED"))))</f>
        <v>VALID - GENERATED</v>
      </c>
      <c r="I374" s="10" t="s">
        <v>580</v>
      </c>
      <c r="J374" s="12">
        <f>'05-ISO Reference'!$B$10</f>
        <v>148</v>
      </c>
      <c r="K374" s="12">
        <f>'05-ISO Reference'!$C$10</f>
        <v>210</v>
      </c>
      <c r="L374" s="12">
        <f>'01-Process Controls'!$G$5</f>
        <v>3</v>
      </c>
      <c r="M374" s="12">
        <f>ROUNDDOWN(J374*'04-Variant Rules'!$D$22,0)</f>
        <v>37</v>
      </c>
      <c r="N374" s="12">
        <f>ROUNDDOWN(K374*'04-Variant Rules'!$E$22,0)</f>
        <v>105</v>
      </c>
      <c r="O374" s="9">
        <v>17</v>
      </c>
    </row>
    <row r="375" spans="1:15" ht="21" customHeight="1">
      <c r="A375" s="9" t="s">
        <v>598</v>
      </c>
      <c r="B375" s="12">
        <f>IF(LEFT(H375,5)="VALID",M375,"")</f>
        <v>98</v>
      </c>
      <c r="C375" s="12">
        <f>IF(LEFT(H375,5)="VALID",N375,"")</f>
        <v>105</v>
      </c>
      <c r="D375" s="10" t="s">
        <v>82</v>
      </c>
      <c r="E375" s="10" t="s">
        <v>579</v>
      </c>
      <c r="F375" s="10" t="s">
        <v>174</v>
      </c>
      <c r="G375" s="10" t="s">
        <v>166</v>
      </c>
      <c r="H375" s="11" t="str">
        <f>IF(OR(M375&lt;=0,N375&lt;=0),"SKIPPED - NONPOSITIVE",IF(OR(M375&lt;L375,N375&lt;L375),"SKIPPED - BELOW MIN",IF(OR(M375&gt;J375,N375&gt;K375),"SKIPPED - EXCEEDS BASE",IF(COUNTIFS($M$357:M374,M375,$N$357:N374,N375)&gt;0,"SKIPPED - DUPLICATE","VALID - GENERATED"))))</f>
        <v>VALID - GENERATED</v>
      </c>
      <c r="I375" s="10" t="s">
        <v>580</v>
      </c>
      <c r="J375" s="12">
        <f>'05-ISO Reference'!$B$10</f>
        <v>148</v>
      </c>
      <c r="K375" s="12">
        <f>'05-ISO Reference'!$C$10</f>
        <v>210</v>
      </c>
      <c r="L375" s="12">
        <f>'01-Process Controls'!$G$5</f>
        <v>3</v>
      </c>
      <c r="M375" s="12">
        <f>ROUNDDOWN(J375*'04-Variant Rules'!$D$23,0)</f>
        <v>98</v>
      </c>
      <c r="N375" s="12">
        <f>ROUNDDOWN(K375*'04-Variant Rules'!$E$23,0)</f>
        <v>105</v>
      </c>
      <c r="O375" s="9">
        <v>18</v>
      </c>
    </row>
    <row r="376" spans="1:15" ht="21" customHeight="1">
      <c r="A376" s="9" t="s">
        <v>599</v>
      </c>
      <c r="B376" s="12">
        <f>IF(LEFT(H376,5)="VALID",M376,"")</f>
        <v>74</v>
      </c>
      <c r="C376" s="12">
        <f>IF(LEFT(H376,5)="VALID",N376,"")</f>
        <v>140</v>
      </c>
      <c r="D376" s="10" t="s">
        <v>82</v>
      </c>
      <c r="E376" s="10" t="s">
        <v>579</v>
      </c>
      <c r="F376" s="10" t="s">
        <v>176</v>
      </c>
      <c r="G376" s="10" t="s">
        <v>166</v>
      </c>
      <c r="H376" s="11" t="str">
        <f>IF(OR(M376&lt;=0,N376&lt;=0),"SKIPPED - NONPOSITIVE",IF(OR(M376&lt;L376,N376&lt;L376),"SKIPPED - BELOW MIN",IF(OR(M376&gt;J376,N376&gt;K376),"SKIPPED - EXCEEDS BASE",IF(COUNTIFS($M$357:M375,M376,$N$357:N375,N376)&gt;0,"SKIPPED - DUPLICATE","VALID - GENERATED"))))</f>
        <v>VALID - GENERATED</v>
      </c>
      <c r="I376" s="10" t="s">
        <v>580</v>
      </c>
      <c r="J376" s="12">
        <f>'05-ISO Reference'!$B$10</f>
        <v>148</v>
      </c>
      <c r="K376" s="12">
        <f>'05-ISO Reference'!$C$10</f>
        <v>210</v>
      </c>
      <c r="L376" s="12">
        <f>'01-Process Controls'!$G$5</f>
        <v>3</v>
      </c>
      <c r="M376" s="12">
        <f>ROUNDDOWN(J376*'04-Variant Rules'!$D$24,0)</f>
        <v>74</v>
      </c>
      <c r="N376" s="12">
        <f>ROUNDDOWN(K376*'04-Variant Rules'!$E$24,0)</f>
        <v>140</v>
      </c>
      <c r="O376" s="9">
        <v>19</v>
      </c>
    </row>
    <row r="377" spans="1:15" ht="21" customHeight="1">
      <c r="A377" s="9" t="s">
        <v>600</v>
      </c>
      <c r="B377" s="12">
        <f>IF(LEFT(H377,5)="VALID",M377,"")</f>
        <v>111</v>
      </c>
      <c r="C377" s="12">
        <f>IF(LEFT(H377,5)="VALID",N377,"")</f>
        <v>105</v>
      </c>
      <c r="D377" s="10" t="s">
        <v>82</v>
      </c>
      <c r="E377" s="10" t="s">
        <v>579</v>
      </c>
      <c r="F377" s="10" t="s">
        <v>178</v>
      </c>
      <c r="G377" s="10" t="s">
        <v>166</v>
      </c>
      <c r="H377" s="11" t="str">
        <f>IF(OR(M377&lt;=0,N377&lt;=0),"SKIPPED - NONPOSITIVE",IF(OR(M377&lt;L377,N377&lt;L377),"SKIPPED - BELOW MIN",IF(OR(M377&gt;J377,N377&gt;K377),"SKIPPED - EXCEEDS BASE",IF(COUNTIFS($M$357:M376,M377,$N$357:N376,N377)&gt;0,"SKIPPED - DUPLICATE","VALID - GENERATED"))))</f>
        <v>VALID - GENERATED</v>
      </c>
      <c r="I377" s="10" t="s">
        <v>580</v>
      </c>
      <c r="J377" s="12">
        <f>'05-ISO Reference'!$B$10</f>
        <v>148</v>
      </c>
      <c r="K377" s="12">
        <f>'05-ISO Reference'!$C$10</f>
        <v>210</v>
      </c>
      <c r="L377" s="12">
        <f>'01-Process Controls'!$G$5</f>
        <v>3</v>
      </c>
      <c r="M377" s="12">
        <f>ROUNDDOWN(J377*'04-Variant Rules'!$D$25,0)</f>
        <v>111</v>
      </c>
      <c r="N377" s="12">
        <f>ROUNDDOWN(K377*'04-Variant Rules'!$E$25,0)</f>
        <v>105</v>
      </c>
      <c r="O377" s="9">
        <v>20</v>
      </c>
    </row>
    <row r="378" spans="1:15" ht="21" customHeight="1">
      <c r="A378" s="9" t="s">
        <v>601</v>
      </c>
      <c r="B378" s="12">
        <f>IF(LEFT(H378,5)="VALID",M378,"")</f>
        <v>74</v>
      </c>
      <c r="C378" s="12">
        <f>IF(LEFT(H378,5)="VALID",N378,"")</f>
        <v>157</v>
      </c>
      <c r="D378" s="10" t="s">
        <v>82</v>
      </c>
      <c r="E378" s="10" t="s">
        <v>579</v>
      </c>
      <c r="F378" s="10" t="s">
        <v>180</v>
      </c>
      <c r="G378" s="10" t="s">
        <v>166</v>
      </c>
      <c r="H378" s="11" t="str">
        <f>IF(OR(M378&lt;=0,N378&lt;=0),"SKIPPED - NONPOSITIVE",IF(OR(M378&lt;L378,N378&lt;L378),"SKIPPED - BELOW MIN",IF(OR(M378&gt;J378,N378&gt;K378),"SKIPPED - EXCEEDS BASE",IF(COUNTIFS($M$357:M377,M378,$N$357:N377,N378)&gt;0,"SKIPPED - DUPLICATE","VALID - GENERATED"))))</f>
        <v>VALID - GENERATED</v>
      </c>
      <c r="I378" s="10" t="s">
        <v>580</v>
      </c>
      <c r="J378" s="12">
        <f>'05-ISO Reference'!$B$10</f>
        <v>148</v>
      </c>
      <c r="K378" s="12">
        <f>'05-ISO Reference'!$C$10</f>
        <v>210</v>
      </c>
      <c r="L378" s="12">
        <f>'01-Process Controls'!$G$5</f>
        <v>3</v>
      </c>
      <c r="M378" s="12">
        <f>ROUNDDOWN(J378*'04-Variant Rules'!$D$26,0)</f>
        <v>74</v>
      </c>
      <c r="N378" s="12">
        <f>ROUNDDOWN(K378*'04-Variant Rules'!$E$26,0)</f>
        <v>157</v>
      </c>
      <c r="O378" s="9">
        <v>21</v>
      </c>
    </row>
    <row r="379" spans="1:15" ht="21" customHeight="1">
      <c r="A379" s="9" t="s">
        <v>602</v>
      </c>
      <c r="B379" s="12">
        <f>IF(LEFT(H379,5)="VALID",M379,"")</f>
        <v>140</v>
      </c>
      <c r="C379" s="12">
        <f>IF(LEFT(H379,5)="VALID",N379,"")</f>
        <v>199</v>
      </c>
      <c r="D379" s="10" t="s">
        <v>82</v>
      </c>
      <c r="E379" s="10" t="s">
        <v>579</v>
      </c>
      <c r="F379" s="10" t="s">
        <v>182</v>
      </c>
      <c r="G379" s="10" t="s">
        <v>183</v>
      </c>
      <c r="H379" s="11" t="str">
        <f>IF(OR(M379&lt;=0,N379&lt;=0),"SKIPPED - NONPOSITIVE",IF(OR(M379&lt;L379,N379&lt;L379),"SKIPPED - BELOW MIN",IF(OR(M379&gt;J379,N379&gt;K379),"SKIPPED - EXCEEDS BASE",IF(COUNTIFS($M$357:M378,M379,$N$357:N378,N379)&gt;0,"SKIPPED - DUPLICATE","VALID - GENERATED"))))</f>
        <v>VALID - GENERATED</v>
      </c>
      <c r="I379" s="10" t="s">
        <v>580</v>
      </c>
      <c r="J379" s="12">
        <f>'05-ISO Reference'!$B$10</f>
        <v>148</v>
      </c>
      <c r="K379" s="12">
        <f>'05-ISO Reference'!$C$10</f>
        <v>210</v>
      </c>
      <c r="L379" s="12">
        <f>'01-Process Controls'!$G$5</f>
        <v>3</v>
      </c>
      <c r="M379" s="12">
        <f>ROUNDDOWN(J379*'04-Variant Rules'!$D$27,0)</f>
        <v>140</v>
      </c>
      <c r="N379" s="12">
        <f>ROUNDDOWN(K379*'04-Variant Rules'!$E$27,0)</f>
        <v>199</v>
      </c>
      <c r="O379" s="9">
        <v>22</v>
      </c>
    </row>
    <row r="380" spans="1:15" ht="21" customHeight="1">
      <c r="A380" s="9" t="s">
        <v>603</v>
      </c>
      <c r="B380" s="12">
        <f>IF(LEFT(H380,5)="VALID",M380,"")</f>
        <v>133</v>
      </c>
      <c r="C380" s="12">
        <f>IF(LEFT(H380,5)="VALID",N380,"")</f>
        <v>189</v>
      </c>
      <c r="D380" s="10" t="s">
        <v>82</v>
      </c>
      <c r="E380" s="10" t="s">
        <v>579</v>
      </c>
      <c r="F380" s="10" t="s">
        <v>185</v>
      </c>
      <c r="G380" s="10" t="s">
        <v>186</v>
      </c>
      <c r="H380" s="11" t="str">
        <f>IF(OR(M380&lt;=0,N380&lt;=0),"SKIPPED - NONPOSITIVE",IF(OR(M380&lt;L380,N380&lt;L380),"SKIPPED - BELOW MIN",IF(OR(M380&gt;J380,N380&gt;K380),"SKIPPED - EXCEEDS BASE",IF(COUNTIFS($M$357:M379,M380,$N$357:N379,N380)&gt;0,"SKIPPED - DUPLICATE","VALID - GENERATED"))))</f>
        <v>VALID - GENERATED</v>
      </c>
      <c r="I380" s="10" t="s">
        <v>580</v>
      </c>
      <c r="J380" s="12">
        <f>'05-ISO Reference'!$B$10</f>
        <v>148</v>
      </c>
      <c r="K380" s="12">
        <f>'05-ISO Reference'!$C$10</f>
        <v>210</v>
      </c>
      <c r="L380" s="12">
        <f>'01-Process Controls'!$G$5</f>
        <v>3</v>
      </c>
      <c r="M380" s="12">
        <f>ROUNDDOWN(J380*'04-Variant Rules'!$D$28,0)</f>
        <v>133</v>
      </c>
      <c r="N380" s="12">
        <f>ROUNDDOWN(K380*'04-Variant Rules'!$E$28,0)</f>
        <v>189</v>
      </c>
      <c r="O380" s="9">
        <v>23</v>
      </c>
    </row>
    <row r="381" spans="1:15" ht="21" customHeight="1">
      <c r="A381" s="9" t="s">
        <v>604</v>
      </c>
      <c r="B381" s="12">
        <f>IF(LEFT(H381,5)="VALID",M381,"")</f>
        <v>125</v>
      </c>
      <c r="C381" s="12">
        <f>IF(LEFT(H381,5)="VALID",N381,"")</f>
        <v>178</v>
      </c>
      <c r="D381" s="10" t="s">
        <v>82</v>
      </c>
      <c r="E381" s="10" t="s">
        <v>579</v>
      </c>
      <c r="F381" s="10" t="s">
        <v>188</v>
      </c>
      <c r="G381" s="10" t="s">
        <v>186</v>
      </c>
      <c r="H381" s="11" t="str">
        <f>IF(OR(M381&lt;=0,N381&lt;=0),"SKIPPED - NONPOSITIVE",IF(OR(M381&lt;L381,N381&lt;L381),"SKIPPED - BELOW MIN",IF(OR(M381&gt;J381,N381&gt;K381),"SKIPPED - EXCEEDS BASE",IF(COUNTIFS($M$357:M380,M381,$N$357:N380,N381)&gt;0,"SKIPPED - DUPLICATE","VALID - GENERATED"))))</f>
        <v>VALID - GENERATED</v>
      </c>
      <c r="I381" s="10" t="s">
        <v>580</v>
      </c>
      <c r="J381" s="12">
        <f>'05-ISO Reference'!$B$10</f>
        <v>148</v>
      </c>
      <c r="K381" s="12">
        <f>'05-ISO Reference'!$C$10</f>
        <v>210</v>
      </c>
      <c r="L381" s="12">
        <f>'01-Process Controls'!$G$5</f>
        <v>3</v>
      </c>
      <c r="M381" s="12">
        <f>ROUNDDOWN(J381*'04-Variant Rules'!$D$29,0)</f>
        <v>125</v>
      </c>
      <c r="N381" s="12">
        <f>ROUNDDOWN(K381*'04-Variant Rules'!$E$29,0)</f>
        <v>178</v>
      </c>
      <c r="O381" s="9">
        <v>24</v>
      </c>
    </row>
    <row r="382" spans="1:15" ht="21" customHeight="1">
      <c r="A382" s="9" t="s">
        <v>605</v>
      </c>
      <c r="B382" s="12">
        <f>IF(LEFT(H382,5)="VALID",M382,"")</f>
        <v>118</v>
      </c>
      <c r="C382" s="12">
        <f>IF(LEFT(H382,5)="VALID",N382,"")</f>
        <v>168</v>
      </c>
      <c r="D382" s="10" t="s">
        <v>82</v>
      </c>
      <c r="E382" s="10" t="s">
        <v>579</v>
      </c>
      <c r="F382" s="10" t="s">
        <v>190</v>
      </c>
      <c r="G382" s="10" t="s">
        <v>186</v>
      </c>
      <c r="H382" s="11" t="str">
        <f>IF(OR(M382&lt;=0,N382&lt;=0),"SKIPPED - NONPOSITIVE",IF(OR(M382&lt;L382,N382&lt;L382),"SKIPPED - BELOW MIN",IF(OR(M382&gt;J382,N382&gt;K382),"SKIPPED - EXCEEDS BASE",IF(COUNTIFS($M$357:M381,M382,$N$357:N381,N382)&gt;0,"SKIPPED - DUPLICATE","VALID - GENERATED"))))</f>
        <v>VALID - GENERATED</v>
      </c>
      <c r="I382" s="10" t="s">
        <v>580</v>
      </c>
      <c r="J382" s="12">
        <f>'05-ISO Reference'!$B$10</f>
        <v>148</v>
      </c>
      <c r="K382" s="12">
        <f>'05-ISO Reference'!$C$10</f>
        <v>210</v>
      </c>
      <c r="L382" s="12">
        <f>'01-Process Controls'!$G$5</f>
        <v>3</v>
      </c>
      <c r="M382" s="12">
        <f>ROUNDDOWN(J382*'04-Variant Rules'!$D$30,0)</f>
        <v>118</v>
      </c>
      <c r="N382" s="12">
        <f>ROUNDDOWN(K382*'04-Variant Rules'!$E$30,0)</f>
        <v>168</v>
      </c>
      <c r="O382" s="9">
        <v>25</v>
      </c>
    </row>
    <row r="383" spans="1:15" ht="21" customHeight="1">
      <c r="A383" s="9" t="s">
        <v>606</v>
      </c>
      <c r="B383" s="12">
        <f>IF(LEFT(H383,5)="VALID",M383,"")</f>
        <v>111</v>
      </c>
      <c r="C383" s="12">
        <f>IF(LEFT(H383,5)="VALID",N383,"")</f>
        <v>157</v>
      </c>
      <c r="D383" s="10" t="s">
        <v>82</v>
      </c>
      <c r="E383" s="10" t="s">
        <v>579</v>
      </c>
      <c r="F383" s="10" t="s">
        <v>192</v>
      </c>
      <c r="G383" s="10" t="s">
        <v>186</v>
      </c>
      <c r="H383" s="11" t="str">
        <f>IF(OR(M383&lt;=0,N383&lt;=0),"SKIPPED - NONPOSITIVE",IF(OR(M383&lt;L383,N383&lt;L383),"SKIPPED - BELOW MIN",IF(OR(M383&gt;J383,N383&gt;K383),"SKIPPED - EXCEEDS BASE",IF(COUNTIFS($M$357:M382,M383,$N$357:N382,N383)&gt;0,"SKIPPED - DUPLICATE","VALID - GENERATED"))))</f>
        <v>VALID - GENERATED</v>
      </c>
      <c r="I383" s="10" t="s">
        <v>580</v>
      </c>
      <c r="J383" s="12">
        <f>'05-ISO Reference'!$B$10</f>
        <v>148</v>
      </c>
      <c r="K383" s="12">
        <f>'05-ISO Reference'!$C$10</f>
        <v>210</v>
      </c>
      <c r="L383" s="12">
        <f>'01-Process Controls'!$G$5</f>
        <v>3</v>
      </c>
      <c r="M383" s="12">
        <f>ROUNDDOWN(J383*'04-Variant Rules'!$D$31,0)</f>
        <v>111</v>
      </c>
      <c r="N383" s="12">
        <f>ROUNDDOWN(K383*'04-Variant Rules'!$E$31,0)</f>
        <v>157</v>
      </c>
      <c r="O383" s="9">
        <v>26</v>
      </c>
    </row>
    <row r="384" spans="1:15" ht="21" customHeight="1">
      <c r="A384" s="9" t="s">
        <v>607</v>
      </c>
      <c r="B384" s="12">
        <f>IF(LEFT(H384,5)="VALID",M384,"")</f>
        <v>103</v>
      </c>
      <c r="C384" s="12">
        <f>IF(LEFT(H384,5)="VALID",N384,"")</f>
        <v>147</v>
      </c>
      <c r="D384" s="10" t="s">
        <v>82</v>
      </c>
      <c r="E384" s="10" t="s">
        <v>579</v>
      </c>
      <c r="F384" s="10" t="s">
        <v>194</v>
      </c>
      <c r="G384" s="10" t="s">
        <v>186</v>
      </c>
      <c r="H384" s="11" t="str">
        <f>IF(OR(M384&lt;=0,N384&lt;=0),"SKIPPED - NONPOSITIVE",IF(OR(M384&lt;L384,N384&lt;L384),"SKIPPED - BELOW MIN",IF(OR(M384&gt;J384,N384&gt;K384),"SKIPPED - EXCEEDS BASE",IF(COUNTIFS($M$357:M383,M384,$N$357:N383,N384)&gt;0,"SKIPPED - DUPLICATE","VALID - GENERATED"))))</f>
        <v>VALID - GENERATED</v>
      </c>
      <c r="I384" s="10" t="s">
        <v>580</v>
      </c>
      <c r="J384" s="12">
        <f>'05-ISO Reference'!$B$10</f>
        <v>148</v>
      </c>
      <c r="K384" s="12">
        <f>'05-ISO Reference'!$C$10</f>
        <v>210</v>
      </c>
      <c r="L384" s="12">
        <f>'01-Process Controls'!$G$5</f>
        <v>3</v>
      </c>
      <c r="M384" s="12">
        <f>ROUNDDOWN(J384*'04-Variant Rules'!$D$32,0)</f>
        <v>103</v>
      </c>
      <c r="N384" s="12">
        <f>ROUNDDOWN(K384*'04-Variant Rules'!$E$32,0)</f>
        <v>147</v>
      </c>
      <c r="O384" s="9">
        <v>27</v>
      </c>
    </row>
    <row r="385" spans="1:15" ht="21" customHeight="1">
      <c r="A385" s="9" t="s">
        <v>608</v>
      </c>
      <c r="B385" s="12">
        <f>IF(LEFT(H385,5)="VALID",M385,"")</f>
        <v>98</v>
      </c>
      <c r="C385" s="12">
        <f>IF(LEFT(H385,5)="VALID",N385,"")</f>
        <v>140</v>
      </c>
      <c r="D385" s="10" t="s">
        <v>82</v>
      </c>
      <c r="E385" s="10" t="s">
        <v>579</v>
      </c>
      <c r="F385" s="10" t="s">
        <v>196</v>
      </c>
      <c r="G385" s="10" t="s">
        <v>186</v>
      </c>
      <c r="H385" s="11" t="str">
        <f>IF(OR(M385&lt;=0,N385&lt;=0),"SKIPPED - NONPOSITIVE",IF(OR(M385&lt;L385,N385&lt;L385),"SKIPPED - BELOW MIN",IF(OR(M385&gt;J385,N385&gt;K385),"SKIPPED - EXCEEDS BASE",IF(COUNTIFS($M$357:M384,M385,$N$357:N384,N385)&gt;0,"SKIPPED - DUPLICATE","VALID - GENERATED"))))</f>
        <v>VALID - GENERATED</v>
      </c>
      <c r="I385" s="10" t="s">
        <v>580</v>
      </c>
      <c r="J385" s="12">
        <f>'05-ISO Reference'!$B$10</f>
        <v>148</v>
      </c>
      <c r="K385" s="12">
        <f>'05-ISO Reference'!$C$10</f>
        <v>210</v>
      </c>
      <c r="L385" s="12">
        <f>'01-Process Controls'!$G$5</f>
        <v>3</v>
      </c>
      <c r="M385" s="12">
        <f>ROUNDDOWN(J385*'04-Variant Rules'!$D$33,0)</f>
        <v>98</v>
      </c>
      <c r="N385" s="12">
        <f>ROUNDDOWN(K385*'04-Variant Rules'!$E$33,0)</f>
        <v>140</v>
      </c>
      <c r="O385" s="9">
        <v>28</v>
      </c>
    </row>
    <row r="386" spans="1:15" ht="21" customHeight="1">
      <c r="A386" s="9" t="s">
        <v>609</v>
      </c>
      <c r="B386" s="12">
        <f>IF(LEFT(H386,5)="VALID",M386,"")</f>
        <v>88</v>
      </c>
      <c r="C386" s="12">
        <f>IF(LEFT(H386,5)="VALID",N386,"")</f>
        <v>126</v>
      </c>
      <c r="D386" s="10" t="s">
        <v>82</v>
      </c>
      <c r="E386" s="10" t="s">
        <v>579</v>
      </c>
      <c r="F386" s="10" t="s">
        <v>198</v>
      </c>
      <c r="G386" s="10" t="s">
        <v>186</v>
      </c>
      <c r="H386" s="11" t="str">
        <f>IF(OR(M386&lt;=0,N386&lt;=0),"SKIPPED - NONPOSITIVE",IF(OR(M386&lt;L386,N386&lt;L386),"SKIPPED - BELOW MIN",IF(OR(M386&gt;J386,N386&gt;K386),"SKIPPED - EXCEEDS BASE",IF(COUNTIFS($M$357:M385,M386,$N$357:N385,N386)&gt;0,"SKIPPED - DUPLICATE","VALID - GENERATED"))))</f>
        <v>VALID - GENERATED</v>
      </c>
      <c r="I386" s="10" t="s">
        <v>580</v>
      </c>
      <c r="J386" s="12">
        <f>'05-ISO Reference'!$B$10</f>
        <v>148</v>
      </c>
      <c r="K386" s="12">
        <f>'05-ISO Reference'!$C$10</f>
        <v>210</v>
      </c>
      <c r="L386" s="12">
        <f>'01-Process Controls'!$G$5</f>
        <v>3</v>
      </c>
      <c r="M386" s="12">
        <f>ROUNDDOWN(J386*'04-Variant Rules'!$D$34,0)</f>
        <v>88</v>
      </c>
      <c r="N386" s="12">
        <f>ROUNDDOWN(K386*'04-Variant Rules'!$E$34,0)</f>
        <v>126</v>
      </c>
      <c r="O386" s="9">
        <v>29</v>
      </c>
    </row>
    <row r="387" spans="1:15" ht="21" customHeight="1">
      <c r="A387" s="9" t="s">
        <v>610</v>
      </c>
      <c r="B387" s="12">
        <f>IF(LEFT(H387,5)="VALID",M387,"")</f>
        <v>81</v>
      </c>
      <c r="C387" s="12">
        <f>IF(LEFT(H387,5)="VALID",N387,"")</f>
        <v>115</v>
      </c>
      <c r="D387" s="10" t="s">
        <v>82</v>
      </c>
      <c r="E387" s="10" t="s">
        <v>579</v>
      </c>
      <c r="F387" s="10" t="s">
        <v>200</v>
      </c>
      <c r="G387" s="10" t="s">
        <v>186</v>
      </c>
      <c r="H387" s="11" t="str">
        <f>IF(OR(M387&lt;=0,N387&lt;=0),"SKIPPED - NONPOSITIVE",IF(OR(M387&lt;L387,N387&lt;L387),"SKIPPED - BELOW MIN",IF(OR(M387&gt;J387,N387&gt;K387),"SKIPPED - EXCEEDS BASE",IF(COUNTIFS($M$357:M386,M387,$N$357:N386,N387)&gt;0,"SKIPPED - DUPLICATE","VALID - GENERATED"))))</f>
        <v>VALID - GENERATED</v>
      </c>
      <c r="I387" s="10" t="s">
        <v>580</v>
      </c>
      <c r="J387" s="12">
        <f>'05-ISO Reference'!$B$10</f>
        <v>148</v>
      </c>
      <c r="K387" s="12">
        <f>'05-ISO Reference'!$C$10</f>
        <v>210</v>
      </c>
      <c r="L387" s="12">
        <f>'01-Process Controls'!$G$5</f>
        <v>3</v>
      </c>
      <c r="M387" s="12">
        <f>ROUNDDOWN(J387*'04-Variant Rules'!$D$35,0)</f>
        <v>81</v>
      </c>
      <c r="N387" s="12">
        <f>ROUNDDOWN(K387*'04-Variant Rules'!$E$35,0)</f>
        <v>115</v>
      </c>
      <c r="O387" s="9">
        <v>30</v>
      </c>
    </row>
    <row r="388" spans="1:15" ht="21" customHeight="1">
      <c r="A388" s="9" t="s">
        <v>611</v>
      </c>
      <c r="B388" s="12">
        <f>IF(LEFT(H388,5)="VALID",M388,"")</f>
        <v>66</v>
      </c>
      <c r="C388" s="12">
        <f>IF(LEFT(H388,5)="VALID",N388,"")</f>
        <v>94</v>
      </c>
      <c r="D388" s="10" t="s">
        <v>82</v>
      </c>
      <c r="E388" s="10" t="s">
        <v>579</v>
      </c>
      <c r="F388" s="10" t="s">
        <v>202</v>
      </c>
      <c r="G388" s="10" t="s">
        <v>186</v>
      </c>
      <c r="H388" s="11" t="str">
        <f>IF(OR(M388&lt;=0,N388&lt;=0),"SKIPPED - NONPOSITIVE",IF(OR(M388&lt;L388,N388&lt;L388),"SKIPPED - BELOW MIN",IF(OR(M388&gt;J388,N388&gt;K388),"SKIPPED - EXCEEDS BASE",IF(COUNTIFS($M$357:M387,M388,$N$357:N387,N388)&gt;0,"SKIPPED - DUPLICATE","VALID - GENERATED"))))</f>
        <v>VALID - GENERATED</v>
      </c>
      <c r="I388" s="10" t="s">
        <v>580</v>
      </c>
      <c r="J388" s="12">
        <f>'05-ISO Reference'!$B$10</f>
        <v>148</v>
      </c>
      <c r="K388" s="12">
        <f>'05-ISO Reference'!$C$10</f>
        <v>210</v>
      </c>
      <c r="L388" s="12">
        <f>'01-Process Controls'!$G$5</f>
        <v>3</v>
      </c>
      <c r="M388" s="12">
        <f>ROUNDDOWN(J388*'04-Variant Rules'!$D$36,0)</f>
        <v>66</v>
      </c>
      <c r="N388" s="12">
        <f>ROUNDDOWN(K388*'04-Variant Rules'!$E$36,0)</f>
        <v>94</v>
      </c>
      <c r="O388" s="9">
        <v>31</v>
      </c>
    </row>
    <row r="389" spans="1:15" ht="21" customHeight="1">
      <c r="A389" s="9" t="s">
        <v>612</v>
      </c>
      <c r="B389" s="12">
        <f>IF(LEFT(H389,5)="VALID",M389,"")</f>
        <v>59</v>
      </c>
      <c r="C389" s="12">
        <f>IF(LEFT(H389,5)="VALID",N389,"")</f>
        <v>84</v>
      </c>
      <c r="D389" s="10" t="s">
        <v>82</v>
      </c>
      <c r="E389" s="10" t="s">
        <v>579</v>
      </c>
      <c r="F389" s="10" t="s">
        <v>204</v>
      </c>
      <c r="G389" s="10" t="s">
        <v>186</v>
      </c>
      <c r="H389" s="11" t="str">
        <f>IF(OR(M389&lt;=0,N389&lt;=0),"SKIPPED - NONPOSITIVE",IF(OR(M389&lt;L389,N389&lt;L389),"SKIPPED - BELOW MIN",IF(OR(M389&gt;J389,N389&gt;K389),"SKIPPED - EXCEEDS BASE",IF(COUNTIFS($M$357:M388,M389,$N$357:N388,N389)&gt;0,"SKIPPED - DUPLICATE","VALID - GENERATED"))))</f>
        <v>VALID - GENERATED</v>
      </c>
      <c r="I389" s="10" t="s">
        <v>580</v>
      </c>
      <c r="J389" s="12">
        <f>'05-ISO Reference'!$B$10</f>
        <v>148</v>
      </c>
      <c r="K389" s="12">
        <f>'05-ISO Reference'!$C$10</f>
        <v>210</v>
      </c>
      <c r="L389" s="12">
        <f>'01-Process Controls'!$G$5</f>
        <v>3</v>
      </c>
      <c r="M389" s="12">
        <f>ROUNDDOWN(J389*'04-Variant Rules'!$D$37,0)</f>
        <v>59</v>
      </c>
      <c r="N389" s="12">
        <f>ROUNDDOWN(K389*'04-Variant Rules'!$E$37,0)</f>
        <v>84</v>
      </c>
      <c r="O389" s="9">
        <v>32</v>
      </c>
    </row>
    <row r="390" spans="1:15" ht="21" customHeight="1">
      <c r="A390" s="9" t="s">
        <v>613</v>
      </c>
      <c r="B390" s="12">
        <f>IF(LEFT(H390,5)="VALID",M390,"")</f>
        <v>51</v>
      </c>
      <c r="C390" s="12">
        <f>IF(LEFT(H390,5)="VALID",N390,"")</f>
        <v>73</v>
      </c>
      <c r="D390" s="10" t="s">
        <v>82</v>
      </c>
      <c r="E390" s="10" t="s">
        <v>579</v>
      </c>
      <c r="F390" s="10" t="s">
        <v>206</v>
      </c>
      <c r="G390" s="10" t="s">
        <v>186</v>
      </c>
      <c r="H390" s="11" t="str">
        <f>IF(OR(M390&lt;=0,N390&lt;=0),"SKIPPED - NONPOSITIVE",IF(OR(M390&lt;L390,N390&lt;L390),"SKIPPED - BELOW MIN",IF(OR(M390&gt;J390,N390&gt;K390),"SKIPPED - EXCEEDS BASE",IF(COUNTIFS($M$357:M389,M390,$N$357:N389,N390)&gt;0,"SKIPPED - DUPLICATE","VALID - GENERATED"))))</f>
        <v>VALID - GENERATED</v>
      </c>
      <c r="I390" s="10" t="s">
        <v>580</v>
      </c>
      <c r="J390" s="12">
        <f>'05-ISO Reference'!$B$10</f>
        <v>148</v>
      </c>
      <c r="K390" s="12">
        <f>'05-ISO Reference'!$C$10</f>
        <v>210</v>
      </c>
      <c r="L390" s="12">
        <f>'01-Process Controls'!$G$5</f>
        <v>3</v>
      </c>
      <c r="M390" s="12">
        <f>ROUNDDOWN(J390*'04-Variant Rules'!$D$38,0)</f>
        <v>51</v>
      </c>
      <c r="N390" s="12">
        <f>ROUNDDOWN(K390*'04-Variant Rules'!$E$38,0)</f>
        <v>73</v>
      </c>
      <c r="O390" s="9">
        <v>33</v>
      </c>
    </row>
    <row r="391" spans="1:15" ht="21" customHeight="1">
      <c r="A391" s="9" t="s">
        <v>614</v>
      </c>
      <c r="B391" s="12">
        <f>IF(LEFT(H391,5)="VALID",M391,"")</f>
        <v>44</v>
      </c>
      <c r="C391" s="12">
        <f>IF(LEFT(H391,5)="VALID",N391,"")</f>
        <v>63</v>
      </c>
      <c r="D391" s="10" t="s">
        <v>82</v>
      </c>
      <c r="E391" s="10" t="s">
        <v>579</v>
      </c>
      <c r="F391" s="10" t="s">
        <v>208</v>
      </c>
      <c r="G391" s="10" t="s">
        <v>186</v>
      </c>
      <c r="H391" s="11" t="str">
        <f>IF(OR(M391&lt;=0,N391&lt;=0),"SKIPPED - NONPOSITIVE",IF(OR(M391&lt;L391,N391&lt;L391),"SKIPPED - BELOW MIN",IF(OR(M391&gt;J391,N391&gt;K391),"SKIPPED - EXCEEDS BASE",IF(COUNTIFS($M$357:M390,M391,$N$357:N390,N391)&gt;0,"SKIPPED - DUPLICATE","VALID - GENERATED"))))</f>
        <v>VALID - GENERATED</v>
      </c>
      <c r="I391" s="10" t="s">
        <v>580</v>
      </c>
      <c r="J391" s="12">
        <f>'05-ISO Reference'!$B$10</f>
        <v>148</v>
      </c>
      <c r="K391" s="12">
        <f>'05-ISO Reference'!$C$10</f>
        <v>210</v>
      </c>
      <c r="L391" s="12">
        <f>'01-Process Controls'!$G$5</f>
        <v>3</v>
      </c>
      <c r="M391" s="12">
        <f>ROUNDDOWN(J391*'04-Variant Rules'!$D$39,0)</f>
        <v>44</v>
      </c>
      <c r="N391" s="12">
        <f>ROUNDDOWN(K391*'04-Variant Rules'!$E$39,0)</f>
        <v>63</v>
      </c>
      <c r="O391" s="9">
        <v>34</v>
      </c>
    </row>
    <row r="392" spans="1:15" ht="21" customHeight="1">
      <c r="A392" s="9" t="s">
        <v>615</v>
      </c>
      <c r="B392" s="12">
        <f>IF(LEFT(H392,5)="VALID",M392,"")</f>
        <v>29</v>
      </c>
      <c r="C392" s="12">
        <f>IF(LEFT(H392,5)="VALID",N392,"")</f>
        <v>42</v>
      </c>
      <c r="D392" s="10" t="s">
        <v>82</v>
      </c>
      <c r="E392" s="10" t="s">
        <v>579</v>
      </c>
      <c r="F392" s="10" t="s">
        <v>210</v>
      </c>
      <c r="G392" s="10" t="s">
        <v>186</v>
      </c>
      <c r="H392" s="11" t="str">
        <f>IF(OR(M392&lt;=0,N392&lt;=0),"SKIPPED - NONPOSITIVE",IF(OR(M392&lt;L392,N392&lt;L392),"SKIPPED - BELOW MIN",IF(OR(M392&gt;J392,N392&gt;K392),"SKIPPED - EXCEEDS BASE",IF(COUNTIFS($M$357:M391,M392,$N$357:N391,N392)&gt;0,"SKIPPED - DUPLICATE","VALID - GENERATED"))))</f>
        <v>VALID - GENERATED</v>
      </c>
      <c r="I392" s="10" t="s">
        <v>580</v>
      </c>
      <c r="J392" s="12">
        <f>'05-ISO Reference'!$B$10</f>
        <v>148</v>
      </c>
      <c r="K392" s="12">
        <f>'05-ISO Reference'!$C$10</f>
        <v>210</v>
      </c>
      <c r="L392" s="12">
        <f>'01-Process Controls'!$G$5</f>
        <v>3</v>
      </c>
      <c r="M392" s="12">
        <f>ROUNDDOWN(J392*'04-Variant Rules'!$D$40,0)</f>
        <v>29</v>
      </c>
      <c r="N392" s="12">
        <f>ROUNDDOWN(K392*'04-Variant Rules'!$E$40,0)</f>
        <v>42</v>
      </c>
      <c r="O392" s="9">
        <v>35</v>
      </c>
    </row>
    <row r="393" spans="1:15" ht="21" customHeight="1">
      <c r="A393" s="9" t="s">
        <v>616</v>
      </c>
      <c r="B393" s="12">
        <f>IF(LEFT(H393,5)="VALID",M393,"")</f>
        <v>22</v>
      </c>
      <c r="C393" s="12">
        <f>IF(LEFT(H393,5)="VALID",N393,"")</f>
        <v>31</v>
      </c>
      <c r="D393" s="10" t="s">
        <v>82</v>
      </c>
      <c r="E393" s="10" t="s">
        <v>579</v>
      </c>
      <c r="F393" s="10" t="s">
        <v>212</v>
      </c>
      <c r="G393" s="10" t="s">
        <v>213</v>
      </c>
      <c r="H393" s="11" t="str">
        <f>IF(OR(M393&lt;=0,N393&lt;=0),"SKIPPED - NONPOSITIVE",IF(OR(M393&lt;L393,N393&lt;L393),"SKIPPED - BELOW MIN",IF(OR(M393&gt;J393,N393&gt;K393),"SKIPPED - EXCEEDS BASE",IF(COUNTIFS($M$357:M392,M393,$N$357:N392,N393)&gt;0,"SKIPPED - DUPLICATE","VALID - GENERATED"))))</f>
        <v>VALID - GENERATED</v>
      </c>
      <c r="I393" s="10" t="s">
        <v>580</v>
      </c>
      <c r="J393" s="12">
        <f>'05-ISO Reference'!$B$10</f>
        <v>148</v>
      </c>
      <c r="K393" s="12">
        <f>'05-ISO Reference'!$C$10</f>
        <v>210</v>
      </c>
      <c r="L393" s="12">
        <f>'01-Process Controls'!$G$5</f>
        <v>3</v>
      </c>
      <c r="M393" s="12">
        <f>ROUNDDOWN(J393*'04-Variant Rules'!$D$41,0)</f>
        <v>22</v>
      </c>
      <c r="N393" s="12">
        <f>ROUNDDOWN(K393*'04-Variant Rules'!$E$41,0)</f>
        <v>31</v>
      </c>
      <c r="O393" s="9">
        <v>36</v>
      </c>
    </row>
    <row r="394" spans="1:15" ht="21" customHeight="1">
      <c r="A394" s="9" t="s">
        <v>617</v>
      </c>
      <c r="B394" s="12">
        <f>IF(LEFT(H394,5)="VALID",M394,"")</f>
        <v>148</v>
      </c>
      <c r="C394" s="12">
        <f>IF(LEFT(H394,5)="VALID",N394,"")</f>
        <v>148</v>
      </c>
      <c r="D394" s="10" t="s">
        <v>82</v>
      </c>
      <c r="E394" s="10" t="s">
        <v>579</v>
      </c>
      <c r="F394" s="10" t="s">
        <v>215</v>
      </c>
      <c r="G394" s="10" t="s">
        <v>216</v>
      </c>
      <c r="H394" s="11" t="str">
        <f>IF(OR(M394&lt;=0,N394&lt;=0),"SKIPPED - NONPOSITIVE",IF(OR(M394&lt;L394,N394&lt;L394),"SKIPPED - BELOW MIN",IF(OR(M394&gt;J394,N394&gt;K394),"SKIPPED - EXCEEDS BASE",IF(COUNTIFS($M$357:M393,M394,$N$357:N393,N394)&gt;0,"SKIPPED - DUPLICATE","VALID - GENERATED"))))</f>
        <v>VALID - GENERATED</v>
      </c>
      <c r="I394" s="10" t="s">
        <v>580</v>
      </c>
      <c r="J394" s="12">
        <f>'05-ISO Reference'!$B$10</f>
        <v>148</v>
      </c>
      <c r="K394" s="12">
        <f>'05-ISO Reference'!$C$10</f>
        <v>210</v>
      </c>
      <c r="L394" s="12">
        <f>'01-Process Controls'!$G$5</f>
        <v>3</v>
      </c>
      <c r="M394" s="12">
        <f>ROUNDDOWN(MIN(J394,K394)*'04-Variant Rules'!$D$42,0)</f>
        <v>148</v>
      </c>
      <c r="N394" s="12">
        <f>ROUNDDOWN(MIN(J394,K394)*'04-Variant Rules'!$D$42,0)</f>
        <v>148</v>
      </c>
      <c r="O394" s="9">
        <v>37</v>
      </c>
    </row>
    <row r="395" spans="1:15" ht="21" customHeight="1">
      <c r="A395" s="9" t="s">
        <v>618</v>
      </c>
      <c r="B395" s="12">
        <f>IF(LEFT(H395,5)="VALID",M395,"")</f>
        <v>133</v>
      </c>
      <c r="C395" s="12">
        <f>IF(LEFT(H395,5)="VALID",N395,"")</f>
        <v>133</v>
      </c>
      <c r="D395" s="10" t="s">
        <v>82</v>
      </c>
      <c r="E395" s="10" t="s">
        <v>579</v>
      </c>
      <c r="F395" s="10" t="s">
        <v>218</v>
      </c>
      <c r="G395" s="10" t="s">
        <v>219</v>
      </c>
      <c r="H395" s="11" t="str">
        <f>IF(OR(M395&lt;=0,N395&lt;=0),"SKIPPED - NONPOSITIVE",IF(OR(M395&lt;L395,N395&lt;L395),"SKIPPED - BELOW MIN",IF(OR(M395&gt;J395,N395&gt;K395),"SKIPPED - EXCEEDS BASE",IF(COUNTIFS($M$357:M394,M395,$N$357:N394,N395)&gt;0,"SKIPPED - DUPLICATE","VALID - GENERATED"))))</f>
        <v>VALID - GENERATED</v>
      </c>
      <c r="I395" s="10" t="s">
        <v>580</v>
      </c>
      <c r="J395" s="12">
        <f>'05-ISO Reference'!$B$10</f>
        <v>148</v>
      </c>
      <c r="K395" s="12">
        <f>'05-ISO Reference'!$C$10</f>
        <v>210</v>
      </c>
      <c r="L395" s="12">
        <f>'01-Process Controls'!$G$5</f>
        <v>3</v>
      </c>
      <c r="M395" s="12">
        <f>ROUNDDOWN(MIN(J395,K395)*'04-Variant Rules'!$D$43,0)</f>
        <v>133</v>
      </c>
      <c r="N395" s="12">
        <f>ROUNDDOWN(MIN(J395,K395)*'04-Variant Rules'!$D$43,0)</f>
        <v>133</v>
      </c>
      <c r="O395" s="9">
        <v>38</v>
      </c>
    </row>
    <row r="396" spans="1:15" ht="21" customHeight="1">
      <c r="A396" s="9" t="s">
        <v>619</v>
      </c>
      <c r="B396" s="12">
        <f>IF(LEFT(H396,5)="VALID",M396,"")</f>
        <v>118</v>
      </c>
      <c r="C396" s="12">
        <f>IF(LEFT(H396,5)="VALID",N396,"")</f>
        <v>118</v>
      </c>
      <c r="D396" s="10" t="s">
        <v>82</v>
      </c>
      <c r="E396" s="10" t="s">
        <v>579</v>
      </c>
      <c r="F396" s="10" t="s">
        <v>221</v>
      </c>
      <c r="G396" s="10" t="s">
        <v>219</v>
      </c>
      <c r="H396" s="11" t="str">
        <f>IF(OR(M396&lt;=0,N396&lt;=0),"SKIPPED - NONPOSITIVE",IF(OR(M396&lt;L396,N396&lt;L396),"SKIPPED - BELOW MIN",IF(OR(M396&gt;J396,N396&gt;K396),"SKIPPED - EXCEEDS BASE",IF(COUNTIFS($M$357:M395,M396,$N$357:N395,N396)&gt;0,"SKIPPED - DUPLICATE","VALID - GENERATED"))))</f>
        <v>VALID - GENERATED</v>
      </c>
      <c r="I396" s="10" t="s">
        <v>580</v>
      </c>
      <c r="J396" s="12">
        <f>'05-ISO Reference'!$B$10</f>
        <v>148</v>
      </c>
      <c r="K396" s="12">
        <f>'05-ISO Reference'!$C$10</f>
        <v>210</v>
      </c>
      <c r="L396" s="12">
        <f>'01-Process Controls'!$G$5</f>
        <v>3</v>
      </c>
      <c r="M396" s="12">
        <f>ROUNDDOWN(MIN(J396,K396)*'04-Variant Rules'!$D$44,0)</f>
        <v>118</v>
      </c>
      <c r="N396" s="12">
        <f>ROUNDDOWN(MIN(J396,K396)*'04-Variant Rules'!$D$44,0)</f>
        <v>118</v>
      </c>
      <c r="O396" s="9">
        <v>39</v>
      </c>
    </row>
    <row r="397" spans="1:15" ht="21" customHeight="1">
      <c r="A397" s="9" t="s">
        <v>620</v>
      </c>
      <c r="B397" s="12">
        <f>IF(LEFT(H397,5)="VALID",M397,"")</f>
        <v>111</v>
      </c>
      <c r="C397" s="12">
        <f>IF(LEFT(H397,5)="VALID",N397,"")</f>
        <v>111</v>
      </c>
      <c r="D397" s="10" t="s">
        <v>82</v>
      </c>
      <c r="E397" s="10" t="s">
        <v>579</v>
      </c>
      <c r="F397" s="10" t="s">
        <v>223</v>
      </c>
      <c r="G397" s="10" t="s">
        <v>219</v>
      </c>
      <c r="H397" s="11" t="str">
        <f>IF(OR(M397&lt;=0,N397&lt;=0),"SKIPPED - NONPOSITIVE",IF(OR(M397&lt;L397,N397&lt;L397),"SKIPPED - BELOW MIN",IF(OR(M397&gt;J397,N397&gt;K397),"SKIPPED - EXCEEDS BASE",IF(COUNTIFS($M$357:M396,M397,$N$357:N396,N397)&gt;0,"SKIPPED - DUPLICATE","VALID - GENERATED"))))</f>
        <v>VALID - GENERATED</v>
      </c>
      <c r="I397" s="10" t="s">
        <v>580</v>
      </c>
      <c r="J397" s="12">
        <f>'05-ISO Reference'!$B$10</f>
        <v>148</v>
      </c>
      <c r="K397" s="12">
        <f>'05-ISO Reference'!$C$10</f>
        <v>210</v>
      </c>
      <c r="L397" s="12">
        <f>'01-Process Controls'!$G$5</f>
        <v>3</v>
      </c>
      <c r="M397" s="12">
        <f>ROUNDDOWN(MIN(J397,K397)*'04-Variant Rules'!$D$45,0)</f>
        <v>111</v>
      </c>
      <c r="N397" s="12">
        <f>ROUNDDOWN(MIN(J397,K397)*'04-Variant Rules'!$D$45,0)</f>
        <v>111</v>
      </c>
      <c r="O397" s="9">
        <v>40</v>
      </c>
    </row>
    <row r="398" spans="1:15" ht="21" customHeight="1">
      <c r="A398" s="9" t="s">
        <v>621</v>
      </c>
      <c r="B398" s="12">
        <f>IF(LEFT(H398,5)="VALID",M398,"")</f>
        <v>98</v>
      </c>
      <c r="C398" s="12">
        <f>IF(LEFT(H398,5)="VALID",N398,"")</f>
        <v>98</v>
      </c>
      <c r="D398" s="10" t="s">
        <v>82</v>
      </c>
      <c r="E398" s="10" t="s">
        <v>579</v>
      </c>
      <c r="F398" s="10" t="s">
        <v>225</v>
      </c>
      <c r="G398" s="10" t="s">
        <v>219</v>
      </c>
      <c r="H398" s="11" t="str">
        <f>IF(OR(M398&lt;=0,N398&lt;=0),"SKIPPED - NONPOSITIVE",IF(OR(M398&lt;L398,N398&lt;L398),"SKIPPED - BELOW MIN",IF(OR(M398&gt;J398,N398&gt;K398),"SKIPPED - EXCEEDS BASE",IF(COUNTIFS($M$357:M397,M398,$N$357:N397,N398)&gt;0,"SKIPPED - DUPLICATE","VALID - GENERATED"))))</f>
        <v>VALID - GENERATED</v>
      </c>
      <c r="I398" s="10" t="s">
        <v>580</v>
      </c>
      <c r="J398" s="12">
        <f>'05-ISO Reference'!$B$10</f>
        <v>148</v>
      </c>
      <c r="K398" s="12">
        <f>'05-ISO Reference'!$C$10</f>
        <v>210</v>
      </c>
      <c r="L398" s="12">
        <f>'01-Process Controls'!$G$5</f>
        <v>3</v>
      </c>
      <c r="M398" s="12">
        <f>ROUNDDOWN(MIN(J398,K398)*'04-Variant Rules'!$D$46,0)</f>
        <v>98</v>
      </c>
      <c r="N398" s="12">
        <f>ROUNDDOWN(MIN(J398,K398)*'04-Variant Rules'!$D$46,0)</f>
        <v>98</v>
      </c>
      <c r="O398" s="9">
        <v>41</v>
      </c>
    </row>
    <row r="399" spans="1:15" ht="21" customHeight="1">
      <c r="A399" s="9" t="s">
        <v>622</v>
      </c>
      <c r="B399" s="12">
        <f>IF(LEFT(H399,5)="VALID",M399,"")</f>
        <v>88</v>
      </c>
      <c r="C399" s="12">
        <f>IF(LEFT(H399,5)="VALID",N399,"")</f>
        <v>88</v>
      </c>
      <c r="D399" s="10" t="s">
        <v>82</v>
      </c>
      <c r="E399" s="10" t="s">
        <v>579</v>
      </c>
      <c r="F399" s="10" t="s">
        <v>227</v>
      </c>
      <c r="G399" s="10" t="s">
        <v>219</v>
      </c>
      <c r="H399" s="11" t="str">
        <f>IF(OR(M399&lt;=0,N399&lt;=0),"SKIPPED - NONPOSITIVE",IF(OR(M399&lt;L399,N399&lt;L399),"SKIPPED - BELOW MIN",IF(OR(M399&gt;J399,N399&gt;K399),"SKIPPED - EXCEEDS BASE",IF(COUNTIFS($M$357:M398,M399,$N$357:N398,N399)&gt;0,"SKIPPED - DUPLICATE","VALID - GENERATED"))))</f>
        <v>VALID - GENERATED</v>
      </c>
      <c r="I399" s="10" t="s">
        <v>580</v>
      </c>
      <c r="J399" s="12">
        <f>'05-ISO Reference'!$B$10</f>
        <v>148</v>
      </c>
      <c r="K399" s="12">
        <f>'05-ISO Reference'!$C$10</f>
        <v>210</v>
      </c>
      <c r="L399" s="12">
        <f>'01-Process Controls'!$G$5</f>
        <v>3</v>
      </c>
      <c r="M399" s="12">
        <f>ROUNDDOWN(MIN(J399,K399)*'04-Variant Rules'!$D$47,0)</f>
        <v>88</v>
      </c>
      <c r="N399" s="12">
        <f>ROUNDDOWN(MIN(J399,K399)*'04-Variant Rules'!$D$47,0)</f>
        <v>88</v>
      </c>
      <c r="O399" s="9">
        <v>42</v>
      </c>
    </row>
    <row r="400" spans="1:15" ht="21" customHeight="1">
      <c r="A400" s="9" t="s">
        <v>623</v>
      </c>
      <c r="B400" s="12">
        <f>IF(LEFT(H400,5)="VALID",M400,"")</f>
        <v>74</v>
      </c>
      <c r="C400" s="12">
        <f>IF(LEFT(H400,5)="VALID",N400,"")</f>
        <v>74</v>
      </c>
      <c r="D400" s="10" t="s">
        <v>82</v>
      </c>
      <c r="E400" s="10" t="s">
        <v>579</v>
      </c>
      <c r="F400" s="10" t="s">
        <v>229</v>
      </c>
      <c r="G400" s="10" t="s">
        <v>219</v>
      </c>
      <c r="H400" s="11" t="str">
        <f>IF(OR(M400&lt;=0,N400&lt;=0),"SKIPPED - NONPOSITIVE",IF(OR(M400&lt;L400,N400&lt;L400),"SKIPPED - BELOW MIN",IF(OR(M400&gt;J400,N400&gt;K400),"SKIPPED - EXCEEDS BASE",IF(COUNTIFS($M$357:M399,M400,$N$357:N399,N400)&gt;0,"SKIPPED - DUPLICATE","VALID - GENERATED"))))</f>
        <v>VALID - GENERATED</v>
      </c>
      <c r="I400" s="10" t="s">
        <v>580</v>
      </c>
      <c r="J400" s="12">
        <f>'05-ISO Reference'!$B$10</f>
        <v>148</v>
      </c>
      <c r="K400" s="12">
        <f>'05-ISO Reference'!$C$10</f>
        <v>210</v>
      </c>
      <c r="L400" s="12">
        <f>'01-Process Controls'!$G$5</f>
        <v>3</v>
      </c>
      <c r="M400" s="12">
        <f>ROUNDDOWN(MIN(J400,K400)*'04-Variant Rules'!$D$48,0)</f>
        <v>74</v>
      </c>
      <c r="N400" s="12">
        <f>ROUNDDOWN(MIN(J400,K400)*'04-Variant Rules'!$D$48,0)</f>
        <v>74</v>
      </c>
      <c r="O400" s="9">
        <v>43</v>
      </c>
    </row>
    <row r="401" spans="1:15" ht="21" customHeight="1">
      <c r="A401" s="9" t="s">
        <v>624</v>
      </c>
      <c r="B401" s="12">
        <f>IF(LEFT(H401,5)="VALID",M401,"")</f>
        <v>59</v>
      </c>
      <c r="C401" s="12">
        <f>IF(LEFT(H401,5)="VALID",N401,"")</f>
        <v>59</v>
      </c>
      <c r="D401" s="10" t="s">
        <v>82</v>
      </c>
      <c r="E401" s="10" t="s">
        <v>579</v>
      </c>
      <c r="F401" s="10" t="s">
        <v>231</v>
      </c>
      <c r="G401" s="10" t="s">
        <v>219</v>
      </c>
      <c r="H401" s="11" t="str">
        <f>IF(OR(M401&lt;=0,N401&lt;=0),"SKIPPED - NONPOSITIVE",IF(OR(M401&lt;L401,N401&lt;L401),"SKIPPED - BELOW MIN",IF(OR(M401&gt;J401,N401&gt;K401),"SKIPPED - EXCEEDS BASE",IF(COUNTIFS($M$357:M400,M401,$N$357:N400,N401)&gt;0,"SKIPPED - DUPLICATE","VALID - GENERATED"))))</f>
        <v>VALID - GENERATED</v>
      </c>
      <c r="I401" s="10" t="s">
        <v>580</v>
      </c>
      <c r="J401" s="12">
        <f>'05-ISO Reference'!$B$10</f>
        <v>148</v>
      </c>
      <c r="K401" s="12">
        <f>'05-ISO Reference'!$C$10</f>
        <v>210</v>
      </c>
      <c r="L401" s="12">
        <f>'01-Process Controls'!$G$5</f>
        <v>3</v>
      </c>
      <c r="M401" s="12">
        <f>ROUNDDOWN(MIN(J401,K401)*'04-Variant Rules'!$D$49,0)</f>
        <v>59</v>
      </c>
      <c r="N401" s="12">
        <f>ROUNDDOWN(MIN(J401,K401)*'04-Variant Rules'!$D$49,0)</f>
        <v>59</v>
      </c>
      <c r="O401" s="9">
        <v>44</v>
      </c>
    </row>
    <row r="402" spans="1:15" ht="21" customHeight="1">
      <c r="A402" s="9" t="s">
        <v>625</v>
      </c>
      <c r="B402" s="12">
        <f>IF(LEFT(H402,5)="VALID",M402,"")</f>
        <v>49</v>
      </c>
      <c r="C402" s="12">
        <f>IF(LEFT(H402,5)="VALID",N402,"")</f>
        <v>49</v>
      </c>
      <c r="D402" s="10" t="s">
        <v>82</v>
      </c>
      <c r="E402" s="10" t="s">
        <v>579</v>
      </c>
      <c r="F402" s="10" t="s">
        <v>233</v>
      </c>
      <c r="G402" s="10" t="s">
        <v>219</v>
      </c>
      <c r="H402" s="11" t="str">
        <f>IF(OR(M402&lt;=0,N402&lt;=0),"SKIPPED - NONPOSITIVE",IF(OR(M402&lt;L402,N402&lt;L402),"SKIPPED - BELOW MIN",IF(OR(M402&gt;J402,N402&gt;K402),"SKIPPED - EXCEEDS BASE",IF(COUNTIFS($M$357:M401,M402,$N$357:N401,N402)&gt;0,"SKIPPED - DUPLICATE","VALID - GENERATED"))))</f>
        <v>VALID - GENERATED</v>
      </c>
      <c r="I402" s="10" t="s">
        <v>580</v>
      </c>
      <c r="J402" s="12">
        <f>'05-ISO Reference'!$B$10</f>
        <v>148</v>
      </c>
      <c r="K402" s="12">
        <f>'05-ISO Reference'!$C$10</f>
        <v>210</v>
      </c>
      <c r="L402" s="12">
        <f>'01-Process Controls'!$G$5</f>
        <v>3</v>
      </c>
      <c r="M402" s="12">
        <f>ROUNDDOWN(MIN(J402,K402)*'04-Variant Rules'!$D$50,0)</f>
        <v>49</v>
      </c>
      <c r="N402" s="12">
        <f>ROUNDDOWN(MIN(J402,K402)*'04-Variant Rules'!$D$50,0)</f>
        <v>49</v>
      </c>
      <c r="O402" s="9">
        <v>45</v>
      </c>
    </row>
    <row r="403" spans="1:15" ht="21" customHeight="1">
      <c r="A403" s="9" t="s">
        <v>626</v>
      </c>
      <c r="B403" s="12">
        <f>IF(LEFT(H403,5)="VALID",M403,"")</f>
        <v>37</v>
      </c>
      <c r="C403" s="12">
        <f>IF(LEFT(H403,5)="VALID",N403,"")</f>
        <v>37</v>
      </c>
      <c r="D403" s="10" t="s">
        <v>82</v>
      </c>
      <c r="E403" s="10" t="s">
        <v>579</v>
      </c>
      <c r="F403" s="10" t="s">
        <v>235</v>
      </c>
      <c r="G403" s="10" t="s">
        <v>219</v>
      </c>
      <c r="H403" s="11" t="str">
        <f>IF(OR(M403&lt;=0,N403&lt;=0),"SKIPPED - NONPOSITIVE",IF(OR(M403&lt;L403,N403&lt;L403),"SKIPPED - BELOW MIN",IF(OR(M403&gt;J403,N403&gt;K403),"SKIPPED - EXCEEDS BASE",IF(COUNTIFS($M$357:M402,M403,$N$357:N402,N403)&gt;0,"SKIPPED - DUPLICATE","VALID - GENERATED"))))</f>
        <v>VALID - GENERATED</v>
      </c>
      <c r="I403" s="10" t="s">
        <v>580</v>
      </c>
      <c r="J403" s="12">
        <f>'05-ISO Reference'!$B$10</f>
        <v>148</v>
      </c>
      <c r="K403" s="12">
        <f>'05-ISO Reference'!$C$10</f>
        <v>210</v>
      </c>
      <c r="L403" s="12">
        <f>'01-Process Controls'!$G$5</f>
        <v>3</v>
      </c>
      <c r="M403" s="12">
        <f>ROUNDDOWN(MIN(J403,K403)*'04-Variant Rules'!$D$51,0)</f>
        <v>37</v>
      </c>
      <c r="N403" s="12">
        <f>ROUNDDOWN(MIN(J403,K403)*'04-Variant Rules'!$D$51,0)</f>
        <v>37</v>
      </c>
      <c r="O403" s="9">
        <v>46</v>
      </c>
    </row>
    <row r="404" spans="1:15" ht="21" customHeight="1">
      <c r="A404" s="9" t="s">
        <v>627</v>
      </c>
      <c r="B404" s="12">
        <f>IF(LEFT(H404,5)="VALID",M404,"")</f>
        <v>29</v>
      </c>
      <c r="C404" s="12">
        <f>IF(LEFT(H404,5)="VALID",N404,"")</f>
        <v>29</v>
      </c>
      <c r="D404" s="10" t="s">
        <v>82</v>
      </c>
      <c r="E404" s="10" t="s">
        <v>579</v>
      </c>
      <c r="F404" s="10" t="s">
        <v>237</v>
      </c>
      <c r="G404" s="10" t="s">
        <v>219</v>
      </c>
      <c r="H404" s="11" t="str">
        <f>IF(OR(M404&lt;=0,N404&lt;=0),"SKIPPED - NONPOSITIVE",IF(OR(M404&lt;L404,N404&lt;L404),"SKIPPED - BELOW MIN",IF(OR(M404&gt;J404,N404&gt;K404),"SKIPPED - EXCEEDS BASE",IF(COUNTIFS($M$357:M403,M404,$N$357:N403,N404)&gt;0,"SKIPPED - DUPLICATE","VALID - GENERATED"))))</f>
        <v>VALID - GENERATED</v>
      </c>
      <c r="I404" s="10" t="s">
        <v>580</v>
      </c>
      <c r="J404" s="12">
        <f>'05-ISO Reference'!$B$10</f>
        <v>148</v>
      </c>
      <c r="K404" s="12">
        <f>'05-ISO Reference'!$C$10</f>
        <v>210</v>
      </c>
      <c r="L404" s="12">
        <f>'01-Process Controls'!$G$5</f>
        <v>3</v>
      </c>
      <c r="M404" s="12">
        <f>ROUNDDOWN(MIN(J404,K404)*'04-Variant Rules'!$D$52,0)</f>
        <v>29</v>
      </c>
      <c r="N404" s="12">
        <f>ROUNDDOWN(MIN(J404,K404)*'04-Variant Rules'!$D$52,0)</f>
        <v>29</v>
      </c>
      <c r="O404" s="9">
        <v>47</v>
      </c>
    </row>
    <row r="405" spans="1:15" ht="21" customHeight="1">
      <c r="A405" s="9" t="s">
        <v>628</v>
      </c>
      <c r="B405" s="12">
        <f>IF(LEFT(H405,5)="VALID",M405,"")</f>
        <v>148</v>
      </c>
      <c r="C405" s="12">
        <f>IF(LEFT(H405,5)="VALID",N405,"")</f>
        <v>111</v>
      </c>
      <c r="D405" s="10" t="s">
        <v>82</v>
      </c>
      <c r="E405" s="10" t="s">
        <v>579</v>
      </c>
      <c r="F405" s="10" t="s">
        <v>239</v>
      </c>
      <c r="G405" s="10" t="s">
        <v>240</v>
      </c>
      <c r="H405" s="11" t="str">
        <f>IF(OR(M405&lt;=0,N405&lt;=0),"SKIPPED - NONPOSITIVE",IF(OR(M405&lt;L405,N405&lt;L405),"SKIPPED - BELOW MIN",IF(OR(M405&gt;J405,N405&gt;K405),"SKIPPED - EXCEEDS BASE",IF(COUNTIFS($M$357:M404,M405,$N$357:N404,N405)&gt;0,"SKIPPED - DUPLICATE","VALID - GENERATED"))))</f>
        <v>VALID - GENERATED</v>
      </c>
      <c r="I405" s="10" t="s">
        <v>580</v>
      </c>
      <c r="J405" s="12">
        <f>'05-ISO Reference'!$B$10</f>
        <v>148</v>
      </c>
      <c r="K405" s="12">
        <f>'05-ISO Reference'!$C$10</f>
        <v>210</v>
      </c>
      <c r="L405" s="12">
        <f>'01-Process Controls'!$G$5</f>
        <v>3</v>
      </c>
      <c r="M405" s="12">
        <f>ROUNDDOWN(MIN(J405,K405*'04-Variant Rules'!$D$53),0)</f>
        <v>148</v>
      </c>
      <c r="N405" s="12">
        <f>ROUNDDOWN(M405/'04-Variant Rules'!$D$53,0)</f>
        <v>111</v>
      </c>
      <c r="O405" s="9">
        <v>48</v>
      </c>
    </row>
    <row r="406" spans="1:15" ht="21" customHeight="1">
      <c r="A406" s="9" t="s">
        <v>629</v>
      </c>
      <c r="B406" s="12">
        <f>IF(LEFT(H406,5)="VALID",M406,"")</f>
        <v>148</v>
      </c>
      <c r="C406" s="12">
        <f>IF(LEFT(H406,5)="VALID",N406,"")</f>
        <v>197</v>
      </c>
      <c r="D406" s="10" t="s">
        <v>82</v>
      </c>
      <c r="E406" s="10" t="s">
        <v>579</v>
      </c>
      <c r="F406" s="10" t="s">
        <v>242</v>
      </c>
      <c r="G406" s="10" t="s">
        <v>243</v>
      </c>
      <c r="H406" s="11" t="str">
        <f>IF(OR(M406&lt;=0,N406&lt;=0),"SKIPPED - NONPOSITIVE",IF(OR(M406&lt;L406,N406&lt;L406),"SKIPPED - BELOW MIN",IF(OR(M406&gt;J406,N406&gt;K406),"SKIPPED - EXCEEDS BASE",IF(COUNTIFS($M$357:M405,M406,$N$357:N405,N406)&gt;0,"SKIPPED - DUPLICATE","VALID - GENERATED"))))</f>
        <v>VALID - GENERATED</v>
      </c>
      <c r="I406" s="10" t="s">
        <v>580</v>
      </c>
      <c r="J406" s="12">
        <f>'05-ISO Reference'!$B$10</f>
        <v>148</v>
      </c>
      <c r="K406" s="12">
        <f>'05-ISO Reference'!$C$10</f>
        <v>210</v>
      </c>
      <c r="L406" s="12">
        <f>'01-Process Controls'!$G$5</f>
        <v>3</v>
      </c>
      <c r="M406" s="12">
        <f>ROUNDDOWN(MIN(J406,K406*'04-Variant Rules'!$D$54),0)</f>
        <v>148</v>
      </c>
      <c r="N406" s="12">
        <f>ROUNDDOWN(M406/'04-Variant Rules'!$D$54,0)</f>
        <v>197</v>
      </c>
      <c r="O406" s="9">
        <v>49</v>
      </c>
    </row>
    <row r="407" spans="1:15" ht="21" customHeight="1">
      <c r="A407" s="9" t="s">
        <v>630</v>
      </c>
      <c r="B407" s="12">
        <f>IF(LEFT(H407,5)="VALID",M407,"")</f>
        <v>148</v>
      </c>
      <c r="C407" s="12">
        <f>IF(LEFT(H407,5)="VALID",N407,"")</f>
        <v>98</v>
      </c>
      <c r="D407" s="10" t="s">
        <v>82</v>
      </c>
      <c r="E407" s="10" t="s">
        <v>579</v>
      </c>
      <c r="F407" s="10" t="s">
        <v>245</v>
      </c>
      <c r="G407" s="10" t="s">
        <v>246</v>
      </c>
      <c r="H407" s="11" t="str">
        <f>IF(OR(M407&lt;=0,N407&lt;=0),"SKIPPED - NONPOSITIVE",IF(OR(M407&lt;L407,N407&lt;L407),"SKIPPED - BELOW MIN",IF(OR(M407&gt;J407,N407&gt;K407),"SKIPPED - EXCEEDS BASE",IF(COUNTIFS($M$357:M406,M407,$N$357:N406,N407)&gt;0,"SKIPPED - DUPLICATE","VALID - GENERATED"))))</f>
        <v>VALID - GENERATED</v>
      </c>
      <c r="I407" s="10" t="s">
        <v>580</v>
      </c>
      <c r="J407" s="12">
        <f>'05-ISO Reference'!$B$10</f>
        <v>148</v>
      </c>
      <c r="K407" s="12">
        <f>'05-ISO Reference'!$C$10</f>
        <v>210</v>
      </c>
      <c r="L407" s="12">
        <f>'01-Process Controls'!$G$5</f>
        <v>3</v>
      </c>
      <c r="M407" s="12">
        <f>ROUNDDOWN(MIN(J407,K407*'04-Variant Rules'!$D$55),0)</f>
        <v>148</v>
      </c>
      <c r="N407" s="12">
        <f>ROUNDDOWN(M407/'04-Variant Rules'!$D$55,0)</f>
        <v>98</v>
      </c>
      <c r="O407" s="9">
        <v>50</v>
      </c>
    </row>
    <row r="408" spans="1:15" ht="21" customHeight="1">
      <c r="A408" s="9" t="s">
        <v>631</v>
      </c>
      <c r="B408" s="12">
        <f>IF(LEFT(H408,5)="VALID",M408,"")</f>
        <v>140</v>
      </c>
      <c r="C408" s="12">
        <f>IF(LEFT(H408,5)="VALID",N408,"")</f>
        <v>210</v>
      </c>
      <c r="D408" s="10" t="s">
        <v>82</v>
      </c>
      <c r="E408" s="10" t="s">
        <v>579</v>
      </c>
      <c r="F408" s="10" t="s">
        <v>248</v>
      </c>
      <c r="G408" s="10" t="s">
        <v>249</v>
      </c>
      <c r="H408" s="11" t="str">
        <f>IF(OR(M408&lt;=0,N408&lt;=0),"SKIPPED - NONPOSITIVE",IF(OR(M408&lt;L408,N408&lt;L408),"SKIPPED - BELOW MIN",IF(OR(M408&gt;J408,N408&gt;K408),"SKIPPED - EXCEEDS BASE",IF(COUNTIFS($M$357:M407,M408,$N$357:N407,N408)&gt;0,"SKIPPED - DUPLICATE","VALID - GENERATED"))))</f>
        <v>VALID - GENERATED</v>
      </c>
      <c r="I408" s="10" t="s">
        <v>580</v>
      </c>
      <c r="J408" s="12">
        <f>'05-ISO Reference'!$B$10</f>
        <v>148</v>
      </c>
      <c r="K408" s="12">
        <f>'05-ISO Reference'!$C$10</f>
        <v>210</v>
      </c>
      <c r="L408" s="12">
        <f>'01-Process Controls'!$G$5</f>
        <v>3</v>
      </c>
      <c r="M408" s="12">
        <f>ROUNDDOWN(MIN(J408,K408*'04-Variant Rules'!$D$56),0)</f>
        <v>140</v>
      </c>
      <c r="N408" s="12">
        <f>ROUNDDOWN(M408/'04-Variant Rules'!$D$56,0)</f>
        <v>210</v>
      </c>
      <c r="O408" s="9">
        <v>51</v>
      </c>
    </row>
    <row r="409" spans="1:15" ht="21" customHeight="1">
      <c r="A409" s="9" t="s">
        <v>632</v>
      </c>
      <c r="B409" s="12">
        <f>IF(LEFT(H409,5)="VALID",M409,"")</f>
        <v>148</v>
      </c>
      <c r="C409" s="12">
        <f>IF(LEFT(H409,5)="VALID",N409,"")</f>
        <v>83</v>
      </c>
      <c r="D409" s="10" t="s">
        <v>82</v>
      </c>
      <c r="E409" s="10" t="s">
        <v>579</v>
      </c>
      <c r="F409" s="10" t="s">
        <v>251</v>
      </c>
      <c r="G409" s="10" t="s">
        <v>252</v>
      </c>
      <c r="H409" s="11" t="str">
        <f>IF(OR(M409&lt;=0,N409&lt;=0),"SKIPPED - NONPOSITIVE",IF(OR(M409&lt;L409,N409&lt;L409),"SKIPPED - BELOW MIN",IF(OR(M409&gt;J409,N409&gt;K409),"SKIPPED - EXCEEDS BASE",IF(COUNTIFS($M$357:M408,M409,$N$357:N408,N409)&gt;0,"SKIPPED - DUPLICATE","VALID - GENERATED"))))</f>
        <v>VALID - GENERATED</v>
      </c>
      <c r="I409" s="10" t="s">
        <v>580</v>
      </c>
      <c r="J409" s="12">
        <f>'05-ISO Reference'!$B$10</f>
        <v>148</v>
      </c>
      <c r="K409" s="12">
        <f>'05-ISO Reference'!$C$10</f>
        <v>210</v>
      </c>
      <c r="L409" s="12">
        <f>'01-Process Controls'!$G$5</f>
        <v>3</v>
      </c>
      <c r="M409" s="12">
        <f>ROUNDDOWN(MIN(J409,K409*'04-Variant Rules'!$D$57),0)</f>
        <v>148</v>
      </c>
      <c r="N409" s="12">
        <f>ROUNDDOWN(M409/'04-Variant Rules'!$D$57,0)</f>
        <v>83</v>
      </c>
      <c r="O409" s="9">
        <v>52</v>
      </c>
    </row>
    <row r="410" spans="1:15" ht="21" customHeight="1">
      <c r="A410" s="9" t="s">
        <v>633</v>
      </c>
      <c r="B410" s="12">
        <f>IF(LEFT(H410,5)="VALID",M410,"")</f>
        <v>118</v>
      </c>
      <c r="C410" s="12">
        <f>IF(LEFT(H410,5)="VALID",N410,"")</f>
        <v>209</v>
      </c>
      <c r="D410" s="10" t="s">
        <v>82</v>
      </c>
      <c r="E410" s="10" t="s">
        <v>579</v>
      </c>
      <c r="F410" s="10" t="s">
        <v>254</v>
      </c>
      <c r="G410" s="10" t="s">
        <v>255</v>
      </c>
      <c r="H410" s="11" t="str">
        <f>IF(OR(M410&lt;=0,N410&lt;=0),"SKIPPED - NONPOSITIVE",IF(OR(M410&lt;L410,N410&lt;L410),"SKIPPED - BELOW MIN",IF(OR(M410&gt;J410,N410&gt;K410),"SKIPPED - EXCEEDS BASE",IF(COUNTIFS($M$357:M409,M410,$N$357:N409,N410)&gt;0,"SKIPPED - DUPLICATE","VALID - GENERATED"))))</f>
        <v>VALID - GENERATED</v>
      </c>
      <c r="I410" s="10" t="s">
        <v>580</v>
      </c>
      <c r="J410" s="12">
        <f>'05-ISO Reference'!$B$10</f>
        <v>148</v>
      </c>
      <c r="K410" s="12">
        <f>'05-ISO Reference'!$C$10</f>
        <v>210</v>
      </c>
      <c r="L410" s="12">
        <f>'01-Process Controls'!$G$5</f>
        <v>3</v>
      </c>
      <c r="M410" s="12">
        <f>ROUNDDOWN(MIN(J410,K410*'04-Variant Rules'!$D$58),0)</f>
        <v>118</v>
      </c>
      <c r="N410" s="12">
        <f>ROUNDDOWN(M410/'04-Variant Rules'!$D$58,0)</f>
        <v>209</v>
      </c>
      <c r="O410" s="9">
        <v>53</v>
      </c>
    </row>
    <row r="411" spans="1:15" ht="21" customHeight="1">
      <c r="A411" s="9" t="s">
        <v>634</v>
      </c>
      <c r="B411" s="12">
        <f>IF(LEFT(H411,5)="VALID",M411,"")</f>
        <v>148</v>
      </c>
      <c r="C411" s="12">
        <f>IF(LEFT(H411,5)="VALID",N411,"")</f>
        <v>74</v>
      </c>
      <c r="D411" s="10" t="s">
        <v>82</v>
      </c>
      <c r="E411" s="10" t="s">
        <v>579</v>
      </c>
      <c r="F411" s="10" t="s">
        <v>257</v>
      </c>
      <c r="G411" s="10" t="s">
        <v>258</v>
      </c>
      <c r="H411" s="11" t="str">
        <f>IF(OR(M411&lt;=0,N411&lt;=0),"SKIPPED - NONPOSITIVE",IF(OR(M411&lt;L411,N411&lt;L411),"SKIPPED - BELOW MIN",IF(OR(M411&gt;J411,N411&gt;K411),"SKIPPED - EXCEEDS BASE",IF(COUNTIFS($M$357:M410,M411,$N$357:N410,N411)&gt;0,"SKIPPED - DUPLICATE","VALID - GENERATED"))))</f>
        <v>VALID - GENERATED</v>
      </c>
      <c r="I411" s="10" t="s">
        <v>580</v>
      </c>
      <c r="J411" s="12">
        <f>'05-ISO Reference'!$B$10</f>
        <v>148</v>
      </c>
      <c r="K411" s="12">
        <f>'05-ISO Reference'!$C$10</f>
        <v>210</v>
      </c>
      <c r="L411" s="12">
        <f>'01-Process Controls'!$G$5</f>
        <v>3</v>
      </c>
      <c r="M411" s="12">
        <f>ROUNDDOWN(MIN(J411,K411*'04-Variant Rules'!$D$59),0)</f>
        <v>148</v>
      </c>
      <c r="N411" s="12">
        <f>ROUNDDOWN(M411/'04-Variant Rules'!$D$59,0)</f>
        <v>74</v>
      </c>
      <c r="O411" s="9">
        <v>54</v>
      </c>
    </row>
    <row r="412" spans="1:15" ht="21" customHeight="1">
      <c r="A412" s="9" t="s">
        <v>635</v>
      </c>
      <c r="B412" s="12">
        <f>IF(LEFT(H412,5)="VALID",M412,"")</f>
        <v>105</v>
      </c>
      <c r="C412" s="12">
        <f>IF(LEFT(H412,5)="VALID",N412,"")</f>
        <v>210</v>
      </c>
      <c r="D412" s="10" t="s">
        <v>82</v>
      </c>
      <c r="E412" s="10" t="s">
        <v>579</v>
      </c>
      <c r="F412" s="10" t="s">
        <v>260</v>
      </c>
      <c r="G412" s="10" t="s">
        <v>261</v>
      </c>
      <c r="H412" s="11" t="str">
        <f>IF(OR(M412&lt;=0,N412&lt;=0),"SKIPPED - NONPOSITIVE",IF(OR(M412&lt;L412,N412&lt;L412),"SKIPPED - BELOW MIN",IF(OR(M412&gt;J412,N412&gt;K412),"SKIPPED - EXCEEDS BASE",IF(COUNTIFS($M$357:M411,M412,$N$357:N411,N412)&gt;0,"SKIPPED - DUPLICATE","VALID - GENERATED"))))</f>
        <v>VALID - GENERATED</v>
      </c>
      <c r="I412" s="10" t="s">
        <v>580</v>
      </c>
      <c r="J412" s="12">
        <f>'05-ISO Reference'!$B$10</f>
        <v>148</v>
      </c>
      <c r="K412" s="12">
        <f>'05-ISO Reference'!$C$10</f>
        <v>210</v>
      </c>
      <c r="L412" s="12">
        <f>'01-Process Controls'!$G$5</f>
        <v>3</v>
      </c>
      <c r="M412" s="12">
        <f>ROUNDDOWN(MIN(J412,K412*'04-Variant Rules'!$D$60),0)</f>
        <v>105</v>
      </c>
      <c r="N412" s="12">
        <f>ROUNDDOWN(M412/'04-Variant Rules'!$D$60,0)</f>
        <v>210</v>
      </c>
      <c r="O412" s="9">
        <v>55</v>
      </c>
    </row>
    <row r="413" spans="1:15" ht="21" customHeight="1">
      <c r="A413" s="9" t="s">
        <v>636</v>
      </c>
      <c r="B413" s="48"/>
      <c r="C413" s="48"/>
      <c r="D413" s="10" t="s">
        <v>263</v>
      </c>
      <c r="E413" s="10" t="s">
        <v>637</v>
      </c>
      <c r="F413" s="10" t="s">
        <v>265</v>
      </c>
      <c r="G413" s="10" t="s">
        <v>266</v>
      </c>
      <c r="H413" s="11" t="str">
        <f>IF(AND(B413="",C413=""),"CUSTOM BLANK",IF(OR(B413="",C413=""),"ERROR - ENTER BOTH",IF(OR(B413&lt;=0,C413&lt;=0),"ERROR - NONPOSITIVE",IF(OR(B413&lt;L413,C413&lt;L413),"ERROR - BELOW MIN",IF(OR(AND(B413&lt;=J413,C413&lt;=K413),AND(B413&lt;=K413,C413&lt;=J413)),"VALID - CUSTOM","ERROR - EXCEEDS BASE")))))</f>
        <v>CUSTOM BLANK</v>
      </c>
      <c r="I413" s="10" t="s">
        <v>267</v>
      </c>
      <c r="J413" s="12">
        <f>'05-ISO Reference'!$B$10</f>
        <v>148</v>
      </c>
      <c r="K413" s="12">
        <f>'05-ISO Reference'!$C$10</f>
        <v>210</v>
      </c>
      <c r="L413" s="12">
        <f>'01-Process Controls'!$G$5</f>
        <v>3</v>
      </c>
      <c r="M413" s="8"/>
      <c r="N413" s="8"/>
    </row>
    <row r="414" spans="1:15" ht="21" customHeight="1">
      <c r="A414" s="9" t="s">
        <v>638</v>
      </c>
      <c r="B414" s="48"/>
      <c r="C414" s="48"/>
      <c r="D414" s="10" t="s">
        <v>263</v>
      </c>
      <c r="E414" s="10" t="s">
        <v>637</v>
      </c>
      <c r="F414" s="10" t="s">
        <v>265</v>
      </c>
      <c r="G414" s="10" t="s">
        <v>266</v>
      </c>
      <c r="H414" s="11" t="str">
        <f>IF(AND(B414="",C414=""),"CUSTOM BLANK",IF(OR(B414="",C414=""),"ERROR - ENTER BOTH",IF(OR(B414&lt;=0,C414&lt;=0),"ERROR - NONPOSITIVE",IF(OR(B414&lt;L414,C414&lt;L414),"ERROR - BELOW MIN",IF(OR(AND(B414&lt;=J414,C414&lt;=K414),AND(B414&lt;=K414,C414&lt;=J414)),"VALID - CUSTOM","ERROR - EXCEEDS BASE")))))</f>
        <v>CUSTOM BLANK</v>
      </c>
      <c r="I414" s="10" t="s">
        <v>267</v>
      </c>
      <c r="J414" s="12">
        <f>'05-ISO Reference'!$B$10</f>
        <v>148</v>
      </c>
      <c r="K414" s="12">
        <f>'05-ISO Reference'!$C$10</f>
        <v>210</v>
      </c>
      <c r="L414" s="12">
        <f>'01-Process Controls'!$G$5</f>
        <v>3</v>
      </c>
      <c r="M414" s="8"/>
      <c r="N414" s="8"/>
    </row>
    <row r="415" spans="1:15" ht="21" customHeight="1">
      <c r="A415" s="9" t="s">
        <v>639</v>
      </c>
      <c r="B415" s="48"/>
      <c r="C415" s="48"/>
      <c r="D415" s="10" t="s">
        <v>263</v>
      </c>
      <c r="E415" s="10" t="s">
        <v>637</v>
      </c>
      <c r="F415" s="10" t="s">
        <v>265</v>
      </c>
      <c r="G415" s="10" t="s">
        <v>266</v>
      </c>
      <c r="H415" s="11" t="str">
        <f>IF(AND(B415="",C415=""),"CUSTOM BLANK",IF(OR(B415="",C415=""),"ERROR - ENTER BOTH",IF(OR(B415&lt;=0,C415&lt;=0),"ERROR - NONPOSITIVE",IF(OR(B415&lt;L415,C415&lt;L415),"ERROR - BELOW MIN",IF(OR(AND(B415&lt;=J415,C415&lt;=K415),AND(B415&lt;=K415,C415&lt;=J415)),"VALID - CUSTOM","ERROR - EXCEEDS BASE")))))</f>
        <v>CUSTOM BLANK</v>
      </c>
      <c r="I415" s="10" t="s">
        <v>267</v>
      </c>
      <c r="J415" s="12">
        <f>'05-ISO Reference'!$B$10</f>
        <v>148</v>
      </c>
      <c r="K415" s="12">
        <f>'05-ISO Reference'!$C$10</f>
        <v>210</v>
      </c>
      <c r="L415" s="12">
        <f>'01-Process Controls'!$G$5</f>
        <v>3</v>
      </c>
      <c r="M415" s="8"/>
      <c r="N415" s="8"/>
    </row>
    <row r="416" spans="1:15" ht="21" customHeight="1">
      <c r="A416" s="9" t="s">
        <v>640</v>
      </c>
      <c r="B416" s="48"/>
      <c r="C416" s="48"/>
      <c r="D416" s="10" t="s">
        <v>263</v>
      </c>
      <c r="E416" s="10" t="s">
        <v>637</v>
      </c>
      <c r="F416" s="10" t="s">
        <v>265</v>
      </c>
      <c r="G416" s="10" t="s">
        <v>266</v>
      </c>
      <c r="H416" s="11" t="str">
        <f>IF(AND(B416="",C416=""),"CUSTOM BLANK",IF(OR(B416="",C416=""),"ERROR - ENTER BOTH",IF(OR(B416&lt;=0,C416&lt;=0),"ERROR - NONPOSITIVE",IF(OR(B416&lt;L416,C416&lt;L416),"ERROR - BELOW MIN",IF(OR(AND(B416&lt;=J416,C416&lt;=K416),AND(B416&lt;=K416,C416&lt;=J416)),"VALID - CUSTOM","ERROR - EXCEEDS BASE")))))</f>
        <v>CUSTOM BLANK</v>
      </c>
      <c r="I416" s="10" t="s">
        <v>267</v>
      </c>
      <c r="J416" s="12">
        <f>'05-ISO Reference'!$B$10</f>
        <v>148</v>
      </c>
      <c r="K416" s="12">
        <f>'05-ISO Reference'!$C$10</f>
        <v>210</v>
      </c>
      <c r="L416" s="12">
        <f>'01-Process Controls'!$G$5</f>
        <v>3</v>
      </c>
      <c r="M416" s="8"/>
      <c r="N416" s="8"/>
    </row>
    <row r="417" spans="1:15" ht="21" customHeight="1">
      <c r="A417" s="9" t="s">
        <v>641</v>
      </c>
      <c r="B417" s="48"/>
      <c r="C417" s="48"/>
      <c r="D417" s="10" t="s">
        <v>263</v>
      </c>
      <c r="E417" s="10" t="s">
        <v>637</v>
      </c>
      <c r="F417" s="10" t="s">
        <v>265</v>
      </c>
      <c r="G417" s="10" t="s">
        <v>266</v>
      </c>
      <c r="H417" s="11" t="str">
        <f>IF(AND(B417="",C417=""),"CUSTOM BLANK",IF(OR(B417="",C417=""),"ERROR - ENTER BOTH",IF(OR(B417&lt;=0,C417&lt;=0),"ERROR - NONPOSITIVE",IF(OR(B417&lt;L417,C417&lt;L417),"ERROR - BELOW MIN",IF(OR(AND(B417&lt;=J417,C417&lt;=K417),AND(B417&lt;=K417,C417&lt;=J417)),"VALID - CUSTOM","ERROR - EXCEEDS BASE")))))</f>
        <v>CUSTOM BLANK</v>
      </c>
      <c r="I417" s="10" t="s">
        <v>267</v>
      </c>
      <c r="J417" s="12">
        <f>'05-ISO Reference'!$B$10</f>
        <v>148</v>
      </c>
      <c r="K417" s="12">
        <f>'05-ISO Reference'!$C$10</f>
        <v>210</v>
      </c>
      <c r="L417" s="12">
        <f>'01-Process Controls'!$G$5</f>
        <v>3</v>
      </c>
      <c r="M417" s="8"/>
      <c r="N417" s="8"/>
    </row>
    <row r="418" spans="1:15" ht="21" customHeight="1">
      <c r="A418" s="9" t="s">
        <v>642</v>
      </c>
      <c r="B418" s="48"/>
      <c r="C418" s="48"/>
      <c r="D418" s="10" t="s">
        <v>263</v>
      </c>
      <c r="E418" s="10" t="s">
        <v>637</v>
      </c>
      <c r="F418" s="10" t="s">
        <v>265</v>
      </c>
      <c r="G418" s="10" t="s">
        <v>266</v>
      </c>
      <c r="H418" s="11" t="str">
        <f>IF(AND(B418="",C418=""),"CUSTOM BLANK",IF(OR(B418="",C418=""),"ERROR - ENTER BOTH",IF(OR(B418&lt;=0,C418&lt;=0),"ERROR - NONPOSITIVE",IF(OR(B418&lt;L418,C418&lt;L418),"ERROR - BELOW MIN",IF(OR(AND(B418&lt;=J418,C418&lt;=K418),AND(B418&lt;=K418,C418&lt;=J418)),"VALID - CUSTOM","ERROR - EXCEEDS BASE")))))</f>
        <v>CUSTOM BLANK</v>
      </c>
      <c r="I418" s="10" t="s">
        <v>267</v>
      </c>
      <c r="J418" s="12">
        <f>'05-ISO Reference'!$B$10</f>
        <v>148</v>
      </c>
      <c r="K418" s="12">
        <f>'05-ISO Reference'!$C$10</f>
        <v>210</v>
      </c>
      <c r="L418" s="12">
        <f>'01-Process Controls'!$G$5</f>
        <v>3</v>
      </c>
      <c r="M418" s="8"/>
      <c r="N418" s="8"/>
    </row>
    <row r="419" spans="1:15" ht="21" customHeight="1">
      <c r="A419" s="9" t="s">
        <v>643</v>
      </c>
      <c r="B419" s="48"/>
      <c r="C419" s="48"/>
      <c r="D419" s="10" t="s">
        <v>263</v>
      </c>
      <c r="E419" s="10" t="s">
        <v>637</v>
      </c>
      <c r="F419" s="10" t="s">
        <v>265</v>
      </c>
      <c r="G419" s="10" t="s">
        <v>266</v>
      </c>
      <c r="H419" s="11" t="str">
        <f>IF(AND(B419="",C419=""),"CUSTOM BLANK",IF(OR(B419="",C419=""),"ERROR - ENTER BOTH",IF(OR(B419&lt;=0,C419&lt;=0),"ERROR - NONPOSITIVE",IF(OR(B419&lt;L419,C419&lt;L419),"ERROR - BELOW MIN",IF(OR(AND(B419&lt;=J419,C419&lt;=K419),AND(B419&lt;=K419,C419&lt;=J419)),"VALID - CUSTOM","ERROR - EXCEEDS BASE")))))</f>
        <v>CUSTOM BLANK</v>
      </c>
      <c r="I419" s="10" t="s">
        <v>267</v>
      </c>
      <c r="J419" s="12">
        <f>'05-ISO Reference'!$B$10</f>
        <v>148</v>
      </c>
      <c r="K419" s="12">
        <f>'05-ISO Reference'!$C$10</f>
        <v>210</v>
      </c>
      <c r="L419" s="12">
        <f>'01-Process Controls'!$G$5</f>
        <v>3</v>
      </c>
      <c r="M419" s="8"/>
      <c r="N419" s="8"/>
    </row>
    <row r="420" spans="1:15" ht="21" customHeight="1">
      <c r="A420" s="9" t="s">
        <v>644</v>
      </c>
      <c r="B420" s="48"/>
      <c r="C420" s="48"/>
      <c r="D420" s="10" t="s">
        <v>263</v>
      </c>
      <c r="E420" s="10" t="s">
        <v>637</v>
      </c>
      <c r="F420" s="10" t="s">
        <v>265</v>
      </c>
      <c r="G420" s="10" t="s">
        <v>266</v>
      </c>
      <c r="H420" s="11" t="str">
        <f>IF(AND(B420="",C420=""),"CUSTOM BLANK",IF(OR(B420="",C420=""),"ERROR - ENTER BOTH",IF(OR(B420&lt;=0,C420&lt;=0),"ERROR - NONPOSITIVE",IF(OR(B420&lt;L420,C420&lt;L420),"ERROR - BELOW MIN",IF(OR(AND(B420&lt;=J420,C420&lt;=K420),AND(B420&lt;=K420,C420&lt;=J420)),"VALID - CUSTOM","ERROR - EXCEEDS BASE")))))</f>
        <v>CUSTOM BLANK</v>
      </c>
      <c r="I420" s="10" t="s">
        <v>267</v>
      </c>
      <c r="J420" s="12">
        <f>'05-ISO Reference'!$B$10</f>
        <v>148</v>
      </c>
      <c r="K420" s="12">
        <f>'05-ISO Reference'!$C$10</f>
        <v>210</v>
      </c>
      <c r="L420" s="12">
        <f>'01-Process Controls'!$G$5</f>
        <v>3</v>
      </c>
      <c r="M420" s="8"/>
      <c r="N420" s="8"/>
    </row>
    <row r="421" spans="1:15" ht="21" customHeight="1">
      <c r="A421" s="9" t="s">
        <v>645</v>
      </c>
      <c r="B421" s="48"/>
      <c r="C421" s="48"/>
      <c r="D421" s="10" t="s">
        <v>263</v>
      </c>
      <c r="E421" s="10" t="s">
        <v>637</v>
      </c>
      <c r="F421" s="10" t="s">
        <v>265</v>
      </c>
      <c r="G421" s="10" t="s">
        <v>266</v>
      </c>
      <c r="H421" s="11" t="str">
        <f>IF(AND(B421="",C421=""),"CUSTOM BLANK",IF(OR(B421="",C421=""),"ERROR - ENTER BOTH",IF(OR(B421&lt;=0,C421&lt;=0),"ERROR - NONPOSITIVE",IF(OR(B421&lt;L421,C421&lt;L421),"ERROR - BELOW MIN",IF(OR(AND(B421&lt;=J421,C421&lt;=K421),AND(B421&lt;=K421,C421&lt;=J421)),"VALID - CUSTOM","ERROR - EXCEEDS BASE")))))</f>
        <v>CUSTOM BLANK</v>
      </c>
      <c r="I421" s="10" t="s">
        <v>267</v>
      </c>
      <c r="J421" s="12">
        <f>'05-ISO Reference'!$B$10</f>
        <v>148</v>
      </c>
      <c r="K421" s="12">
        <f>'05-ISO Reference'!$C$10</f>
        <v>210</v>
      </c>
      <c r="L421" s="12">
        <f>'01-Process Controls'!$G$5</f>
        <v>3</v>
      </c>
      <c r="M421" s="8"/>
      <c r="N421" s="8"/>
    </row>
    <row r="422" spans="1:15" ht="21" customHeight="1">
      <c r="A422" s="9" t="s">
        <v>646</v>
      </c>
      <c r="B422" s="48"/>
      <c r="C422" s="48"/>
      <c r="D422" s="10" t="s">
        <v>263</v>
      </c>
      <c r="E422" s="10" t="s">
        <v>637</v>
      </c>
      <c r="F422" s="10" t="s">
        <v>265</v>
      </c>
      <c r="G422" s="10" t="s">
        <v>266</v>
      </c>
      <c r="H422" s="11" t="str">
        <f>IF(AND(B422="",C422=""),"CUSTOM BLANK",IF(OR(B422="",C422=""),"ERROR - ENTER BOTH",IF(OR(B422&lt;=0,C422&lt;=0),"ERROR - NONPOSITIVE",IF(OR(B422&lt;L422,C422&lt;L422),"ERROR - BELOW MIN",IF(OR(AND(B422&lt;=J422,C422&lt;=K422),AND(B422&lt;=K422,C422&lt;=J422)),"VALID - CUSTOM","ERROR - EXCEEDS BASE")))))</f>
        <v>CUSTOM BLANK</v>
      </c>
      <c r="I422" s="10" t="s">
        <v>267</v>
      </c>
      <c r="J422" s="12">
        <f>'05-ISO Reference'!$B$10</f>
        <v>148</v>
      </c>
      <c r="K422" s="12">
        <f>'05-ISO Reference'!$C$10</f>
        <v>210</v>
      </c>
      <c r="L422" s="12">
        <f>'01-Process Controls'!$G$5</f>
        <v>3</v>
      </c>
      <c r="M422" s="8"/>
      <c r="N422" s="8"/>
    </row>
    <row r="423" spans="1:15" ht="21" customHeight="1">
      <c r="A423" s="9" t="s">
        <v>647</v>
      </c>
      <c r="B423" s="48"/>
      <c r="C423" s="48"/>
      <c r="D423" s="10" t="s">
        <v>263</v>
      </c>
      <c r="E423" s="10" t="s">
        <v>637</v>
      </c>
      <c r="F423" s="10" t="s">
        <v>265</v>
      </c>
      <c r="G423" s="10" t="s">
        <v>266</v>
      </c>
      <c r="H423" s="11" t="str">
        <f>IF(AND(B423="",C423=""),"CUSTOM BLANK",IF(OR(B423="",C423=""),"ERROR - ENTER BOTH",IF(OR(B423&lt;=0,C423&lt;=0),"ERROR - NONPOSITIVE",IF(OR(B423&lt;L423,C423&lt;L423),"ERROR - BELOW MIN",IF(OR(AND(B423&lt;=J423,C423&lt;=K423),AND(B423&lt;=K423,C423&lt;=J423)),"VALID - CUSTOM","ERROR - EXCEEDS BASE")))))</f>
        <v>CUSTOM BLANK</v>
      </c>
      <c r="I423" s="10" t="s">
        <v>267</v>
      </c>
      <c r="J423" s="12">
        <f>'05-ISO Reference'!$B$10</f>
        <v>148</v>
      </c>
      <c r="K423" s="12">
        <f>'05-ISO Reference'!$C$10</f>
        <v>210</v>
      </c>
      <c r="L423" s="12">
        <f>'01-Process Controls'!$G$5</f>
        <v>3</v>
      </c>
      <c r="M423" s="8"/>
      <c r="N423" s="8"/>
    </row>
    <row r="424" spans="1:15" ht="21" customHeight="1">
      <c r="A424" s="9" t="s">
        <v>648</v>
      </c>
      <c r="B424" s="48"/>
      <c r="C424" s="48"/>
      <c r="D424" s="10" t="s">
        <v>263</v>
      </c>
      <c r="E424" s="10" t="s">
        <v>637</v>
      </c>
      <c r="F424" s="10" t="s">
        <v>265</v>
      </c>
      <c r="G424" s="10" t="s">
        <v>266</v>
      </c>
      <c r="H424" s="11" t="str">
        <f>IF(AND(B424="",C424=""),"CUSTOM BLANK",IF(OR(B424="",C424=""),"ERROR - ENTER BOTH",IF(OR(B424&lt;=0,C424&lt;=0),"ERROR - NONPOSITIVE",IF(OR(B424&lt;L424,C424&lt;L424),"ERROR - BELOW MIN",IF(OR(AND(B424&lt;=J424,C424&lt;=K424),AND(B424&lt;=K424,C424&lt;=J424)),"VALID - CUSTOM","ERROR - EXCEEDS BASE")))))</f>
        <v>CUSTOM BLANK</v>
      </c>
      <c r="I424" s="10" t="s">
        <v>267</v>
      </c>
      <c r="J424" s="12">
        <f>'05-ISO Reference'!$B$10</f>
        <v>148</v>
      </c>
      <c r="K424" s="12">
        <f>'05-ISO Reference'!$C$10</f>
        <v>210</v>
      </c>
      <c r="L424" s="12">
        <f>'01-Process Controls'!$G$5</f>
        <v>3</v>
      </c>
      <c r="M424" s="8"/>
      <c r="N424" s="8"/>
    </row>
    <row r="425" spans="1:15" ht="21" customHeight="1">
      <c r="A425" s="9" t="s">
        <v>649</v>
      </c>
      <c r="B425" s="48"/>
      <c r="C425" s="48"/>
      <c r="D425" s="10" t="s">
        <v>263</v>
      </c>
      <c r="E425" s="10" t="s">
        <v>637</v>
      </c>
      <c r="F425" s="10" t="s">
        <v>265</v>
      </c>
      <c r="G425" s="10" t="s">
        <v>266</v>
      </c>
      <c r="H425" s="11" t="str">
        <f>IF(AND(B425="",C425=""),"CUSTOM BLANK",IF(OR(B425="",C425=""),"ERROR - ENTER BOTH",IF(OR(B425&lt;=0,C425&lt;=0),"ERROR - NONPOSITIVE",IF(OR(B425&lt;L425,C425&lt;L425),"ERROR - BELOW MIN",IF(OR(AND(B425&lt;=J425,C425&lt;=K425),AND(B425&lt;=K425,C425&lt;=J425)),"VALID - CUSTOM","ERROR - EXCEEDS BASE")))))</f>
        <v>CUSTOM BLANK</v>
      </c>
      <c r="I425" s="10" t="s">
        <v>267</v>
      </c>
      <c r="J425" s="12">
        <f>'05-ISO Reference'!$B$10</f>
        <v>148</v>
      </c>
      <c r="K425" s="12">
        <f>'05-ISO Reference'!$C$10</f>
        <v>210</v>
      </c>
      <c r="L425" s="12">
        <f>'01-Process Controls'!$G$5</f>
        <v>3</v>
      </c>
      <c r="M425" s="8"/>
      <c r="N425" s="8"/>
    </row>
    <row r="426" spans="1:15" ht="21" customHeight="1">
      <c r="A426" s="9" t="s">
        <v>650</v>
      </c>
      <c r="B426" s="48"/>
      <c r="C426" s="48"/>
      <c r="D426" s="10" t="s">
        <v>263</v>
      </c>
      <c r="E426" s="10" t="s">
        <v>637</v>
      </c>
      <c r="F426" s="10" t="s">
        <v>265</v>
      </c>
      <c r="G426" s="10" t="s">
        <v>266</v>
      </c>
      <c r="H426" s="11" t="str">
        <f>IF(AND(B426="",C426=""),"CUSTOM BLANK",IF(OR(B426="",C426=""),"ERROR - ENTER BOTH",IF(OR(B426&lt;=0,C426&lt;=0),"ERROR - NONPOSITIVE",IF(OR(B426&lt;L426,C426&lt;L426),"ERROR - BELOW MIN",IF(OR(AND(B426&lt;=J426,C426&lt;=K426),AND(B426&lt;=K426,C426&lt;=J426)),"VALID - CUSTOM","ERROR - EXCEEDS BASE")))))</f>
        <v>CUSTOM BLANK</v>
      </c>
      <c r="I426" s="10" t="s">
        <v>267</v>
      </c>
      <c r="J426" s="12">
        <f>'05-ISO Reference'!$B$10</f>
        <v>148</v>
      </c>
      <c r="K426" s="12">
        <f>'05-ISO Reference'!$C$10</f>
        <v>210</v>
      </c>
      <c r="L426" s="12">
        <f>'01-Process Controls'!$G$5</f>
        <v>3</v>
      </c>
      <c r="M426" s="8"/>
      <c r="N426" s="8"/>
    </row>
    <row r="427" spans="1:15" ht="21" customHeight="1">
      <c r="A427" s="9" t="s">
        <v>651</v>
      </c>
      <c r="B427" s="48"/>
      <c r="C427" s="48"/>
      <c r="D427" s="10" t="s">
        <v>263</v>
      </c>
      <c r="E427" s="10" t="s">
        <v>637</v>
      </c>
      <c r="F427" s="10" t="s">
        <v>265</v>
      </c>
      <c r="G427" s="10" t="s">
        <v>266</v>
      </c>
      <c r="H427" s="11" t="str">
        <f>IF(AND(B427="",C427=""),"CUSTOM BLANK",IF(OR(B427="",C427=""),"ERROR - ENTER BOTH",IF(OR(B427&lt;=0,C427&lt;=0),"ERROR - NONPOSITIVE",IF(OR(B427&lt;L427,C427&lt;L427),"ERROR - BELOW MIN",IF(OR(AND(B427&lt;=J427,C427&lt;=K427),AND(B427&lt;=K427,C427&lt;=J427)),"VALID - CUSTOM","ERROR - EXCEEDS BASE")))))</f>
        <v>CUSTOM BLANK</v>
      </c>
      <c r="I427" s="10" t="s">
        <v>267</v>
      </c>
      <c r="J427" s="12">
        <f>'05-ISO Reference'!$B$10</f>
        <v>148</v>
      </c>
      <c r="K427" s="12">
        <f>'05-ISO Reference'!$C$10</f>
        <v>210</v>
      </c>
      <c r="L427" s="12">
        <f>'01-Process Controls'!$G$5</f>
        <v>3</v>
      </c>
      <c r="M427" s="8"/>
      <c r="N427" s="8"/>
    </row>
    <row r="428" spans="1:15" ht="21" customHeight="1">
      <c r="A428" s="44" t="s">
        <v>652</v>
      </c>
      <c r="B428" s="45">
        <f>IF(LEFT(H428,5)="VALID",M428,"")</f>
        <v>105</v>
      </c>
      <c r="C428" s="45">
        <f>IF(LEFT(H428,5)="VALID",N428,"")</f>
        <v>148</v>
      </c>
      <c r="D428" s="46" t="s">
        <v>82</v>
      </c>
      <c r="E428" s="46" t="s">
        <v>653</v>
      </c>
      <c r="F428" s="46" t="s">
        <v>122</v>
      </c>
      <c r="G428" s="46" t="s">
        <v>123</v>
      </c>
      <c r="H428" s="47" t="str">
        <f>"VALID - BASE"</f>
        <v>VALID - BASE</v>
      </c>
      <c r="I428" s="46" t="s">
        <v>654</v>
      </c>
      <c r="J428" s="12">
        <f>'05-ISO Reference'!$B$11</f>
        <v>105</v>
      </c>
      <c r="K428" s="12">
        <f>'05-ISO Reference'!$C$11</f>
        <v>148</v>
      </c>
      <c r="L428" s="12">
        <f>'01-Process Controls'!$G$5</f>
        <v>3</v>
      </c>
      <c r="M428" s="12">
        <f>ROUNDDOWN(J428,0)</f>
        <v>105</v>
      </c>
      <c r="N428" s="12">
        <f>ROUNDDOWN(K428,0)</f>
        <v>148</v>
      </c>
      <c r="O428" s="9">
        <v>0</v>
      </c>
    </row>
    <row r="429" spans="1:15" ht="21" customHeight="1">
      <c r="A429" s="9" t="s">
        <v>655</v>
      </c>
      <c r="B429" s="12">
        <f>IF(LEFT(H429,5)="VALID",M429,"")</f>
        <v>52</v>
      </c>
      <c r="C429" s="12">
        <f>IF(LEFT(H429,5)="VALID",N429,"")</f>
        <v>148</v>
      </c>
      <c r="D429" s="10" t="s">
        <v>82</v>
      </c>
      <c r="E429" s="10" t="s">
        <v>653</v>
      </c>
      <c r="F429" s="10" t="s">
        <v>126</v>
      </c>
      <c r="G429" s="10" t="s">
        <v>127</v>
      </c>
      <c r="H429" s="11" t="str">
        <f>IF(OR(M429&lt;=0,N429&lt;=0),"SKIPPED - NONPOSITIVE",IF(OR(M429&lt;L429,N429&lt;L429),"SKIPPED - BELOW MIN",IF(OR(M429&gt;J429,N429&gt;K429),"SKIPPED - EXCEEDS BASE",IF(COUNTIFS($M$428:M428,M429,$N$428:N428,N429)&gt;0,"SKIPPED - DUPLICATE","VALID - GENERATED"))))</f>
        <v>VALID - GENERATED</v>
      </c>
      <c r="I429" s="10" t="s">
        <v>654</v>
      </c>
      <c r="J429" s="12">
        <f>'05-ISO Reference'!$B$11</f>
        <v>105</v>
      </c>
      <c r="K429" s="12">
        <f>'05-ISO Reference'!$C$11</f>
        <v>148</v>
      </c>
      <c r="L429" s="12">
        <f>'01-Process Controls'!$G$5</f>
        <v>3</v>
      </c>
      <c r="M429" s="12">
        <f>ROUNDDOWN(J429*'04-Variant Rules'!$D$6,0)</f>
        <v>52</v>
      </c>
      <c r="N429" s="12">
        <f>ROUNDDOWN(K429,0)</f>
        <v>148</v>
      </c>
      <c r="O429" s="9">
        <v>1</v>
      </c>
    </row>
    <row r="430" spans="1:15" ht="21" customHeight="1">
      <c r="A430" s="9" t="s">
        <v>656</v>
      </c>
      <c r="B430" s="12">
        <f>IF(LEFT(H430,5)="VALID",M430,"")</f>
        <v>35</v>
      </c>
      <c r="C430" s="12">
        <f>IF(LEFT(H430,5)="VALID",N430,"")</f>
        <v>148</v>
      </c>
      <c r="D430" s="10" t="s">
        <v>82</v>
      </c>
      <c r="E430" s="10" t="s">
        <v>653</v>
      </c>
      <c r="F430" s="10" t="s">
        <v>129</v>
      </c>
      <c r="G430" s="10" t="s">
        <v>130</v>
      </c>
      <c r="H430" s="11" t="str">
        <f>IF(OR(M430&lt;=0,N430&lt;=0),"SKIPPED - NONPOSITIVE",IF(OR(M430&lt;L430,N430&lt;L430),"SKIPPED - BELOW MIN",IF(OR(M430&gt;J430,N430&gt;K430),"SKIPPED - EXCEEDS BASE",IF(COUNTIFS($M$428:M429,M430,$N$428:N429,N430)&gt;0,"SKIPPED - DUPLICATE","VALID - GENERATED"))))</f>
        <v>VALID - GENERATED</v>
      </c>
      <c r="I430" s="10" t="s">
        <v>654</v>
      </c>
      <c r="J430" s="12">
        <f>'05-ISO Reference'!$B$11</f>
        <v>105</v>
      </c>
      <c r="K430" s="12">
        <f>'05-ISO Reference'!$C$11</f>
        <v>148</v>
      </c>
      <c r="L430" s="12">
        <f>'01-Process Controls'!$G$5</f>
        <v>3</v>
      </c>
      <c r="M430" s="12">
        <f>ROUNDDOWN(J430*'04-Variant Rules'!$D$7,0)</f>
        <v>35</v>
      </c>
      <c r="N430" s="12">
        <f>ROUNDDOWN(K430,0)</f>
        <v>148</v>
      </c>
      <c r="O430" s="9">
        <v>2</v>
      </c>
    </row>
    <row r="431" spans="1:15" ht="21" customHeight="1">
      <c r="A431" s="9" t="s">
        <v>657</v>
      </c>
      <c r="B431" s="12">
        <f>IF(LEFT(H431,5)="VALID",M431,"")</f>
        <v>26</v>
      </c>
      <c r="C431" s="12">
        <f>IF(LEFT(H431,5)="VALID",N431,"")</f>
        <v>148</v>
      </c>
      <c r="D431" s="10" t="s">
        <v>82</v>
      </c>
      <c r="E431" s="10" t="s">
        <v>653</v>
      </c>
      <c r="F431" s="10" t="s">
        <v>132</v>
      </c>
      <c r="G431" s="10" t="s">
        <v>133</v>
      </c>
      <c r="H431" s="11" t="str">
        <f>IF(OR(M431&lt;=0,N431&lt;=0),"SKIPPED - NONPOSITIVE",IF(OR(M431&lt;L431,N431&lt;L431),"SKIPPED - BELOW MIN",IF(OR(M431&gt;J431,N431&gt;K431),"SKIPPED - EXCEEDS BASE",IF(COUNTIFS($M$428:M430,M431,$N$428:N430,N431)&gt;0,"SKIPPED - DUPLICATE","VALID - GENERATED"))))</f>
        <v>VALID - GENERATED</v>
      </c>
      <c r="I431" s="10" t="s">
        <v>654</v>
      </c>
      <c r="J431" s="12">
        <f>'05-ISO Reference'!$B$11</f>
        <v>105</v>
      </c>
      <c r="K431" s="12">
        <f>'05-ISO Reference'!$C$11</f>
        <v>148</v>
      </c>
      <c r="L431" s="12">
        <f>'01-Process Controls'!$G$5</f>
        <v>3</v>
      </c>
      <c r="M431" s="12">
        <f>ROUNDDOWN(J431*'04-Variant Rules'!$D$8,0)</f>
        <v>26</v>
      </c>
      <c r="N431" s="12">
        <f>ROUNDDOWN(K431,0)</f>
        <v>148</v>
      </c>
      <c r="O431" s="9">
        <v>3</v>
      </c>
    </row>
    <row r="432" spans="1:15" ht="21" customHeight="1">
      <c r="A432" s="9" t="s">
        <v>658</v>
      </c>
      <c r="B432" s="12">
        <f>IF(LEFT(H432,5)="VALID",M432,"")</f>
        <v>70</v>
      </c>
      <c r="C432" s="12">
        <f>IF(LEFT(H432,5)="VALID",N432,"")</f>
        <v>148</v>
      </c>
      <c r="D432" s="10" t="s">
        <v>82</v>
      </c>
      <c r="E432" s="10" t="s">
        <v>653</v>
      </c>
      <c r="F432" s="10" t="s">
        <v>135</v>
      </c>
      <c r="G432" s="10" t="s">
        <v>136</v>
      </c>
      <c r="H432" s="11" t="str">
        <f>IF(OR(M432&lt;=0,N432&lt;=0),"SKIPPED - NONPOSITIVE",IF(OR(M432&lt;L432,N432&lt;L432),"SKIPPED - BELOW MIN",IF(OR(M432&gt;J432,N432&gt;K432),"SKIPPED - EXCEEDS BASE",IF(COUNTIFS($M$428:M431,M432,$N$428:N431,N432)&gt;0,"SKIPPED - DUPLICATE","VALID - GENERATED"))))</f>
        <v>VALID - GENERATED</v>
      </c>
      <c r="I432" s="10" t="s">
        <v>654</v>
      </c>
      <c r="J432" s="12">
        <f>'05-ISO Reference'!$B$11</f>
        <v>105</v>
      </c>
      <c r="K432" s="12">
        <f>'05-ISO Reference'!$C$11</f>
        <v>148</v>
      </c>
      <c r="L432" s="12">
        <f>'01-Process Controls'!$G$5</f>
        <v>3</v>
      </c>
      <c r="M432" s="12">
        <f>ROUNDDOWN(J432*'04-Variant Rules'!$D$9,0)</f>
        <v>70</v>
      </c>
      <c r="N432" s="12">
        <f>ROUNDDOWN(K432,0)</f>
        <v>148</v>
      </c>
      <c r="O432" s="9">
        <v>4</v>
      </c>
    </row>
    <row r="433" spans="1:15" ht="21" customHeight="1">
      <c r="A433" s="9" t="s">
        <v>659</v>
      </c>
      <c r="B433" s="12">
        <f>IF(LEFT(H433,5)="VALID",M433,"")</f>
        <v>78</v>
      </c>
      <c r="C433" s="12">
        <f>IF(LEFT(H433,5)="VALID",N433,"")</f>
        <v>148</v>
      </c>
      <c r="D433" s="10" t="s">
        <v>82</v>
      </c>
      <c r="E433" s="10" t="s">
        <v>653</v>
      </c>
      <c r="F433" s="10" t="s">
        <v>138</v>
      </c>
      <c r="G433" s="10" t="s">
        <v>139</v>
      </c>
      <c r="H433" s="11" t="str">
        <f>IF(OR(M433&lt;=0,N433&lt;=0),"SKIPPED - NONPOSITIVE",IF(OR(M433&lt;L433,N433&lt;L433),"SKIPPED - BELOW MIN",IF(OR(M433&gt;J433,N433&gt;K433),"SKIPPED - EXCEEDS BASE",IF(COUNTIFS($M$428:M432,M433,$N$428:N432,N433)&gt;0,"SKIPPED - DUPLICATE","VALID - GENERATED"))))</f>
        <v>VALID - GENERATED</v>
      </c>
      <c r="I433" s="10" t="s">
        <v>654</v>
      </c>
      <c r="J433" s="12">
        <f>'05-ISO Reference'!$B$11</f>
        <v>105</v>
      </c>
      <c r="K433" s="12">
        <f>'05-ISO Reference'!$C$11</f>
        <v>148</v>
      </c>
      <c r="L433" s="12">
        <f>'01-Process Controls'!$G$5</f>
        <v>3</v>
      </c>
      <c r="M433" s="12">
        <f>ROUNDDOWN(J433*'04-Variant Rules'!$D$10,0)</f>
        <v>78</v>
      </c>
      <c r="N433" s="12">
        <f>ROUNDDOWN(K433,0)</f>
        <v>148</v>
      </c>
      <c r="O433" s="9">
        <v>5</v>
      </c>
    </row>
    <row r="434" spans="1:15" ht="21" customHeight="1">
      <c r="A434" s="9" t="s">
        <v>660</v>
      </c>
      <c r="B434" s="12">
        <f>IF(LEFT(H434,5)="VALID",M434,"")</f>
        <v>105</v>
      </c>
      <c r="C434" s="12">
        <f>IF(LEFT(H434,5)="VALID",N434,"")</f>
        <v>74</v>
      </c>
      <c r="D434" s="10" t="s">
        <v>82</v>
      </c>
      <c r="E434" s="10" t="s">
        <v>653</v>
      </c>
      <c r="F434" s="10" t="s">
        <v>141</v>
      </c>
      <c r="G434" s="10" t="s">
        <v>142</v>
      </c>
      <c r="H434" s="11" t="str">
        <f>IF(OR(M434&lt;=0,N434&lt;=0),"SKIPPED - NONPOSITIVE",IF(OR(M434&lt;L434,N434&lt;L434),"SKIPPED - BELOW MIN",IF(OR(M434&gt;J434,N434&gt;K434),"SKIPPED - EXCEEDS BASE",IF(COUNTIFS($M$428:M433,M434,$N$428:N433,N434)&gt;0,"SKIPPED - DUPLICATE","VALID - GENERATED"))))</f>
        <v>VALID - GENERATED</v>
      </c>
      <c r="I434" s="10" t="s">
        <v>654</v>
      </c>
      <c r="J434" s="12">
        <f>'05-ISO Reference'!$B$11</f>
        <v>105</v>
      </c>
      <c r="K434" s="12">
        <f>'05-ISO Reference'!$C$11</f>
        <v>148</v>
      </c>
      <c r="L434" s="12">
        <f>'01-Process Controls'!$G$5</f>
        <v>3</v>
      </c>
      <c r="M434" s="12">
        <f>ROUNDDOWN(J434,0)</f>
        <v>105</v>
      </c>
      <c r="N434" s="12">
        <f>ROUNDDOWN(K434*'04-Variant Rules'!$D$11,0)</f>
        <v>74</v>
      </c>
      <c r="O434" s="9">
        <v>6</v>
      </c>
    </row>
    <row r="435" spans="1:15" ht="21" customHeight="1">
      <c r="A435" s="9" t="s">
        <v>661</v>
      </c>
      <c r="B435" s="12">
        <f>IF(LEFT(H435,5)="VALID",M435,"")</f>
        <v>105</v>
      </c>
      <c r="C435" s="12">
        <f>IF(LEFT(H435,5)="VALID",N435,"")</f>
        <v>49</v>
      </c>
      <c r="D435" s="10" t="s">
        <v>82</v>
      </c>
      <c r="E435" s="10" t="s">
        <v>653</v>
      </c>
      <c r="F435" s="10" t="s">
        <v>144</v>
      </c>
      <c r="G435" s="10" t="s">
        <v>145</v>
      </c>
      <c r="H435" s="11" t="str">
        <f>IF(OR(M435&lt;=0,N435&lt;=0),"SKIPPED - NONPOSITIVE",IF(OR(M435&lt;L435,N435&lt;L435),"SKIPPED - BELOW MIN",IF(OR(M435&gt;J435,N435&gt;K435),"SKIPPED - EXCEEDS BASE",IF(COUNTIFS($M$428:M434,M435,$N$428:N434,N435)&gt;0,"SKIPPED - DUPLICATE","VALID - GENERATED"))))</f>
        <v>VALID - GENERATED</v>
      </c>
      <c r="I435" s="10" t="s">
        <v>654</v>
      </c>
      <c r="J435" s="12">
        <f>'05-ISO Reference'!$B$11</f>
        <v>105</v>
      </c>
      <c r="K435" s="12">
        <f>'05-ISO Reference'!$C$11</f>
        <v>148</v>
      </c>
      <c r="L435" s="12">
        <f>'01-Process Controls'!$G$5</f>
        <v>3</v>
      </c>
      <c r="M435" s="12">
        <f>ROUNDDOWN(J435,0)</f>
        <v>105</v>
      </c>
      <c r="N435" s="12">
        <f>ROUNDDOWN(K435*'04-Variant Rules'!$D$12,0)</f>
        <v>49</v>
      </c>
      <c r="O435" s="9">
        <v>7</v>
      </c>
    </row>
    <row r="436" spans="1:15" ht="21" customHeight="1">
      <c r="A436" s="9" t="s">
        <v>662</v>
      </c>
      <c r="B436" s="12">
        <f>IF(LEFT(H436,5)="VALID",M436,"")</f>
        <v>105</v>
      </c>
      <c r="C436" s="12">
        <f>IF(LEFT(H436,5)="VALID",N436,"")</f>
        <v>37</v>
      </c>
      <c r="D436" s="10" t="s">
        <v>82</v>
      </c>
      <c r="E436" s="10" t="s">
        <v>653</v>
      </c>
      <c r="F436" s="10" t="s">
        <v>147</v>
      </c>
      <c r="G436" s="10" t="s">
        <v>148</v>
      </c>
      <c r="H436" s="11" t="str">
        <f>IF(OR(M436&lt;=0,N436&lt;=0),"SKIPPED - NONPOSITIVE",IF(OR(M436&lt;L436,N436&lt;L436),"SKIPPED - BELOW MIN",IF(OR(M436&gt;J436,N436&gt;K436),"SKIPPED - EXCEEDS BASE",IF(COUNTIFS($M$428:M435,M436,$N$428:N435,N436)&gt;0,"SKIPPED - DUPLICATE","VALID - GENERATED"))))</f>
        <v>VALID - GENERATED</v>
      </c>
      <c r="I436" s="10" t="s">
        <v>654</v>
      </c>
      <c r="J436" s="12">
        <f>'05-ISO Reference'!$B$11</f>
        <v>105</v>
      </c>
      <c r="K436" s="12">
        <f>'05-ISO Reference'!$C$11</f>
        <v>148</v>
      </c>
      <c r="L436" s="12">
        <f>'01-Process Controls'!$G$5</f>
        <v>3</v>
      </c>
      <c r="M436" s="12">
        <f>ROUNDDOWN(J436,0)</f>
        <v>105</v>
      </c>
      <c r="N436" s="12">
        <f>ROUNDDOWN(K436*'04-Variant Rules'!$D$13,0)</f>
        <v>37</v>
      </c>
      <c r="O436" s="9">
        <v>8</v>
      </c>
    </row>
    <row r="437" spans="1:15" ht="21" customHeight="1">
      <c r="A437" s="9" t="s">
        <v>663</v>
      </c>
      <c r="B437" s="12">
        <f>IF(LEFT(H437,5)="VALID",M437,"")</f>
        <v>105</v>
      </c>
      <c r="C437" s="12">
        <f>IF(LEFT(H437,5)="VALID",N437,"")</f>
        <v>98</v>
      </c>
      <c r="D437" s="10" t="s">
        <v>82</v>
      </c>
      <c r="E437" s="10" t="s">
        <v>653</v>
      </c>
      <c r="F437" s="10" t="s">
        <v>150</v>
      </c>
      <c r="G437" s="10" t="s">
        <v>151</v>
      </c>
      <c r="H437" s="11" t="str">
        <f>IF(OR(M437&lt;=0,N437&lt;=0),"SKIPPED - NONPOSITIVE",IF(OR(M437&lt;L437,N437&lt;L437),"SKIPPED - BELOW MIN",IF(OR(M437&gt;J437,N437&gt;K437),"SKIPPED - EXCEEDS BASE",IF(COUNTIFS($M$428:M436,M437,$N$428:N436,N437)&gt;0,"SKIPPED - DUPLICATE","VALID - GENERATED"))))</f>
        <v>VALID - GENERATED</v>
      </c>
      <c r="I437" s="10" t="s">
        <v>654</v>
      </c>
      <c r="J437" s="12">
        <f>'05-ISO Reference'!$B$11</f>
        <v>105</v>
      </c>
      <c r="K437" s="12">
        <f>'05-ISO Reference'!$C$11</f>
        <v>148</v>
      </c>
      <c r="L437" s="12">
        <f>'01-Process Controls'!$G$5</f>
        <v>3</v>
      </c>
      <c r="M437" s="12">
        <f>ROUNDDOWN(J437,0)</f>
        <v>105</v>
      </c>
      <c r="N437" s="12">
        <f>ROUNDDOWN(K437*'04-Variant Rules'!$D$14,0)</f>
        <v>98</v>
      </c>
      <c r="O437" s="9">
        <v>9</v>
      </c>
    </row>
    <row r="438" spans="1:15" ht="21" customHeight="1">
      <c r="A438" s="9" t="s">
        <v>664</v>
      </c>
      <c r="B438" s="12">
        <f>IF(LEFT(H438,5)="VALID",M438,"")</f>
        <v>105</v>
      </c>
      <c r="C438" s="12">
        <f>IF(LEFT(H438,5)="VALID",N438,"")</f>
        <v>111</v>
      </c>
      <c r="D438" s="10" t="s">
        <v>82</v>
      </c>
      <c r="E438" s="10" t="s">
        <v>653</v>
      </c>
      <c r="F438" s="10" t="s">
        <v>153</v>
      </c>
      <c r="G438" s="10" t="s">
        <v>154</v>
      </c>
      <c r="H438" s="11" t="str">
        <f>IF(OR(M438&lt;=0,N438&lt;=0),"SKIPPED - NONPOSITIVE",IF(OR(M438&lt;L438,N438&lt;L438),"SKIPPED - BELOW MIN",IF(OR(M438&gt;J438,N438&gt;K438),"SKIPPED - EXCEEDS BASE",IF(COUNTIFS($M$428:M437,M438,$N$428:N437,N438)&gt;0,"SKIPPED - DUPLICATE","VALID - GENERATED"))))</f>
        <v>VALID - GENERATED</v>
      </c>
      <c r="I438" s="10" t="s">
        <v>654</v>
      </c>
      <c r="J438" s="12">
        <f>'05-ISO Reference'!$B$11</f>
        <v>105</v>
      </c>
      <c r="K438" s="12">
        <f>'05-ISO Reference'!$C$11</f>
        <v>148</v>
      </c>
      <c r="L438" s="12">
        <f>'01-Process Controls'!$G$5</f>
        <v>3</v>
      </c>
      <c r="M438" s="12">
        <f>ROUNDDOWN(J438,0)</f>
        <v>105</v>
      </c>
      <c r="N438" s="12">
        <f>ROUNDDOWN(K438*'04-Variant Rules'!$D$15,0)</f>
        <v>111</v>
      </c>
      <c r="O438" s="9">
        <v>10</v>
      </c>
    </row>
    <row r="439" spans="1:15" ht="21" customHeight="1">
      <c r="A439" s="9" t="s">
        <v>665</v>
      </c>
      <c r="B439" s="12">
        <f>IF(LEFT(H439,5)="VALID",M439,"")</f>
        <v>52</v>
      </c>
      <c r="C439" s="12">
        <f>IF(LEFT(H439,5)="VALID",N439,"")</f>
        <v>74</v>
      </c>
      <c r="D439" s="10" t="s">
        <v>82</v>
      </c>
      <c r="E439" s="10" t="s">
        <v>653</v>
      </c>
      <c r="F439" s="10" t="s">
        <v>156</v>
      </c>
      <c r="G439" s="10" t="s">
        <v>157</v>
      </c>
      <c r="H439" s="11" t="str">
        <f>IF(OR(M439&lt;=0,N439&lt;=0),"SKIPPED - NONPOSITIVE",IF(OR(M439&lt;L439,N439&lt;L439),"SKIPPED - BELOW MIN",IF(OR(M439&gt;J439,N439&gt;K439),"SKIPPED - EXCEEDS BASE",IF(COUNTIFS($M$428:M438,M439,$N$428:N438,N439)&gt;0,"SKIPPED - DUPLICATE","VALID - GENERATED"))))</f>
        <v>VALID - GENERATED</v>
      </c>
      <c r="I439" s="10" t="s">
        <v>654</v>
      </c>
      <c r="J439" s="12">
        <f>'05-ISO Reference'!$B$11</f>
        <v>105</v>
      </c>
      <c r="K439" s="12">
        <f>'05-ISO Reference'!$C$11</f>
        <v>148</v>
      </c>
      <c r="L439" s="12">
        <f>'01-Process Controls'!$G$5</f>
        <v>3</v>
      </c>
      <c r="M439" s="12">
        <f>ROUNDDOWN(J439*'04-Variant Rules'!$D$16,0)</f>
        <v>52</v>
      </c>
      <c r="N439" s="12">
        <f>ROUNDDOWN(K439*'04-Variant Rules'!$E$16,0)</f>
        <v>74</v>
      </c>
      <c r="O439" s="9">
        <v>11</v>
      </c>
    </row>
    <row r="440" spans="1:15" ht="21" customHeight="1">
      <c r="A440" s="9" t="s">
        <v>666</v>
      </c>
      <c r="B440" s="12">
        <f>IF(LEFT(H440,5)="VALID",M440,"")</f>
        <v>35</v>
      </c>
      <c r="C440" s="12">
        <f>IF(LEFT(H440,5)="VALID",N440,"")</f>
        <v>49</v>
      </c>
      <c r="D440" s="10" t="s">
        <v>82</v>
      </c>
      <c r="E440" s="10" t="s">
        <v>653</v>
      </c>
      <c r="F440" s="10" t="s">
        <v>159</v>
      </c>
      <c r="G440" s="10" t="s">
        <v>160</v>
      </c>
      <c r="H440" s="11" t="str">
        <f>IF(OR(M440&lt;=0,N440&lt;=0),"SKIPPED - NONPOSITIVE",IF(OR(M440&lt;L440,N440&lt;L440),"SKIPPED - BELOW MIN",IF(OR(M440&gt;J440,N440&gt;K440),"SKIPPED - EXCEEDS BASE",IF(COUNTIFS($M$428:M439,M440,$N$428:N439,N440)&gt;0,"SKIPPED - DUPLICATE","VALID - GENERATED"))))</f>
        <v>VALID - GENERATED</v>
      </c>
      <c r="I440" s="10" t="s">
        <v>654</v>
      </c>
      <c r="J440" s="12">
        <f>'05-ISO Reference'!$B$11</f>
        <v>105</v>
      </c>
      <c r="K440" s="12">
        <f>'05-ISO Reference'!$C$11</f>
        <v>148</v>
      </c>
      <c r="L440" s="12">
        <f>'01-Process Controls'!$G$5</f>
        <v>3</v>
      </c>
      <c r="M440" s="12">
        <f>ROUNDDOWN(J440*'04-Variant Rules'!$D$17,0)</f>
        <v>35</v>
      </c>
      <c r="N440" s="12">
        <f>ROUNDDOWN(K440*'04-Variant Rules'!$E$17,0)</f>
        <v>49</v>
      </c>
      <c r="O440" s="9">
        <v>12</v>
      </c>
    </row>
    <row r="441" spans="1:15" ht="21" customHeight="1">
      <c r="A441" s="9" t="s">
        <v>667</v>
      </c>
      <c r="B441" s="12">
        <f>IF(LEFT(H441,5)="VALID",M441,"")</f>
        <v>26</v>
      </c>
      <c r="C441" s="12">
        <f>IF(LEFT(H441,5)="VALID",N441,"")</f>
        <v>37</v>
      </c>
      <c r="D441" s="10" t="s">
        <v>82</v>
      </c>
      <c r="E441" s="10" t="s">
        <v>653</v>
      </c>
      <c r="F441" s="10" t="s">
        <v>162</v>
      </c>
      <c r="G441" s="10" t="s">
        <v>163</v>
      </c>
      <c r="H441" s="11" t="str">
        <f>IF(OR(M441&lt;=0,N441&lt;=0),"SKIPPED - NONPOSITIVE",IF(OR(M441&lt;L441,N441&lt;L441),"SKIPPED - BELOW MIN",IF(OR(M441&gt;J441,N441&gt;K441),"SKIPPED - EXCEEDS BASE",IF(COUNTIFS($M$428:M440,M441,$N$428:N440,N441)&gt;0,"SKIPPED - DUPLICATE","VALID - GENERATED"))))</f>
        <v>VALID - GENERATED</v>
      </c>
      <c r="I441" s="10" t="s">
        <v>654</v>
      </c>
      <c r="J441" s="12">
        <f>'05-ISO Reference'!$B$11</f>
        <v>105</v>
      </c>
      <c r="K441" s="12">
        <f>'05-ISO Reference'!$C$11</f>
        <v>148</v>
      </c>
      <c r="L441" s="12">
        <f>'01-Process Controls'!$G$5</f>
        <v>3</v>
      </c>
      <c r="M441" s="12">
        <f>ROUNDDOWN(J441*'04-Variant Rules'!$D$18,0)</f>
        <v>26</v>
      </c>
      <c r="N441" s="12">
        <f>ROUNDDOWN(K441*'04-Variant Rules'!$E$18,0)</f>
        <v>37</v>
      </c>
      <c r="O441" s="9">
        <v>13</v>
      </c>
    </row>
    <row r="442" spans="1:15" ht="21" customHeight="1">
      <c r="A442" s="9" t="s">
        <v>668</v>
      </c>
      <c r="B442" s="12">
        <f>IF(LEFT(H442,5)="VALID",M442,"")</f>
        <v>52</v>
      </c>
      <c r="C442" s="12">
        <f>IF(LEFT(H442,5)="VALID",N442,"")</f>
        <v>49</v>
      </c>
      <c r="D442" s="10" t="s">
        <v>82</v>
      </c>
      <c r="E442" s="10" t="s">
        <v>653</v>
      </c>
      <c r="F442" s="10" t="s">
        <v>165</v>
      </c>
      <c r="G442" s="10" t="s">
        <v>166</v>
      </c>
      <c r="H442" s="11" t="str">
        <f>IF(OR(M442&lt;=0,N442&lt;=0),"SKIPPED - NONPOSITIVE",IF(OR(M442&lt;L442,N442&lt;L442),"SKIPPED - BELOW MIN",IF(OR(M442&gt;J442,N442&gt;K442),"SKIPPED - EXCEEDS BASE",IF(COUNTIFS($M$428:M441,M442,$N$428:N441,N442)&gt;0,"SKIPPED - DUPLICATE","VALID - GENERATED"))))</f>
        <v>VALID - GENERATED</v>
      </c>
      <c r="I442" s="10" t="s">
        <v>654</v>
      </c>
      <c r="J442" s="12">
        <f>'05-ISO Reference'!$B$11</f>
        <v>105</v>
      </c>
      <c r="K442" s="12">
        <f>'05-ISO Reference'!$C$11</f>
        <v>148</v>
      </c>
      <c r="L442" s="12">
        <f>'01-Process Controls'!$G$5</f>
        <v>3</v>
      </c>
      <c r="M442" s="12">
        <f>ROUNDDOWN(J442*'04-Variant Rules'!$D$19,0)</f>
        <v>52</v>
      </c>
      <c r="N442" s="12">
        <f>ROUNDDOWN(K442*'04-Variant Rules'!$E$19,0)</f>
        <v>49</v>
      </c>
      <c r="O442" s="9">
        <v>14</v>
      </c>
    </row>
    <row r="443" spans="1:15" ht="21" customHeight="1">
      <c r="A443" s="9" t="s">
        <v>669</v>
      </c>
      <c r="B443" s="12">
        <f>IF(LEFT(H443,5)="VALID",M443,"")</f>
        <v>35</v>
      </c>
      <c r="C443" s="12">
        <f>IF(LEFT(H443,5)="VALID",N443,"")</f>
        <v>74</v>
      </c>
      <c r="D443" s="10" t="s">
        <v>82</v>
      </c>
      <c r="E443" s="10" t="s">
        <v>653</v>
      </c>
      <c r="F443" s="10" t="s">
        <v>168</v>
      </c>
      <c r="G443" s="10" t="s">
        <v>166</v>
      </c>
      <c r="H443" s="11" t="str">
        <f>IF(OR(M443&lt;=0,N443&lt;=0),"SKIPPED - NONPOSITIVE",IF(OR(M443&lt;L443,N443&lt;L443),"SKIPPED - BELOW MIN",IF(OR(M443&gt;J443,N443&gt;K443),"SKIPPED - EXCEEDS BASE",IF(COUNTIFS($M$428:M442,M443,$N$428:N442,N443)&gt;0,"SKIPPED - DUPLICATE","VALID - GENERATED"))))</f>
        <v>VALID - GENERATED</v>
      </c>
      <c r="I443" s="10" t="s">
        <v>654</v>
      </c>
      <c r="J443" s="12">
        <f>'05-ISO Reference'!$B$11</f>
        <v>105</v>
      </c>
      <c r="K443" s="12">
        <f>'05-ISO Reference'!$C$11</f>
        <v>148</v>
      </c>
      <c r="L443" s="12">
        <f>'01-Process Controls'!$G$5</f>
        <v>3</v>
      </c>
      <c r="M443" s="12">
        <f>ROUNDDOWN(J443*'04-Variant Rules'!$D$20,0)</f>
        <v>35</v>
      </c>
      <c r="N443" s="12">
        <f>ROUNDDOWN(K443*'04-Variant Rules'!$E$20,0)</f>
        <v>74</v>
      </c>
      <c r="O443" s="9">
        <v>15</v>
      </c>
    </row>
    <row r="444" spans="1:15" ht="21" customHeight="1">
      <c r="A444" s="9" t="s">
        <v>670</v>
      </c>
      <c r="B444" s="12">
        <f>IF(LEFT(H444,5)="VALID",M444,"")</f>
        <v>52</v>
      </c>
      <c r="C444" s="12">
        <f>IF(LEFT(H444,5)="VALID",N444,"")</f>
        <v>37</v>
      </c>
      <c r="D444" s="10" t="s">
        <v>82</v>
      </c>
      <c r="E444" s="10" t="s">
        <v>653</v>
      </c>
      <c r="F444" s="10" t="s">
        <v>170</v>
      </c>
      <c r="G444" s="10" t="s">
        <v>166</v>
      </c>
      <c r="H444" s="11" t="str">
        <f>IF(OR(M444&lt;=0,N444&lt;=0),"SKIPPED - NONPOSITIVE",IF(OR(M444&lt;L444,N444&lt;L444),"SKIPPED - BELOW MIN",IF(OR(M444&gt;J444,N444&gt;K444),"SKIPPED - EXCEEDS BASE",IF(COUNTIFS($M$428:M443,M444,$N$428:N443,N444)&gt;0,"SKIPPED - DUPLICATE","VALID - GENERATED"))))</f>
        <v>VALID - GENERATED</v>
      </c>
      <c r="I444" s="10" t="s">
        <v>654</v>
      </c>
      <c r="J444" s="12">
        <f>'05-ISO Reference'!$B$11</f>
        <v>105</v>
      </c>
      <c r="K444" s="12">
        <f>'05-ISO Reference'!$C$11</f>
        <v>148</v>
      </c>
      <c r="L444" s="12">
        <f>'01-Process Controls'!$G$5</f>
        <v>3</v>
      </c>
      <c r="M444" s="12">
        <f>ROUNDDOWN(J444*'04-Variant Rules'!$D$21,0)</f>
        <v>52</v>
      </c>
      <c r="N444" s="12">
        <f>ROUNDDOWN(K444*'04-Variant Rules'!$E$21,0)</f>
        <v>37</v>
      </c>
      <c r="O444" s="9">
        <v>16</v>
      </c>
    </row>
    <row r="445" spans="1:15" ht="21" customHeight="1">
      <c r="A445" s="9" t="s">
        <v>671</v>
      </c>
      <c r="B445" s="12">
        <f>IF(LEFT(H445,5)="VALID",M445,"")</f>
        <v>26</v>
      </c>
      <c r="C445" s="12">
        <f>IF(LEFT(H445,5)="VALID",N445,"")</f>
        <v>74</v>
      </c>
      <c r="D445" s="10" t="s">
        <v>82</v>
      </c>
      <c r="E445" s="10" t="s">
        <v>653</v>
      </c>
      <c r="F445" s="10" t="s">
        <v>172</v>
      </c>
      <c r="G445" s="10" t="s">
        <v>166</v>
      </c>
      <c r="H445" s="11" t="str">
        <f>IF(OR(M445&lt;=0,N445&lt;=0),"SKIPPED - NONPOSITIVE",IF(OR(M445&lt;L445,N445&lt;L445),"SKIPPED - BELOW MIN",IF(OR(M445&gt;J445,N445&gt;K445),"SKIPPED - EXCEEDS BASE",IF(COUNTIFS($M$428:M444,M445,$N$428:N444,N445)&gt;0,"SKIPPED - DUPLICATE","VALID - GENERATED"))))</f>
        <v>VALID - GENERATED</v>
      </c>
      <c r="I445" s="10" t="s">
        <v>654</v>
      </c>
      <c r="J445" s="12">
        <f>'05-ISO Reference'!$B$11</f>
        <v>105</v>
      </c>
      <c r="K445" s="12">
        <f>'05-ISO Reference'!$C$11</f>
        <v>148</v>
      </c>
      <c r="L445" s="12">
        <f>'01-Process Controls'!$G$5</f>
        <v>3</v>
      </c>
      <c r="M445" s="12">
        <f>ROUNDDOWN(J445*'04-Variant Rules'!$D$22,0)</f>
        <v>26</v>
      </c>
      <c r="N445" s="12">
        <f>ROUNDDOWN(K445*'04-Variant Rules'!$E$22,0)</f>
        <v>74</v>
      </c>
      <c r="O445" s="9">
        <v>17</v>
      </c>
    </row>
    <row r="446" spans="1:15" ht="21" customHeight="1">
      <c r="A446" s="9" t="s">
        <v>672</v>
      </c>
      <c r="B446" s="12">
        <f>IF(LEFT(H446,5)="VALID",M446,"")</f>
        <v>70</v>
      </c>
      <c r="C446" s="12">
        <f>IF(LEFT(H446,5)="VALID",N446,"")</f>
        <v>74</v>
      </c>
      <c r="D446" s="10" t="s">
        <v>82</v>
      </c>
      <c r="E446" s="10" t="s">
        <v>653</v>
      </c>
      <c r="F446" s="10" t="s">
        <v>174</v>
      </c>
      <c r="G446" s="10" t="s">
        <v>166</v>
      </c>
      <c r="H446" s="11" t="str">
        <f>IF(OR(M446&lt;=0,N446&lt;=0),"SKIPPED - NONPOSITIVE",IF(OR(M446&lt;L446,N446&lt;L446),"SKIPPED - BELOW MIN",IF(OR(M446&gt;J446,N446&gt;K446),"SKIPPED - EXCEEDS BASE",IF(COUNTIFS($M$428:M445,M446,$N$428:N445,N446)&gt;0,"SKIPPED - DUPLICATE","VALID - GENERATED"))))</f>
        <v>VALID - GENERATED</v>
      </c>
      <c r="I446" s="10" t="s">
        <v>654</v>
      </c>
      <c r="J446" s="12">
        <f>'05-ISO Reference'!$B$11</f>
        <v>105</v>
      </c>
      <c r="K446" s="12">
        <f>'05-ISO Reference'!$C$11</f>
        <v>148</v>
      </c>
      <c r="L446" s="12">
        <f>'01-Process Controls'!$G$5</f>
        <v>3</v>
      </c>
      <c r="M446" s="12">
        <f>ROUNDDOWN(J446*'04-Variant Rules'!$D$23,0)</f>
        <v>70</v>
      </c>
      <c r="N446" s="12">
        <f>ROUNDDOWN(K446*'04-Variant Rules'!$E$23,0)</f>
        <v>74</v>
      </c>
      <c r="O446" s="9">
        <v>18</v>
      </c>
    </row>
    <row r="447" spans="1:15" ht="21" customHeight="1">
      <c r="A447" s="9" t="s">
        <v>673</v>
      </c>
      <c r="B447" s="12">
        <f>IF(LEFT(H447,5)="VALID",M447,"")</f>
        <v>52</v>
      </c>
      <c r="C447" s="12">
        <f>IF(LEFT(H447,5)="VALID",N447,"")</f>
        <v>98</v>
      </c>
      <c r="D447" s="10" t="s">
        <v>82</v>
      </c>
      <c r="E447" s="10" t="s">
        <v>653</v>
      </c>
      <c r="F447" s="10" t="s">
        <v>176</v>
      </c>
      <c r="G447" s="10" t="s">
        <v>166</v>
      </c>
      <c r="H447" s="11" t="str">
        <f>IF(OR(M447&lt;=0,N447&lt;=0),"SKIPPED - NONPOSITIVE",IF(OR(M447&lt;L447,N447&lt;L447),"SKIPPED - BELOW MIN",IF(OR(M447&gt;J447,N447&gt;K447),"SKIPPED - EXCEEDS BASE",IF(COUNTIFS($M$428:M446,M447,$N$428:N446,N447)&gt;0,"SKIPPED - DUPLICATE","VALID - GENERATED"))))</f>
        <v>VALID - GENERATED</v>
      </c>
      <c r="I447" s="10" t="s">
        <v>654</v>
      </c>
      <c r="J447" s="12">
        <f>'05-ISO Reference'!$B$11</f>
        <v>105</v>
      </c>
      <c r="K447" s="12">
        <f>'05-ISO Reference'!$C$11</f>
        <v>148</v>
      </c>
      <c r="L447" s="12">
        <f>'01-Process Controls'!$G$5</f>
        <v>3</v>
      </c>
      <c r="M447" s="12">
        <f>ROUNDDOWN(J447*'04-Variant Rules'!$D$24,0)</f>
        <v>52</v>
      </c>
      <c r="N447" s="12">
        <f>ROUNDDOWN(K447*'04-Variant Rules'!$E$24,0)</f>
        <v>98</v>
      </c>
      <c r="O447" s="9">
        <v>19</v>
      </c>
    </row>
    <row r="448" spans="1:15" ht="21" customHeight="1">
      <c r="A448" s="9" t="s">
        <v>674</v>
      </c>
      <c r="B448" s="12">
        <f>IF(LEFT(H448,5)="VALID",M448,"")</f>
        <v>78</v>
      </c>
      <c r="C448" s="12">
        <f>IF(LEFT(H448,5)="VALID",N448,"")</f>
        <v>74</v>
      </c>
      <c r="D448" s="10" t="s">
        <v>82</v>
      </c>
      <c r="E448" s="10" t="s">
        <v>653</v>
      </c>
      <c r="F448" s="10" t="s">
        <v>178</v>
      </c>
      <c r="G448" s="10" t="s">
        <v>166</v>
      </c>
      <c r="H448" s="11" t="str">
        <f>IF(OR(M448&lt;=0,N448&lt;=0),"SKIPPED - NONPOSITIVE",IF(OR(M448&lt;L448,N448&lt;L448),"SKIPPED - BELOW MIN",IF(OR(M448&gt;J448,N448&gt;K448),"SKIPPED - EXCEEDS BASE",IF(COUNTIFS($M$428:M447,M448,$N$428:N447,N448)&gt;0,"SKIPPED - DUPLICATE","VALID - GENERATED"))))</f>
        <v>VALID - GENERATED</v>
      </c>
      <c r="I448" s="10" t="s">
        <v>654</v>
      </c>
      <c r="J448" s="12">
        <f>'05-ISO Reference'!$B$11</f>
        <v>105</v>
      </c>
      <c r="K448" s="12">
        <f>'05-ISO Reference'!$C$11</f>
        <v>148</v>
      </c>
      <c r="L448" s="12">
        <f>'01-Process Controls'!$G$5</f>
        <v>3</v>
      </c>
      <c r="M448" s="12">
        <f>ROUNDDOWN(J448*'04-Variant Rules'!$D$25,0)</f>
        <v>78</v>
      </c>
      <c r="N448" s="12">
        <f>ROUNDDOWN(K448*'04-Variant Rules'!$E$25,0)</f>
        <v>74</v>
      </c>
      <c r="O448" s="9">
        <v>20</v>
      </c>
    </row>
    <row r="449" spans="1:15" ht="21" customHeight="1">
      <c r="A449" s="9" t="s">
        <v>675</v>
      </c>
      <c r="B449" s="12">
        <f>IF(LEFT(H449,5)="VALID",M449,"")</f>
        <v>52</v>
      </c>
      <c r="C449" s="12">
        <f>IF(LEFT(H449,5)="VALID",N449,"")</f>
        <v>111</v>
      </c>
      <c r="D449" s="10" t="s">
        <v>82</v>
      </c>
      <c r="E449" s="10" t="s">
        <v>653</v>
      </c>
      <c r="F449" s="10" t="s">
        <v>180</v>
      </c>
      <c r="G449" s="10" t="s">
        <v>166</v>
      </c>
      <c r="H449" s="11" t="str">
        <f>IF(OR(M449&lt;=0,N449&lt;=0),"SKIPPED - NONPOSITIVE",IF(OR(M449&lt;L449,N449&lt;L449),"SKIPPED - BELOW MIN",IF(OR(M449&gt;J449,N449&gt;K449),"SKIPPED - EXCEEDS BASE",IF(COUNTIFS($M$428:M448,M449,$N$428:N448,N449)&gt;0,"SKIPPED - DUPLICATE","VALID - GENERATED"))))</f>
        <v>VALID - GENERATED</v>
      </c>
      <c r="I449" s="10" t="s">
        <v>654</v>
      </c>
      <c r="J449" s="12">
        <f>'05-ISO Reference'!$B$11</f>
        <v>105</v>
      </c>
      <c r="K449" s="12">
        <f>'05-ISO Reference'!$C$11</f>
        <v>148</v>
      </c>
      <c r="L449" s="12">
        <f>'01-Process Controls'!$G$5</f>
        <v>3</v>
      </c>
      <c r="M449" s="12">
        <f>ROUNDDOWN(J449*'04-Variant Rules'!$D$26,0)</f>
        <v>52</v>
      </c>
      <c r="N449" s="12">
        <f>ROUNDDOWN(K449*'04-Variant Rules'!$E$26,0)</f>
        <v>111</v>
      </c>
      <c r="O449" s="9">
        <v>21</v>
      </c>
    </row>
    <row r="450" spans="1:15" ht="21" customHeight="1">
      <c r="A450" s="9" t="s">
        <v>676</v>
      </c>
      <c r="B450" s="12">
        <f>IF(LEFT(H450,5)="VALID",M450,"")</f>
        <v>99</v>
      </c>
      <c r="C450" s="12">
        <f>IF(LEFT(H450,5)="VALID",N450,"")</f>
        <v>140</v>
      </c>
      <c r="D450" s="10" t="s">
        <v>82</v>
      </c>
      <c r="E450" s="10" t="s">
        <v>653</v>
      </c>
      <c r="F450" s="10" t="s">
        <v>182</v>
      </c>
      <c r="G450" s="10" t="s">
        <v>183</v>
      </c>
      <c r="H450" s="11" t="str">
        <f>IF(OR(M450&lt;=0,N450&lt;=0),"SKIPPED - NONPOSITIVE",IF(OR(M450&lt;L450,N450&lt;L450),"SKIPPED - BELOW MIN",IF(OR(M450&gt;J450,N450&gt;K450),"SKIPPED - EXCEEDS BASE",IF(COUNTIFS($M$428:M449,M450,$N$428:N449,N450)&gt;0,"SKIPPED - DUPLICATE","VALID - GENERATED"))))</f>
        <v>VALID - GENERATED</v>
      </c>
      <c r="I450" s="10" t="s">
        <v>654</v>
      </c>
      <c r="J450" s="12">
        <f>'05-ISO Reference'!$B$11</f>
        <v>105</v>
      </c>
      <c r="K450" s="12">
        <f>'05-ISO Reference'!$C$11</f>
        <v>148</v>
      </c>
      <c r="L450" s="12">
        <f>'01-Process Controls'!$G$5</f>
        <v>3</v>
      </c>
      <c r="M450" s="12">
        <f>ROUNDDOWN(J450*'04-Variant Rules'!$D$27,0)</f>
        <v>99</v>
      </c>
      <c r="N450" s="12">
        <f>ROUNDDOWN(K450*'04-Variant Rules'!$E$27,0)</f>
        <v>140</v>
      </c>
      <c r="O450" s="9">
        <v>22</v>
      </c>
    </row>
    <row r="451" spans="1:15" ht="21" customHeight="1">
      <c r="A451" s="9" t="s">
        <v>677</v>
      </c>
      <c r="B451" s="12">
        <f>IF(LEFT(H451,5)="VALID",M451,"")</f>
        <v>94</v>
      </c>
      <c r="C451" s="12">
        <f>IF(LEFT(H451,5)="VALID",N451,"")</f>
        <v>133</v>
      </c>
      <c r="D451" s="10" t="s">
        <v>82</v>
      </c>
      <c r="E451" s="10" t="s">
        <v>653</v>
      </c>
      <c r="F451" s="10" t="s">
        <v>185</v>
      </c>
      <c r="G451" s="10" t="s">
        <v>186</v>
      </c>
      <c r="H451" s="11" t="str">
        <f>IF(OR(M451&lt;=0,N451&lt;=0),"SKIPPED - NONPOSITIVE",IF(OR(M451&lt;L451,N451&lt;L451),"SKIPPED - BELOW MIN",IF(OR(M451&gt;J451,N451&gt;K451),"SKIPPED - EXCEEDS BASE",IF(COUNTIFS($M$428:M450,M451,$N$428:N450,N451)&gt;0,"SKIPPED - DUPLICATE","VALID - GENERATED"))))</f>
        <v>VALID - GENERATED</v>
      </c>
      <c r="I451" s="10" t="s">
        <v>654</v>
      </c>
      <c r="J451" s="12">
        <f>'05-ISO Reference'!$B$11</f>
        <v>105</v>
      </c>
      <c r="K451" s="12">
        <f>'05-ISO Reference'!$C$11</f>
        <v>148</v>
      </c>
      <c r="L451" s="12">
        <f>'01-Process Controls'!$G$5</f>
        <v>3</v>
      </c>
      <c r="M451" s="12">
        <f>ROUNDDOWN(J451*'04-Variant Rules'!$D$28,0)</f>
        <v>94</v>
      </c>
      <c r="N451" s="12">
        <f>ROUNDDOWN(K451*'04-Variant Rules'!$E$28,0)</f>
        <v>133</v>
      </c>
      <c r="O451" s="9">
        <v>23</v>
      </c>
    </row>
    <row r="452" spans="1:15" ht="21" customHeight="1">
      <c r="A452" s="9" t="s">
        <v>678</v>
      </c>
      <c r="B452" s="12">
        <f>IF(LEFT(H452,5)="VALID",M452,"")</f>
        <v>89</v>
      </c>
      <c r="C452" s="12">
        <f>IF(LEFT(H452,5)="VALID",N452,"")</f>
        <v>125</v>
      </c>
      <c r="D452" s="10" t="s">
        <v>82</v>
      </c>
      <c r="E452" s="10" t="s">
        <v>653</v>
      </c>
      <c r="F452" s="10" t="s">
        <v>188</v>
      </c>
      <c r="G452" s="10" t="s">
        <v>186</v>
      </c>
      <c r="H452" s="11" t="str">
        <f>IF(OR(M452&lt;=0,N452&lt;=0),"SKIPPED - NONPOSITIVE",IF(OR(M452&lt;L452,N452&lt;L452),"SKIPPED - BELOW MIN",IF(OR(M452&gt;J452,N452&gt;K452),"SKIPPED - EXCEEDS BASE",IF(COUNTIFS($M$428:M451,M452,$N$428:N451,N452)&gt;0,"SKIPPED - DUPLICATE","VALID - GENERATED"))))</f>
        <v>VALID - GENERATED</v>
      </c>
      <c r="I452" s="10" t="s">
        <v>654</v>
      </c>
      <c r="J452" s="12">
        <f>'05-ISO Reference'!$B$11</f>
        <v>105</v>
      </c>
      <c r="K452" s="12">
        <f>'05-ISO Reference'!$C$11</f>
        <v>148</v>
      </c>
      <c r="L452" s="12">
        <f>'01-Process Controls'!$G$5</f>
        <v>3</v>
      </c>
      <c r="M452" s="12">
        <f>ROUNDDOWN(J452*'04-Variant Rules'!$D$29,0)</f>
        <v>89</v>
      </c>
      <c r="N452" s="12">
        <f>ROUNDDOWN(K452*'04-Variant Rules'!$E$29,0)</f>
        <v>125</v>
      </c>
      <c r="O452" s="9">
        <v>24</v>
      </c>
    </row>
    <row r="453" spans="1:15" ht="21" customHeight="1">
      <c r="A453" s="9" t="s">
        <v>679</v>
      </c>
      <c r="B453" s="12">
        <f>IF(LEFT(H453,5)="VALID",M453,"")</f>
        <v>84</v>
      </c>
      <c r="C453" s="12">
        <f>IF(LEFT(H453,5)="VALID",N453,"")</f>
        <v>118</v>
      </c>
      <c r="D453" s="10" t="s">
        <v>82</v>
      </c>
      <c r="E453" s="10" t="s">
        <v>653</v>
      </c>
      <c r="F453" s="10" t="s">
        <v>190</v>
      </c>
      <c r="G453" s="10" t="s">
        <v>186</v>
      </c>
      <c r="H453" s="11" t="str">
        <f>IF(OR(M453&lt;=0,N453&lt;=0),"SKIPPED - NONPOSITIVE",IF(OR(M453&lt;L453,N453&lt;L453),"SKIPPED - BELOW MIN",IF(OR(M453&gt;J453,N453&gt;K453),"SKIPPED - EXCEEDS BASE",IF(COUNTIFS($M$428:M452,M453,$N$428:N452,N453)&gt;0,"SKIPPED - DUPLICATE","VALID - GENERATED"))))</f>
        <v>VALID - GENERATED</v>
      </c>
      <c r="I453" s="10" t="s">
        <v>654</v>
      </c>
      <c r="J453" s="12">
        <f>'05-ISO Reference'!$B$11</f>
        <v>105</v>
      </c>
      <c r="K453" s="12">
        <f>'05-ISO Reference'!$C$11</f>
        <v>148</v>
      </c>
      <c r="L453" s="12">
        <f>'01-Process Controls'!$G$5</f>
        <v>3</v>
      </c>
      <c r="M453" s="12">
        <f>ROUNDDOWN(J453*'04-Variant Rules'!$D$30,0)</f>
        <v>84</v>
      </c>
      <c r="N453" s="12">
        <f>ROUNDDOWN(K453*'04-Variant Rules'!$E$30,0)</f>
        <v>118</v>
      </c>
      <c r="O453" s="9">
        <v>25</v>
      </c>
    </row>
    <row r="454" spans="1:15" ht="21" customHeight="1">
      <c r="A454" s="9" t="s">
        <v>680</v>
      </c>
      <c r="B454" s="12">
        <f>IF(LEFT(H454,5)="VALID",M454,"")</f>
        <v>78</v>
      </c>
      <c r="C454" s="12">
        <f>IF(LEFT(H454,5)="VALID",N454,"")</f>
        <v>111</v>
      </c>
      <c r="D454" s="10" t="s">
        <v>82</v>
      </c>
      <c r="E454" s="10" t="s">
        <v>653</v>
      </c>
      <c r="F454" s="10" t="s">
        <v>192</v>
      </c>
      <c r="G454" s="10" t="s">
        <v>186</v>
      </c>
      <c r="H454" s="11" t="str">
        <f>IF(OR(M454&lt;=0,N454&lt;=0),"SKIPPED - NONPOSITIVE",IF(OR(M454&lt;L454,N454&lt;L454),"SKIPPED - BELOW MIN",IF(OR(M454&gt;J454,N454&gt;K454),"SKIPPED - EXCEEDS BASE",IF(COUNTIFS($M$428:M453,M454,$N$428:N453,N454)&gt;0,"SKIPPED - DUPLICATE","VALID - GENERATED"))))</f>
        <v>VALID - GENERATED</v>
      </c>
      <c r="I454" s="10" t="s">
        <v>654</v>
      </c>
      <c r="J454" s="12">
        <f>'05-ISO Reference'!$B$11</f>
        <v>105</v>
      </c>
      <c r="K454" s="12">
        <f>'05-ISO Reference'!$C$11</f>
        <v>148</v>
      </c>
      <c r="L454" s="12">
        <f>'01-Process Controls'!$G$5</f>
        <v>3</v>
      </c>
      <c r="M454" s="12">
        <f>ROUNDDOWN(J454*'04-Variant Rules'!$D$31,0)</f>
        <v>78</v>
      </c>
      <c r="N454" s="12">
        <f>ROUNDDOWN(K454*'04-Variant Rules'!$E$31,0)</f>
        <v>111</v>
      </c>
      <c r="O454" s="9">
        <v>26</v>
      </c>
    </row>
    <row r="455" spans="1:15" ht="21" customHeight="1">
      <c r="A455" s="9" t="s">
        <v>681</v>
      </c>
      <c r="B455" s="12">
        <f>IF(LEFT(H455,5)="VALID",M455,"")</f>
        <v>73</v>
      </c>
      <c r="C455" s="12">
        <f>IF(LEFT(H455,5)="VALID",N455,"")</f>
        <v>103</v>
      </c>
      <c r="D455" s="10" t="s">
        <v>82</v>
      </c>
      <c r="E455" s="10" t="s">
        <v>653</v>
      </c>
      <c r="F455" s="10" t="s">
        <v>194</v>
      </c>
      <c r="G455" s="10" t="s">
        <v>186</v>
      </c>
      <c r="H455" s="11" t="str">
        <f>IF(OR(M455&lt;=0,N455&lt;=0),"SKIPPED - NONPOSITIVE",IF(OR(M455&lt;L455,N455&lt;L455),"SKIPPED - BELOW MIN",IF(OR(M455&gt;J455,N455&gt;K455),"SKIPPED - EXCEEDS BASE",IF(COUNTIFS($M$428:M454,M455,$N$428:N454,N455)&gt;0,"SKIPPED - DUPLICATE","VALID - GENERATED"))))</f>
        <v>VALID - GENERATED</v>
      </c>
      <c r="I455" s="10" t="s">
        <v>654</v>
      </c>
      <c r="J455" s="12">
        <f>'05-ISO Reference'!$B$11</f>
        <v>105</v>
      </c>
      <c r="K455" s="12">
        <f>'05-ISO Reference'!$C$11</f>
        <v>148</v>
      </c>
      <c r="L455" s="12">
        <f>'01-Process Controls'!$G$5</f>
        <v>3</v>
      </c>
      <c r="M455" s="12">
        <f>ROUNDDOWN(J455*'04-Variant Rules'!$D$32,0)</f>
        <v>73</v>
      </c>
      <c r="N455" s="12">
        <f>ROUNDDOWN(K455*'04-Variant Rules'!$E$32,0)</f>
        <v>103</v>
      </c>
      <c r="O455" s="9">
        <v>27</v>
      </c>
    </row>
    <row r="456" spans="1:15" ht="21" customHeight="1">
      <c r="A456" s="9" t="s">
        <v>682</v>
      </c>
      <c r="B456" s="12">
        <f>IF(LEFT(H456,5)="VALID",M456,"")</f>
        <v>70</v>
      </c>
      <c r="C456" s="12">
        <f>IF(LEFT(H456,5)="VALID",N456,"")</f>
        <v>98</v>
      </c>
      <c r="D456" s="10" t="s">
        <v>82</v>
      </c>
      <c r="E456" s="10" t="s">
        <v>653</v>
      </c>
      <c r="F456" s="10" t="s">
        <v>196</v>
      </c>
      <c r="G456" s="10" t="s">
        <v>186</v>
      </c>
      <c r="H456" s="11" t="str">
        <f>IF(OR(M456&lt;=0,N456&lt;=0),"SKIPPED - NONPOSITIVE",IF(OR(M456&lt;L456,N456&lt;L456),"SKIPPED - BELOW MIN",IF(OR(M456&gt;J456,N456&gt;K456),"SKIPPED - EXCEEDS BASE",IF(COUNTIFS($M$428:M455,M456,$N$428:N455,N456)&gt;0,"SKIPPED - DUPLICATE","VALID - GENERATED"))))</f>
        <v>VALID - GENERATED</v>
      </c>
      <c r="I456" s="10" t="s">
        <v>654</v>
      </c>
      <c r="J456" s="12">
        <f>'05-ISO Reference'!$B$11</f>
        <v>105</v>
      </c>
      <c r="K456" s="12">
        <f>'05-ISO Reference'!$C$11</f>
        <v>148</v>
      </c>
      <c r="L456" s="12">
        <f>'01-Process Controls'!$G$5</f>
        <v>3</v>
      </c>
      <c r="M456" s="12">
        <f>ROUNDDOWN(J456*'04-Variant Rules'!$D$33,0)</f>
        <v>70</v>
      </c>
      <c r="N456" s="12">
        <f>ROUNDDOWN(K456*'04-Variant Rules'!$E$33,0)</f>
        <v>98</v>
      </c>
      <c r="O456" s="9">
        <v>28</v>
      </c>
    </row>
    <row r="457" spans="1:15" ht="21" customHeight="1">
      <c r="A457" s="9" t="s">
        <v>683</v>
      </c>
      <c r="B457" s="12">
        <f>IF(LEFT(H457,5)="VALID",M457,"")</f>
        <v>63</v>
      </c>
      <c r="C457" s="12">
        <f>IF(LEFT(H457,5)="VALID",N457,"")</f>
        <v>88</v>
      </c>
      <c r="D457" s="10" t="s">
        <v>82</v>
      </c>
      <c r="E457" s="10" t="s">
        <v>653</v>
      </c>
      <c r="F457" s="10" t="s">
        <v>198</v>
      </c>
      <c r="G457" s="10" t="s">
        <v>186</v>
      </c>
      <c r="H457" s="11" t="str">
        <f>IF(OR(M457&lt;=0,N457&lt;=0),"SKIPPED - NONPOSITIVE",IF(OR(M457&lt;L457,N457&lt;L457),"SKIPPED - BELOW MIN",IF(OR(M457&gt;J457,N457&gt;K457),"SKIPPED - EXCEEDS BASE",IF(COUNTIFS($M$428:M456,M457,$N$428:N456,N457)&gt;0,"SKIPPED - DUPLICATE","VALID - GENERATED"))))</f>
        <v>VALID - GENERATED</v>
      </c>
      <c r="I457" s="10" t="s">
        <v>654</v>
      </c>
      <c r="J457" s="12">
        <f>'05-ISO Reference'!$B$11</f>
        <v>105</v>
      </c>
      <c r="K457" s="12">
        <f>'05-ISO Reference'!$C$11</f>
        <v>148</v>
      </c>
      <c r="L457" s="12">
        <f>'01-Process Controls'!$G$5</f>
        <v>3</v>
      </c>
      <c r="M457" s="12">
        <f>ROUNDDOWN(J457*'04-Variant Rules'!$D$34,0)</f>
        <v>63</v>
      </c>
      <c r="N457" s="12">
        <f>ROUNDDOWN(K457*'04-Variant Rules'!$E$34,0)</f>
        <v>88</v>
      </c>
      <c r="O457" s="9">
        <v>29</v>
      </c>
    </row>
    <row r="458" spans="1:15" ht="21" customHeight="1">
      <c r="A458" s="9" t="s">
        <v>684</v>
      </c>
      <c r="B458" s="12">
        <f>IF(LEFT(H458,5)="VALID",M458,"")</f>
        <v>57</v>
      </c>
      <c r="C458" s="12">
        <f>IF(LEFT(H458,5)="VALID",N458,"")</f>
        <v>81</v>
      </c>
      <c r="D458" s="10" t="s">
        <v>82</v>
      </c>
      <c r="E458" s="10" t="s">
        <v>653</v>
      </c>
      <c r="F458" s="10" t="s">
        <v>200</v>
      </c>
      <c r="G458" s="10" t="s">
        <v>186</v>
      </c>
      <c r="H458" s="11" t="str">
        <f>IF(OR(M458&lt;=0,N458&lt;=0),"SKIPPED - NONPOSITIVE",IF(OR(M458&lt;L458,N458&lt;L458),"SKIPPED - BELOW MIN",IF(OR(M458&gt;J458,N458&gt;K458),"SKIPPED - EXCEEDS BASE",IF(COUNTIFS($M$428:M457,M458,$N$428:N457,N458)&gt;0,"SKIPPED - DUPLICATE","VALID - GENERATED"))))</f>
        <v>VALID - GENERATED</v>
      </c>
      <c r="I458" s="10" t="s">
        <v>654</v>
      </c>
      <c r="J458" s="12">
        <f>'05-ISO Reference'!$B$11</f>
        <v>105</v>
      </c>
      <c r="K458" s="12">
        <f>'05-ISO Reference'!$C$11</f>
        <v>148</v>
      </c>
      <c r="L458" s="12">
        <f>'01-Process Controls'!$G$5</f>
        <v>3</v>
      </c>
      <c r="M458" s="12">
        <f>ROUNDDOWN(J458*'04-Variant Rules'!$D$35,0)</f>
        <v>57</v>
      </c>
      <c r="N458" s="12">
        <f>ROUNDDOWN(K458*'04-Variant Rules'!$E$35,0)</f>
        <v>81</v>
      </c>
      <c r="O458" s="9">
        <v>30</v>
      </c>
    </row>
    <row r="459" spans="1:15" ht="21" customHeight="1">
      <c r="A459" s="9" t="s">
        <v>685</v>
      </c>
      <c r="B459" s="12">
        <f>IF(LEFT(H459,5)="VALID",M459,"")</f>
        <v>47</v>
      </c>
      <c r="C459" s="12">
        <f>IF(LEFT(H459,5)="VALID",N459,"")</f>
        <v>66</v>
      </c>
      <c r="D459" s="10" t="s">
        <v>82</v>
      </c>
      <c r="E459" s="10" t="s">
        <v>653</v>
      </c>
      <c r="F459" s="10" t="s">
        <v>202</v>
      </c>
      <c r="G459" s="10" t="s">
        <v>186</v>
      </c>
      <c r="H459" s="11" t="str">
        <f>IF(OR(M459&lt;=0,N459&lt;=0),"SKIPPED - NONPOSITIVE",IF(OR(M459&lt;L459,N459&lt;L459),"SKIPPED - BELOW MIN",IF(OR(M459&gt;J459,N459&gt;K459),"SKIPPED - EXCEEDS BASE",IF(COUNTIFS($M$428:M458,M459,$N$428:N458,N459)&gt;0,"SKIPPED - DUPLICATE","VALID - GENERATED"))))</f>
        <v>VALID - GENERATED</v>
      </c>
      <c r="I459" s="10" t="s">
        <v>654</v>
      </c>
      <c r="J459" s="12">
        <f>'05-ISO Reference'!$B$11</f>
        <v>105</v>
      </c>
      <c r="K459" s="12">
        <f>'05-ISO Reference'!$C$11</f>
        <v>148</v>
      </c>
      <c r="L459" s="12">
        <f>'01-Process Controls'!$G$5</f>
        <v>3</v>
      </c>
      <c r="M459" s="12">
        <f>ROUNDDOWN(J459*'04-Variant Rules'!$D$36,0)</f>
        <v>47</v>
      </c>
      <c r="N459" s="12">
        <f>ROUNDDOWN(K459*'04-Variant Rules'!$E$36,0)</f>
        <v>66</v>
      </c>
      <c r="O459" s="9">
        <v>31</v>
      </c>
    </row>
    <row r="460" spans="1:15" ht="21" customHeight="1">
      <c r="A460" s="9" t="s">
        <v>686</v>
      </c>
      <c r="B460" s="12">
        <f>IF(LEFT(H460,5)="VALID",M460,"")</f>
        <v>42</v>
      </c>
      <c r="C460" s="12">
        <f>IF(LEFT(H460,5)="VALID",N460,"")</f>
        <v>59</v>
      </c>
      <c r="D460" s="10" t="s">
        <v>82</v>
      </c>
      <c r="E460" s="10" t="s">
        <v>653</v>
      </c>
      <c r="F460" s="10" t="s">
        <v>204</v>
      </c>
      <c r="G460" s="10" t="s">
        <v>186</v>
      </c>
      <c r="H460" s="11" t="str">
        <f>IF(OR(M460&lt;=0,N460&lt;=0),"SKIPPED - NONPOSITIVE",IF(OR(M460&lt;L460,N460&lt;L460),"SKIPPED - BELOW MIN",IF(OR(M460&gt;J460,N460&gt;K460),"SKIPPED - EXCEEDS BASE",IF(COUNTIFS($M$428:M459,M460,$N$428:N459,N460)&gt;0,"SKIPPED - DUPLICATE","VALID - GENERATED"))))</f>
        <v>VALID - GENERATED</v>
      </c>
      <c r="I460" s="10" t="s">
        <v>654</v>
      </c>
      <c r="J460" s="12">
        <f>'05-ISO Reference'!$B$11</f>
        <v>105</v>
      </c>
      <c r="K460" s="12">
        <f>'05-ISO Reference'!$C$11</f>
        <v>148</v>
      </c>
      <c r="L460" s="12">
        <f>'01-Process Controls'!$G$5</f>
        <v>3</v>
      </c>
      <c r="M460" s="12">
        <f>ROUNDDOWN(J460*'04-Variant Rules'!$D$37,0)</f>
        <v>42</v>
      </c>
      <c r="N460" s="12">
        <f>ROUNDDOWN(K460*'04-Variant Rules'!$E$37,0)</f>
        <v>59</v>
      </c>
      <c r="O460" s="9">
        <v>32</v>
      </c>
    </row>
    <row r="461" spans="1:15" ht="21" customHeight="1">
      <c r="A461" s="9" t="s">
        <v>687</v>
      </c>
      <c r="B461" s="12">
        <f>IF(LEFT(H461,5)="VALID",M461,"")</f>
        <v>36</v>
      </c>
      <c r="C461" s="12">
        <f>IF(LEFT(H461,5)="VALID",N461,"")</f>
        <v>51</v>
      </c>
      <c r="D461" s="10" t="s">
        <v>82</v>
      </c>
      <c r="E461" s="10" t="s">
        <v>653</v>
      </c>
      <c r="F461" s="10" t="s">
        <v>206</v>
      </c>
      <c r="G461" s="10" t="s">
        <v>186</v>
      </c>
      <c r="H461" s="11" t="str">
        <f>IF(OR(M461&lt;=0,N461&lt;=0),"SKIPPED - NONPOSITIVE",IF(OR(M461&lt;L461,N461&lt;L461),"SKIPPED - BELOW MIN",IF(OR(M461&gt;J461,N461&gt;K461),"SKIPPED - EXCEEDS BASE",IF(COUNTIFS($M$428:M460,M461,$N$428:N460,N461)&gt;0,"SKIPPED - DUPLICATE","VALID - GENERATED"))))</f>
        <v>VALID - GENERATED</v>
      </c>
      <c r="I461" s="10" t="s">
        <v>654</v>
      </c>
      <c r="J461" s="12">
        <f>'05-ISO Reference'!$B$11</f>
        <v>105</v>
      </c>
      <c r="K461" s="12">
        <f>'05-ISO Reference'!$C$11</f>
        <v>148</v>
      </c>
      <c r="L461" s="12">
        <f>'01-Process Controls'!$G$5</f>
        <v>3</v>
      </c>
      <c r="M461" s="12">
        <f>ROUNDDOWN(J461*'04-Variant Rules'!$D$38,0)</f>
        <v>36</v>
      </c>
      <c r="N461" s="12">
        <f>ROUNDDOWN(K461*'04-Variant Rules'!$E$38,0)</f>
        <v>51</v>
      </c>
      <c r="O461" s="9">
        <v>33</v>
      </c>
    </row>
    <row r="462" spans="1:15" ht="21" customHeight="1">
      <c r="A462" s="9" t="s">
        <v>688</v>
      </c>
      <c r="B462" s="12">
        <f>IF(LEFT(H462,5)="VALID",M462,"")</f>
        <v>31</v>
      </c>
      <c r="C462" s="12">
        <f>IF(LEFT(H462,5)="VALID",N462,"")</f>
        <v>44</v>
      </c>
      <c r="D462" s="10" t="s">
        <v>82</v>
      </c>
      <c r="E462" s="10" t="s">
        <v>653</v>
      </c>
      <c r="F462" s="10" t="s">
        <v>208</v>
      </c>
      <c r="G462" s="10" t="s">
        <v>186</v>
      </c>
      <c r="H462" s="11" t="str">
        <f>IF(OR(M462&lt;=0,N462&lt;=0),"SKIPPED - NONPOSITIVE",IF(OR(M462&lt;L462,N462&lt;L462),"SKIPPED - BELOW MIN",IF(OR(M462&gt;J462,N462&gt;K462),"SKIPPED - EXCEEDS BASE",IF(COUNTIFS($M$428:M461,M462,$N$428:N461,N462)&gt;0,"SKIPPED - DUPLICATE","VALID - GENERATED"))))</f>
        <v>VALID - GENERATED</v>
      </c>
      <c r="I462" s="10" t="s">
        <v>654</v>
      </c>
      <c r="J462" s="12">
        <f>'05-ISO Reference'!$B$11</f>
        <v>105</v>
      </c>
      <c r="K462" s="12">
        <f>'05-ISO Reference'!$C$11</f>
        <v>148</v>
      </c>
      <c r="L462" s="12">
        <f>'01-Process Controls'!$G$5</f>
        <v>3</v>
      </c>
      <c r="M462" s="12">
        <f>ROUNDDOWN(J462*'04-Variant Rules'!$D$39,0)</f>
        <v>31</v>
      </c>
      <c r="N462" s="12">
        <f>ROUNDDOWN(K462*'04-Variant Rules'!$E$39,0)</f>
        <v>44</v>
      </c>
      <c r="O462" s="9">
        <v>34</v>
      </c>
    </row>
    <row r="463" spans="1:15" ht="21" customHeight="1">
      <c r="A463" s="9" t="s">
        <v>689</v>
      </c>
      <c r="B463" s="12">
        <f>IF(LEFT(H463,5)="VALID",M463,"")</f>
        <v>21</v>
      </c>
      <c r="C463" s="12">
        <f>IF(LEFT(H463,5)="VALID",N463,"")</f>
        <v>29</v>
      </c>
      <c r="D463" s="10" t="s">
        <v>82</v>
      </c>
      <c r="E463" s="10" t="s">
        <v>653</v>
      </c>
      <c r="F463" s="10" t="s">
        <v>210</v>
      </c>
      <c r="G463" s="10" t="s">
        <v>186</v>
      </c>
      <c r="H463" s="11" t="str">
        <f>IF(OR(M463&lt;=0,N463&lt;=0),"SKIPPED - NONPOSITIVE",IF(OR(M463&lt;L463,N463&lt;L463),"SKIPPED - BELOW MIN",IF(OR(M463&gt;J463,N463&gt;K463),"SKIPPED - EXCEEDS BASE",IF(COUNTIFS($M$428:M462,M463,$N$428:N462,N463)&gt;0,"SKIPPED - DUPLICATE","VALID - GENERATED"))))</f>
        <v>VALID - GENERATED</v>
      </c>
      <c r="I463" s="10" t="s">
        <v>654</v>
      </c>
      <c r="J463" s="12">
        <f>'05-ISO Reference'!$B$11</f>
        <v>105</v>
      </c>
      <c r="K463" s="12">
        <f>'05-ISO Reference'!$C$11</f>
        <v>148</v>
      </c>
      <c r="L463" s="12">
        <f>'01-Process Controls'!$G$5</f>
        <v>3</v>
      </c>
      <c r="M463" s="12">
        <f>ROUNDDOWN(J463*'04-Variant Rules'!$D$40,0)</f>
        <v>21</v>
      </c>
      <c r="N463" s="12">
        <f>ROUNDDOWN(K463*'04-Variant Rules'!$E$40,0)</f>
        <v>29</v>
      </c>
      <c r="O463" s="9">
        <v>35</v>
      </c>
    </row>
    <row r="464" spans="1:15" ht="21" customHeight="1">
      <c r="A464" s="9" t="s">
        <v>690</v>
      </c>
      <c r="B464" s="12">
        <f>IF(LEFT(H464,5)="VALID",M464,"")</f>
        <v>15</v>
      </c>
      <c r="C464" s="12">
        <f>IF(LEFT(H464,5)="VALID",N464,"")</f>
        <v>22</v>
      </c>
      <c r="D464" s="10" t="s">
        <v>82</v>
      </c>
      <c r="E464" s="10" t="s">
        <v>653</v>
      </c>
      <c r="F464" s="10" t="s">
        <v>212</v>
      </c>
      <c r="G464" s="10" t="s">
        <v>213</v>
      </c>
      <c r="H464" s="11" t="str">
        <f>IF(OR(M464&lt;=0,N464&lt;=0),"SKIPPED - NONPOSITIVE",IF(OR(M464&lt;L464,N464&lt;L464),"SKIPPED - BELOW MIN",IF(OR(M464&gt;J464,N464&gt;K464),"SKIPPED - EXCEEDS BASE",IF(COUNTIFS($M$428:M463,M464,$N$428:N463,N464)&gt;0,"SKIPPED - DUPLICATE","VALID - GENERATED"))))</f>
        <v>VALID - GENERATED</v>
      </c>
      <c r="I464" s="10" t="s">
        <v>654</v>
      </c>
      <c r="J464" s="12">
        <f>'05-ISO Reference'!$B$11</f>
        <v>105</v>
      </c>
      <c r="K464" s="12">
        <f>'05-ISO Reference'!$C$11</f>
        <v>148</v>
      </c>
      <c r="L464" s="12">
        <f>'01-Process Controls'!$G$5</f>
        <v>3</v>
      </c>
      <c r="M464" s="12">
        <f>ROUNDDOWN(J464*'04-Variant Rules'!$D$41,0)</f>
        <v>15</v>
      </c>
      <c r="N464" s="12">
        <f>ROUNDDOWN(K464*'04-Variant Rules'!$E$41,0)</f>
        <v>22</v>
      </c>
      <c r="O464" s="9">
        <v>36</v>
      </c>
    </row>
    <row r="465" spans="1:15" ht="21" customHeight="1">
      <c r="A465" s="9" t="s">
        <v>691</v>
      </c>
      <c r="B465" s="12">
        <f>IF(LEFT(H465,5)="VALID",M465,"")</f>
        <v>105</v>
      </c>
      <c r="C465" s="12">
        <f>IF(LEFT(H465,5)="VALID",N465,"")</f>
        <v>105</v>
      </c>
      <c r="D465" s="10" t="s">
        <v>82</v>
      </c>
      <c r="E465" s="10" t="s">
        <v>653</v>
      </c>
      <c r="F465" s="10" t="s">
        <v>215</v>
      </c>
      <c r="G465" s="10" t="s">
        <v>216</v>
      </c>
      <c r="H465" s="11" t="str">
        <f>IF(OR(M465&lt;=0,N465&lt;=0),"SKIPPED - NONPOSITIVE",IF(OR(M465&lt;L465,N465&lt;L465),"SKIPPED - BELOW MIN",IF(OR(M465&gt;J465,N465&gt;K465),"SKIPPED - EXCEEDS BASE",IF(COUNTIFS($M$428:M464,M465,$N$428:N464,N465)&gt;0,"SKIPPED - DUPLICATE","VALID - GENERATED"))))</f>
        <v>VALID - GENERATED</v>
      </c>
      <c r="I465" s="10" t="s">
        <v>654</v>
      </c>
      <c r="J465" s="12">
        <f>'05-ISO Reference'!$B$11</f>
        <v>105</v>
      </c>
      <c r="K465" s="12">
        <f>'05-ISO Reference'!$C$11</f>
        <v>148</v>
      </c>
      <c r="L465" s="12">
        <f>'01-Process Controls'!$G$5</f>
        <v>3</v>
      </c>
      <c r="M465" s="12">
        <f>ROUNDDOWN(MIN(J465,K465)*'04-Variant Rules'!$D$42,0)</f>
        <v>105</v>
      </c>
      <c r="N465" s="12">
        <f>ROUNDDOWN(MIN(J465,K465)*'04-Variant Rules'!$D$42,0)</f>
        <v>105</v>
      </c>
      <c r="O465" s="9">
        <v>37</v>
      </c>
    </row>
    <row r="466" spans="1:15" ht="21" customHeight="1">
      <c r="A466" s="9" t="s">
        <v>692</v>
      </c>
      <c r="B466" s="12">
        <f>IF(LEFT(H466,5)="VALID",M466,"")</f>
        <v>94</v>
      </c>
      <c r="C466" s="12">
        <f>IF(LEFT(H466,5)="VALID",N466,"")</f>
        <v>94</v>
      </c>
      <c r="D466" s="10" t="s">
        <v>82</v>
      </c>
      <c r="E466" s="10" t="s">
        <v>653</v>
      </c>
      <c r="F466" s="10" t="s">
        <v>218</v>
      </c>
      <c r="G466" s="10" t="s">
        <v>219</v>
      </c>
      <c r="H466" s="11" t="str">
        <f>IF(OR(M466&lt;=0,N466&lt;=0),"SKIPPED - NONPOSITIVE",IF(OR(M466&lt;L466,N466&lt;L466),"SKIPPED - BELOW MIN",IF(OR(M466&gt;J466,N466&gt;K466),"SKIPPED - EXCEEDS BASE",IF(COUNTIFS($M$428:M465,M466,$N$428:N465,N466)&gt;0,"SKIPPED - DUPLICATE","VALID - GENERATED"))))</f>
        <v>VALID - GENERATED</v>
      </c>
      <c r="I466" s="10" t="s">
        <v>654</v>
      </c>
      <c r="J466" s="12">
        <f>'05-ISO Reference'!$B$11</f>
        <v>105</v>
      </c>
      <c r="K466" s="12">
        <f>'05-ISO Reference'!$C$11</f>
        <v>148</v>
      </c>
      <c r="L466" s="12">
        <f>'01-Process Controls'!$G$5</f>
        <v>3</v>
      </c>
      <c r="M466" s="12">
        <f>ROUNDDOWN(MIN(J466,K466)*'04-Variant Rules'!$D$43,0)</f>
        <v>94</v>
      </c>
      <c r="N466" s="12">
        <f>ROUNDDOWN(MIN(J466,K466)*'04-Variant Rules'!$D$43,0)</f>
        <v>94</v>
      </c>
      <c r="O466" s="9">
        <v>38</v>
      </c>
    </row>
    <row r="467" spans="1:15" ht="21" customHeight="1">
      <c r="A467" s="9" t="s">
        <v>693</v>
      </c>
      <c r="B467" s="12">
        <f>IF(LEFT(H467,5)="VALID",M467,"")</f>
        <v>84</v>
      </c>
      <c r="C467" s="12">
        <f>IF(LEFT(H467,5)="VALID",N467,"")</f>
        <v>84</v>
      </c>
      <c r="D467" s="10" t="s">
        <v>82</v>
      </c>
      <c r="E467" s="10" t="s">
        <v>653</v>
      </c>
      <c r="F467" s="10" t="s">
        <v>221</v>
      </c>
      <c r="G467" s="10" t="s">
        <v>219</v>
      </c>
      <c r="H467" s="11" t="str">
        <f>IF(OR(M467&lt;=0,N467&lt;=0),"SKIPPED - NONPOSITIVE",IF(OR(M467&lt;L467,N467&lt;L467),"SKIPPED - BELOW MIN",IF(OR(M467&gt;J467,N467&gt;K467),"SKIPPED - EXCEEDS BASE",IF(COUNTIFS($M$428:M466,M467,$N$428:N466,N467)&gt;0,"SKIPPED - DUPLICATE","VALID - GENERATED"))))</f>
        <v>VALID - GENERATED</v>
      </c>
      <c r="I467" s="10" t="s">
        <v>654</v>
      </c>
      <c r="J467" s="12">
        <f>'05-ISO Reference'!$B$11</f>
        <v>105</v>
      </c>
      <c r="K467" s="12">
        <f>'05-ISO Reference'!$C$11</f>
        <v>148</v>
      </c>
      <c r="L467" s="12">
        <f>'01-Process Controls'!$G$5</f>
        <v>3</v>
      </c>
      <c r="M467" s="12">
        <f>ROUNDDOWN(MIN(J467,K467)*'04-Variant Rules'!$D$44,0)</f>
        <v>84</v>
      </c>
      <c r="N467" s="12">
        <f>ROUNDDOWN(MIN(J467,K467)*'04-Variant Rules'!$D$44,0)</f>
        <v>84</v>
      </c>
      <c r="O467" s="9">
        <v>39</v>
      </c>
    </row>
    <row r="468" spans="1:15" ht="21" customHeight="1">
      <c r="A468" s="9" t="s">
        <v>694</v>
      </c>
      <c r="B468" s="12">
        <f>IF(LEFT(H468,5)="VALID",M468,"")</f>
        <v>78</v>
      </c>
      <c r="C468" s="12">
        <f>IF(LEFT(H468,5)="VALID",N468,"")</f>
        <v>78</v>
      </c>
      <c r="D468" s="10" t="s">
        <v>82</v>
      </c>
      <c r="E468" s="10" t="s">
        <v>653</v>
      </c>
      <c r="F468" s="10" t="s">
        <v>223</v>
      </c>
      <c r="G468" s="10" t="s">
        <v>219</v>
      </c>
      <c r="H468" s="11" t="str">
        <f>IF(OR(M468&lt;=0,N468&lt;=0),"SKIPPED - NONPOSITIVE",IF(OR(M468&lt;L468,N468&lt;L468),"SKIPPED - BELOW MIN",IF(OR(M468&gt;J468,N468&gt;K468),"SKIPPED - EXCEEDS BASE",IF(COUNTIFS($M$428:M467,M468,$N$428:N467,N468)&gt;0,"SKIPPED - DUPLICATE","VALID - GENERATED"))))</f>
        <v>VALID - GENERATED</v>
      </c>
      <c r="I468" s="10" t="s">
        <v>654</v>
      </c>
      <c r="J468" s="12">
        <f>'05-ISO Reference'!$B$11</f>
        <v>105</v>
      </c>
      <c r="K468" s="12">
        <f>'05-ISO Reference'!$C$11</f>
        <v>148</v>
      </c>
      <c r="L468" s="12">
        <f>'01-Process Controls'!$G$5</f>
        <v>3</v>
      </c>
      <c r="M468" s="12">
        <f>ROUNDDOWN(MIN(J468,K468)*'04-Variant Rules'!$D$45,0)</f>
        <v>78</v>
      </c>
      <c r="N468" s="12">
        <f>ROUNDDOWN(MIN(J468,K468)*'04-Variant Rules'!$D$45,0)</f>
        <v>78</v>
      </c>
      <c r="O468" s="9">
        <v>40</v>
      </c>
    </row>
    <row r="469" spans="1:15" ht="21" customHeight="1">
      <c r="A469" s="9" t="s">
        <v>695</v>
      </c>
      <c r="B469" s="12">
        <f>IF(LEFT(H469,5)="VALID",M469,"")</f>
        <v>70</v>
      </c>
      <c r="C469" s="12">
        <f>IF(LEFT(H469,5)="VALID",N469,"")</f>
        <v>70</v>
      </c>
      <c r="D469" s="10" t="s">
        <v>82</v>
      </c>
      <c r="E469" s="10" t="s">
        <v>653</v>
      </c>
      <c r="F469" s="10" t="s">
        <v>225</v>
      </c>
      <c r="G469" s="10" t="s">
        <v>219</v>
      </c>
      <c r="H469" s="11" t="str">
        <f>IF(OR(M469&lt;=0,N469&lt;=0),"SKIPPED - NONPOSITIVE",IF(OR(M469&lt;L469,N469&lt;L469),"SKIPPED - BELOW MIN",IF(OR(M469&gt;J469,N469&gt;K469),"SKIPPED - EXCEEDS BASE",IF(COUNTIFS($M$428:M468,M469,$N$428:N468,N469)&gt;0,"SKIPPED - DUPLICATE","VALID - GENERATED"))))</f>
        <v>VALID - GENERATED</v>
      </c>
      <c r="I469" s="10" t="s">
        <v>654</v>
      </c>
      <c r="J469" s="12">
        <f>'05-ISO Reference'!$B$11</f>
        <v>105</v>
      </c>
      <c r="K469" s="12">
        <f>'05-ISO Reference'!$C$11</f>
        <v>148</v>
      </c>
      <c r="L469" s="12">
        <f>'01-Process Controls'!$G$5</f>
        <v>3</v>
      </c>
      <c r="M469" s="12">
        <f>ROUNDDOWN(MIN(J469,K469)*'04-Variant Rules'!$D$46,0)</f>
        <v>70</v>
      </c>
      <c r="N469" s="12">
        <f>ROUNDDOWN(MIN(J469,K469)*'04-Variant Rules'!$D$46,0)</f>
        <v>70</v>
      </c>
      <c r="O469" s="9">
        <v>41</v>
      </c>
    </row>
    <row r="470" spans="1:15" ht="21" customHeight="1">
      <c r="A470" s="9" t="s">
        <v>696</v>
      </c>
      <c r="B470" s="12">
        <f>IF(LEFT(H470,5)="VALID",M470,"")</f>
        <v>63</v>
      </c>
      <c r="C470" s="12">
        <f>IF(LEFT(H470,5)="VALID",N470,"")</f>
        <v>63</v>
      </c>
      <c r="D470" s="10" t="s">
        <v>82</v>
      </c>
      <c r="E470" s="10" t="s">
        <v>653</v>
      </c>
      <c r="F470" s="10" t="s">
        <v>227</v>
      </c>
      <c r="G470" s="10" t="s">
        <v>219</v>
      </c>
      <c r="H470" s="11" t="str">
        <f>IF(OR(M470&lt;=0,N470&lt;=0),"SKIPPED - NONPOSITIVE",IF(OR(M470&lt;L470,N470&lt;L470),"SKIPPED - BELOW MIN",IF(OR(M470&gt;J470,N470&gt;K470),"SKIPPED - EXCEEDS BASE",IF(COUNTIFS($M$428:M469,M470,$N$428:N469,N470)&gt;0,"SKIPPED - DUPLICATE","VALID - GENERATED"))))</f>
        <v>VALID - GENERATED</v>
      </c>
      <c r="I470" s="10" t="s">
        <v>654</v>
      </c>
      <c r="J470" s="12">
        <f>'05-ISO Reference'!$B$11</f>
        <v>105</v>
      </c>
      <c r="K470" s="12">
        <f>'05-ISO Reference'!$C$11</f>
        <v>148</v>
      </c>
      <c r="L470" s="12">
        <f>'01-Process Controls'!$G$5</f>
        <v>3</v>
      </c>
      <c r="M470" s="12">
        <f>ROUNDDOWN(MIN(J470,K470)*'04-Variant Rules'!$D$47,0)</f>
        <v>63</v>
      </c>
      <c r="N470" s="12">
        <f>ROUNDDOWN(MIN(J470,K470)*'04-Variant Rules'!$D$47,0)</f>
        <v>63</v>
      </c>
      <c r="O470" s="9">
        <v>42</v>
      </c>
    </row>
    <row r="471" spans="1:15" ht="21" customHeight="1">
      <c r="A471" s="9" t="s">
        <v>697</v>
      </c>
      <c r="B471" s="12">
        <f>IF(LEFT(H471,5)="VALID",M471,"")</f>
        <v>52</v>
      </c>
      <c r="C471" s="12">
        <f>IF(LEFT(H471,5)="VALID",N471,"")</f>
        <v>52</v>
      </c>
      <c r="D471" s="10" t="s">
        <v>82</v>
      </c>
      <c r="E471" s="10" t="s">
        <v>653</v>
      </c>
      <c r="F471" s="10" t="s">
        <v>229</v>
      </c>
      <c r="G471" s="10" t="s">
        <v>219</v>
      </c>
      <c r="H471" s="11" t="str">
        <f>IF(OR(M471&lt;=0,N471&lt;=0),"SKIPPED - NONPOSITIVE",IF(OR(M471&lt;L471,N471&lt;L471),"SKIPPED - BELOW MIN",IF(OR(M471&gt;J471,N471&gt;K471),"SKIPPED - EXCEEDS BASE",IF(COUNTIFS($M$428:M470,M471,$N$428:N470,N471)&gt;0,"SKIPPED - DUPLICATE","VALID - GENERATED"))))</f>
        <v>VALID - GENERATED</v>
      </c>
      <c r="I471" s="10" t="s">
        <v>654</v>
      </c>
      <c r="J471" s="12">
        <f>'05-ISO Reference'!$B$11</f>
        <v>105</v>
      </c>
      <c r="K471" s="12">
        <f>'05-ISO Reference'!$C$11</f>
        <v>148</v>
      </c>
      <c r="L471" s="12">
        <f>'01-Process Controls'!$G$5</f>
        <v>3</v>
      </c>
      <c r="M471" s="12">
        <f>ROUNDDOWN(MIN(J471,K471)*'04-Variant Rules'!$D$48,0)</f>
        <v>52</v>
      </c>
      <c r="N471" s="12">
        <f>ROUNDDOWN(MIN(J471,K471)*'04-Variant Rules'!$D$48,0)</f>
        <v>52</v>
      </c>
      <c r="O471" s="9">
        <v>43</v>
      </c>
    </row>
    <row r="472" spans="1:15" ht="21" customHeight="1">
      <c r="A472" s="9" t="s">
        <v>698</v>
      </c>
      <c r="B472" s="12">
        <f>IF(LEFT(H472,5)="VALID",M472,"")</f>
        <v>42</v>
      </c>
      <c r="C472" s="12">
        <f>IF(LEFT(H472,5)="VALID",N472,"")</f>
        <v>42</v>
      </c>
      <c r="D472" s="10" t="s">
        <v>82</v>
      </c>
      <c r="E472" s="10" t="s">
        <v>653</v>
      </c>
      <c r="F472" s="10" t="s">
        <v>231</v>
      </c>
      <c r="G472" s="10" t="s">
        <v>219</v>
      </c>
      <c r="H472" s="11" t="str">
        <f>IF(OR(M472&lt;=0,N472&lt;=0),"SKIPPED - NONPOSITIVE",IF(OR(M472&lt;L472,N472&lt;L472),"SKIPPED - BELOW MIN",IF(OR(M472&gt;J472,N472&gt;K472),"SKIPPED - EXCEEDS BASE",IF(COUNTIFS($M$428:M471,M472,$N$428:N471,N472)&gt;0,"SKIPPED - DUPLICATE","VALID - GENERATED"))))</f>
        <v>VALID - GENERATED</v>
      </c>
      <c r="I472" s="10" t="s">
        <v>654</v>
      </c>
      <c r="J472" s="12">
        <f>'05-ISO Reference'!$B$11</f>
        <v>105</v>
      </c>
      <c r="K472" s="12">
        <f>'05-ISO Reference'!$C$11</f>
        <v>148</v>
      </c>
      <c r="L472" s="12">
        <f>'01-Process Controls'!$G$5</f>
        <v>3</v>
      </c>
      <c r="M472" s="12">
        <f>ROUNDDOWN(MIN(J472,K472)*'04-Variant Rules'!$D$49,0)</f>
        <v>42</v>
      </c>
      <c r="N472" s="12">
        <f>ROUNDDOWN(MIN(J472,K472)*'04-Variant Rules'!$D$49,0)</f>
        <v>42</v>
      </c>
      <c r="O472" s="9">
        <v>44</v>
      </c>
    </row>
    <row r="473" spans="1:15" ht="21" customHeight="1">
      <c r="A473" s="9" t="s">
        <v>699</v>
      </c>
      <c r="B473" s="12">
        <f>IF(LEFT(H473,5)="VALID",M473,"")</f>
        <v>35</v>
      </c>
      <c r="C473" s="12">
        <f>IF(LEFT(H473,5)="VALID",N473,"")</f>
        <v>35</v>
      </c>
      <c r="D473" s="10" t="s">
        <v>82</v>
      </c>
      <c r="E473" s="10" t="s">
        <v>653</v>
      </c>
      <c r="F473" s="10" t="s">
        <v>233</v>
      </c>
      <c r="G473" s="10" t="s">
        <v>219</v>
      </c>
      <c r="H473" s="11" t="str">
        <f>IF(OR(M473&lt;=0,N473&lt;=0),"SKIPPED - NONPOSITIVE",IF(OR(M473&lt;L473,N473&lt;L473),"SKIPPED - BELOW MIN",IF(OR(M473&gt;J473,N473&gt;K473),"SKIPPED - EXCEEDS BASE",IF(COUNTIFS($M$428:M472,M473,$N$428:N472,N473)&gt;0,"SKIPPED - DUPLICATE","VALID - GENERATED"))))</f>
        <v>VALID - GENERATED</v>
      </c>
      <c r="I473" s="10" t="s">
        <v>654</v>
      </c>
      <c r="J473" s="12">
        <f>'05-ISO Reference'!$B$11</f>
        <v>105</v>
      </c>
      <c r="K473" s="12">
        <f>'05-ISO Reference'!$C$11</f>
        <v>148</v>
      </c>
      <c r="L473" s="12">
        <f>'01-Process Controls'!$G$5</f>
        <v>3</v>
      </c>
      <c r="M473" s="12">
        <f>ROUNDDOWN(MIN(J473,K473)*'04-Variant Rules'!$D$50,0)</f>
        <v>35</v>
      </c>
      <c r="N473" s="12">
        <f>ROUNDDOWN(MIN(J473,K473)*'04-Variant Rules'!$D$50,0)</f>
        <v>35</v>
      </c>
      <c r="O473" s="9">
        <v>45</v>
      </c>
    </row>
    <row r="474" spans="1:15" ht="21" customHeight="1">
      <c r="A474" s="9" t="s">
        <v>700</v>
      </c>
      <c r="B474" s="12">
        <f>IF(LEFT(H474,5)="VALID",M474,"")</f>
        <v>26</v>
      </c>
      <c r="C474" s="12">
        <f>IF(LEFT(H474,5)="VALID",N474,"")</f>
        <v>26</v>
      </c>
      <c r="D474" s="10" t="s">
        <v>82</v>
      </c>
      <c r="E474" s="10" t="s">
        <v>653</v>
      </c>
      <c r="F474" s="10" t="s">
        <v>235</v>
      </c>
      <c r="G474" s="10" t="s">
        <v>219</v>
      </c>
      <c r="H474" s="11" t="str">
        <f>IF(OR(M474&lt;=0,N474&lt;=0),"SKIPPED - NONPOSITIVE",IF(OR(M474&lt;L474,N474&lt;L474),"SKIPPED - BELOW MIN",IF(OR(M474&gt;J474,N474&gt;K474),"SKIPPED - EXCEEDS BASE",IF(COUNTIFS($M$428:M473,M474,$N$428:N473,N474)&gt;0,"SKIPPED - DUPLICATE","VALID - GENERATED"))))</f>
        <v>VALID - GENERATED</v>
      </c>
      <c r="I474" s="10" t="s">
        <v>654</v>
      </c>
      <c r="J474" s="12">
        <f>'05-ISO Reference'!$B$11</f>
        <v>105</v>
      </c>
      <c r="K474" s="12">
        <f>'05-ISO Reference'!$C$11</f>
        <v>148</v>
      </c>
      <c r="L474" s="12">
        <f>'01-Process Controls'!$G$5</f>
        <v>3</v>
      </c>
      <c r="M474" s="12">
        <f>ROUNDDOWN(MIN(J474,K474)*'04-Variant Rules'!$D$51,0)</f>
        <v>26</v>
      </c>
      <c r="N474" s="12">
        <f>ROUNDDOWN(MIN(J474,K474)*'04-Variant Rules'!$D$51,0)</f>
        <v>26</v>
      </c>
      <c r="O474" s="9">
        <v>46</v>
      </c>
    </row>
    <row r="475" spans="1:15" ht="21" customHeight="1">
      <c r="A475" s="9" t="s">
        <v>701</v>
      </c>
      <c r="B475" s="12">
        <f>IF(LEFT(H475,5)="VALID",M475,"")</f>
        <v>21</v>
      </c>
      <c r="C475" s="12">
        <f>IF(LEFT(H475,5)="VALID",N475,"")</f>
        <v>21</v>
      </c>
      <c r="D475" s="10" t="s">
        <v>82</v>
      </c>
      <c r="E475" s="10" t="s">
        <v>653</v>
      </c>
      <c r="F475" s="10" t="s">
        <v>237</v>
      </c>
      <c r="G475" s="10" t="s">
        <v>219</v>
      </c>
      <c r="H475" s="11" t="str">
        <f>IF(OR(M475&lt;=0,N475&lt;=0),"SKIPPED - NONPOSITIVE",IF(OR(M475&lt;L475,N475&lt;L475),"SKIPPED - BELOW MIN",IF(OR(M475&gt;J475,N475&gt;K475),"SKIPPED - EXCEEDS BASE",IF(COUNTIFS($M$428:M474,M475,$N$428:N474,N475)&gt;0,"SKIPPED - DUPLICATE","VALID - GENERATED"))))</f>
        <v>VALID - GENERATED</v>
      </c>
      <c r="I475" s="10" t="s">
        <v>654</v>
      </c>
      <c r="J475" s="12">
        <f>'05-ISO Reference'!$B$11</f>
        <v>105</v>
      </c>
      <c r="K475" s="12">
        <f>'05-ISO Reference'!$C$11</f>
        <v>148</v>
      </c>
      <c r="L475" s="12">
        <f>'01-Process Controls'!$G$5</f>
        <v>3</v>
      </c>
      <c r="M475" s="12">
        <f>ROUNDDOWN(MIN(J475,K475)*'04-Variant Rules'!$D$52,0)</f>
        <v>21</v>
      </c>
      <c r="N475" s="12">
        <f>ROUNDDOWN(MIN(J475,K475)*'04-Variant Rules'!$D$52,0)</f>
        <v>21</v>
      </c>
      <c r="O475" s="9">
        <v>47</v>
      </c>
    </row>
    <row r="476" spans="1:15" ht="21" customHeight="1">
      <c r="A476" s="9" t="s">
        <v>702</v>
      </c>
      <c r="B476" s="12">
        <f>IF(LEFT(H476,5)="VALID",M476,"")</f>
        <v>105</v>
      </c>
      <c r="C476" s="12">
        <f>IF(LEFT(H476,5)="VALID",N476,"")</f>
        <v>78</v>
      </c>
      <c r="D476" s="10" t="s">
        <v>82</v>
      </c>
      <c r="E476" s="10" t="s">
        <v>653</v>
      </c>
      <c r="F476" s="10" t="s">
        <v>239</v>
      </c>
      <c r="G476" s="10" t="s">
        <v>240</v>
      </c>
      <c r="H476" s="11" t="str">
        <f>IF(OR(M476&lt;=0,N476&lt;=0),"SKIPPED - NONPOSITIVE",IF(OR(M476&lt;L476,N476&lt;L476),"SKIPPED - BELOW MIN",IF(OR(M476&gt;J476,N476&gt;K476),"SKIPPED - EXCEEDS BASE",IF(COUNTIFS($M$428:M475,M476,$N$428:N475,N476)&gt;0,"SKIPPED - DUPLICATE","VALID - GENERATED"))))</f>
        <v>VALID - GENERATED</v>
      </c>
      <c r="I476" s="10" t="s">
        <v>654</v>
      </c>
      <c r="J476" s="12">
        <f>'05-ISO Reference'!$B$11</f>
        <v>105</v>
      </c>
      <c r="K476" s="12">
        <f>'05-ISO Reference'!$C$11</f>
        <v>148</v>
      </c>
      <c r="L476" s="12">
        <f>'01-Process Controls'!$G$5</f>
        <v>3</v>
      </c>
      <c r="M476" s="12">
        <f>ROUNDDOWN(MIN(J476,K476*'04-Variant Rules'!$D$53),0)</f>
        <v>105</v>
      </c>
      <c r="N476" s="12">
        <f>ROUNDDOWN(M476/'04-Variant Rules'!$D$53,0)</f>
        <v>78</v>
      </c>
      <c r="O476" s="9">
        <v>48</v>
      </c>
    </row>
    <row r="477" spans="1:15" ht="21" customHeight="1">
      <c r="A477" s="9" t="s">
        <v>703</v>
      </c>
      <c r="B477" s="12">
        <f>IF(LEFT(H477,5)="VALID",M477,"")</f>
        <v>105</v>
      </c>
      <c r="C477" s="12">
        <f>IF(LEFT(H477,5)="VALID",N477,"")</f>
        <v>140</v>
      </c>
      <c r="D477" s="10" t="s">
        <v>82</v>
      </c>
      <c r="E477" s="10" t="s">
        <v>653</v>
      </c>
      <c r="F477" s="10" t="s">
        <v>242</v>
      </c>
      <c r="G477" s="10" t="s">
        <v>243</v>
      </c>
      <c r="H477" s="11" t="str">
        <f>IF(OR(M477&lt;=0,N477&lt;=0),"SKIPPED - NONPOSITIVE",IF(OR(M477&lt;L477,N477&lt;L477),"SKIPPED - BELOW MIN",IF(OR(M477&gt;J477,N477&gt;K477),"SKIPPED - EXCEEDS BASE",IF(COUNTIFS($M$428:M476,M477,$N$428:N476,N477)&gt;0,"SKIPPED - DUPLICATE","VALID - GENERATED"))))</f>
        <v>VALID - GENERATED</v>
      </c>
      <c r="I477" s="10" t="s">
        <v>654</v>
      </c>
      <c r="J477" s="12">
        <f>'05-ISO Reference'!$B$11</f>
        <v>105</v>
      </c>
      <c r="K477" s="12">
        <f>'05-ISO Reference'!$C$11</f>
        <v>148</v>
      </c>
      <c r="L477" s="12">
        <f>'01-Process Controls'!$G$5</f>
        <v>3</v>
      </c>
      <c r="M477" s="12">
        <f>ROUNDDOWN(MIN(J477,K477*'04-Variant Rules'!$D$54),0)</f>
        <v>105</v>
      </c>
      <c r="N477" s="12">
        <f>ROUNDDOWN(M477/'04-Variant Rules'!$D$54,0)</f>
        <v>140</v>
      </c>
      <c r="O477" s="9">
        <v>49</v>
      </c>
    </row>
    <row r="478" spans="1:15" ht="21" customHeight="1">
      <c r="A478" s="9" t="s">
        <v>704</v>
      </c>
      <c r="B478" s="12">
        <f>IF(LEFT(H478,5)="VALID",M478,"")</f>
        <v>105</v>
      </c>
      <c r="C478" s="12">
        <f>IF(LEFT(H478,5)="VALID",N478,"")</f>
        <v>70</v>
      </c>
      <c r="D478" s="10" t="s">
        <v>82</v>
      </c>
      <c r="E478" s="10" t="s">
        <v>653</v>
      </c>
      <c r="F478" s="10" t="s">
        <v>245</v>
      </c>
      <c r="G478" s="10" t="s">
        <v>246</v>
      </c>
      <c r="H478" s="11" t="str">
        <f>IF(OR(M478&lt;=0,N478&lt;=0),"SKIPPED - NONPOSITIVE",IF(OR(M478&lt;L478,N478&lt;L478),"SKIPPED - BELOW MIN",IF(OR(M478&gt;J478,N478&gt;K478),"SKIPPED - EXCEEDS BASE",IF(COUNTIFS($M$428:M477,M478,$N$428:N477,N478)&gt;0,"SKIPPED - DUPLICATE","VALID - GENERATED"))))</f>
        <v>VALID - GENERATED</v>
      </c>
      <c r="I478" s="10" t="s">
        <v>654</v>
      </c>
      <c r="J478" s="12">
        <f>'05-ISO Reference'!$B$11</f>
        <v>105</v>
      </c>
      <c r="K478" s="12">
        <f>'05-ISO Reference'!$C$11</f>
        <v>148</v>
      </c>
      <c r="L478" s="12">
        <f>'01-Process Controls'!$G$5</f>
        <v>3</v>
      </c>
      <c r="M478" s="12">
        <f>ROUNDDOWN(MIN(J478,K478*'04-Variant Rules'!$D$55),0)</f>
        <v>105</v>
      </c>
      <c r="N478" s="12">
        <f>ROUNDDOWN(M478/'04-Variant Rules'!$D$55,0)</f>
        <v>70</v>
      </c>
      <c r="O478" s="9">
        <v>50</v>
      </c>
    </row>
    <row r="479" spans="1:15" ht="21" customHeight="1">
      <c r="A479" s="9" t="s">
        <v>705</v>
      </c>
      <c r="B479" s="12">
        <f>IF(LEFT(H479,5)="VALID",M479,"")</f>
        <v>98</v>
      </c>
      <c r="C479" s="12">
        <f>IF(LEFT(H479,5)="VALID",N479,"")</f>
        <v>147</v>
      </c>
      <c r="D479" s="10" t="s">
        <v>82</v>
      </c>
      <c r="E479" s="10" t="s">
        <v>653</v>
      </c>
      <c r="F479" s="10" t="s">
        <v>248</v>
      </c>
      <c r="G479" s="10" t="s">
        <v>249</v>
      </c>
      <c r="H479" s="11" t="str">
        <f>IF(OR(M479&lt;=0,N479&lt;=0),"SKIPPED - NONPOSITIVE",IF(OR(M479&lt;L479,N479&lt;L479),"SKIPPED - BELOW MIN",IF(OR(M479&gt;J479,N479&gt;K479),"SKIPPED - EXCEEDS BASE",IF(COUNTIFS($M$428:M478,M479,$N$428:N478,N479)&gt;0,"SKIPPED - DUPLICATE","VALID - GENERATED"))))</f>
        <v>VALID - GENERATED</v>
      </c>
      <c r="I479" s="10" t="s">
        <v>654</v>
      </c>
      <c r="J479" s="12">
        <f>'05-ISO Reference'!$B$11</f>
        <v>105</v>
      </c>
      <c r="K479" s="12">
        <f>'05-ISO Reference'!$C$11</f>
        <v>148</v>
      </c>
      <c r="L479" s="12">
        <f>'01-Process Controls'!$G$5</f>
        <v>3</v>
      </c>
      <c r="M479" s="12">
        <f>ROUNDDOWN(MIN(J479,K479*'04-Variant Rules'!$D$56),0)</f>
        <v>98</v>
      </c>
      <c r="N479" s="12">
        <f>ROUNDDOWN(M479/'04-Variant Rules'!$D$56,0)</f>
        <v>147</v>
      </c>
      <c r="O479" s="9">
        <v>51</v>
      </c>
    </row>
    <row r="480" spans="1:15" ht="21" customHeight="1">
      <c r="A480" s="9" t="s">
        <v>706</v>
      </c>
      <c r="B480" s="12">
        <f>IF(LEFT(H480,5)="VALID",M480,"")</f>
        <v>105</v>
      </c>
      <c r="C480" s="12">
        <f>IF(LEFT(H480,5)="VALID",N480,"")</f>
        <v>59</v>
      </c>
      <c r="D480" s="10" t="s">
        <v>82</v>
      </c>
      <c r="E480" s="10" t="s">
        <v>653</v>
      </c>
      <c r="F480" s="10" t="s">
        <v>251</v>
      </c>
      <c r="G480" s="10" t="s">
        <v>252</v>
      </c>
      <c r="H480" s="11" t="str">
        <f>IF(OR(M480&lt;=0,N480&lt;=0),"SKIPPED - NONPOSITIVE",IF(OR(M480&lt;L480,N480&lt;L480),"SKIPPED - BELOW MIN",IF(OR(M480&gt;J480,N480&gt;K480),"SKIPPED - EXCEEDS BASE",IF(COUNTIFS($M$428:M479,M480,$N$428:N479,N480)&gt;0,"SKIPPED - DUPLICATE","VALID - GENERATED"))))</f>
        <v>VALID - GENERATED</v>
      </c>
      <c r="I480" s="10" t="s">
        <v>654</v>
      </c>
      <c r="J480" s="12">
        <f>'05-ISO Reference'!$B$11</f>
        <v>105</v>
      </c>
      <c r="K480" s="12">
        <f>'05-ISO Reference'!$C$11</f>
        <v>148</v>
      </c>
      <c r="L480" s="12">
        <f>'01-Process Controls'!$G$5</f>
        <v>3</v>
      </c>
      <c r="M480" s="12">
        <f>ROUNDDOWN(MIN(J480,K480*'04-Variant Rules'!$D$57),0)</f>
        <v>105</v>
      </c>
      <c r="N480" s="12">
        <f>ROUNDDOWN(M480/'04-Variant Rules'!$D$57,0)</f>
        <v>59</v>
      </c>
      <c r="O480" s="9">
        <v>52</v>
      </c>
    </row>
    <row r="481" spans="1:15" ht="21" customHeight="1">
      <c r="A481" s="9" t="s">
        <v>707</v>
      </c>
      <c r="B481" s="12">
        <f>IF(LEFT(H481,5)="VALID",M481,"")</f>
        <v>83</v>
      </c>
      <c r="C481" s="12">
        <f>IF(LEFT(H481,5)="VALID",N481,"")</f>
        <v>147</v>
      </c>
      <c r="D481" s="10" t="s">
        <v>82</v>
      </c>
      <c r="E481" s="10" t="s">
        <v>653</v>
      </c>
      <c r="F481" s="10" t="s">
        <v>254</v>
      </c>
      <c r="G481" s="10" t="s">
        <v>255</v>
      </c>
      <c r="H481" s="11" t="str">
        <f>IF(OR(M481&lt;=0,N481&lt;=0),"SKIPPED - NONPOSITIVE",IF(OR(M481&lt;L481,N481&lt;L481),"SKIPPED - BELOW MIN",IF(OR(M481&gt;J481,N481&gt;K481),"SKIPPED - EXCEEDS BASE",IF(COUNTIFS($M$428:M480,M481,$N$428:N480,N481)&gt;0,"SKIPPED - DUPLICATE","VALID - GENERATED"))))</f>
        <v>VALID - GENERATED</v>
      </c>
      <c r="I481" s="10" t="s">
        <v>654</v>
      </c>
      <c r="J481" s="12">
        <f>'05-ISO Reference'!$B$11</f>
        <v>105</v>
      </c>
      <c r="K481" s="12">
        <f>'05-ISO Reference'!$C$11</f>
        <v>148</v>
      </c>
      <c r="L481" s="12">
        <f>'01-Process Controls'!$G$5</f>
        <v>3</v>
      </c>
      <c r="M481" s="12">
        <f>ROUNDDOWN(MIN(J481,K481*'04-Variant Rules'!$D$58),0)</f>
        <v>83</v>
      </c>
      <c r="N481" s="12">
        <f>ROUNDDOWN(M481/'04-Variant Rules'!$D$58,0)</f>
        <v>147</v>
      </c>
      <c r="O481" s="9">
        <v>53</v>
      </c>
    </row>
    <row r="482" spans="1:15" ht="21" customHeight="1">
      <c r="A482" s="9" t="s">
        <v>708</v>
      </c>
      <c r="B482" s="12">
        <f>IF(LEFT(H482,5)="VALID",M482,"")</f>
        <v>105</v>
      </c>
      <c r="C482" s="12">
        <f>IF(LEFT(H482,5)="VALID",N482,"")</f>
        <v>52</v>
      </c>
      <c r="D482" s="10" t="s">
        <v>82</v>
      </c>
      <c r="E482" s="10" t="s">
        <v>653</v>
      </c>
      <c r="F482" s="10" t="s">
        <v>257</v>
      </c>
      <c r="G482" s="10" t="s">
        <v>258</v>
      </c>
      <c r="H482" s="11" t="str">
        <f>IF(OR(M482&lt;=0,N482&lt;=0),"SKIPPED - NONPOSITIVE",IF(OR(M482&lt;L482,N482&lt;L482),"SKIPPED - BELOW MIN",IF(OR(M482&gt;J482,N482&gt;K482),"SKIPPED - EXCEEDS BASE",IF(COUNTIFS($M$428:M481,M482,$N$428:N481,N482)&gt;0,"SKIPPED - DUPLICATE","VALID - GENERATED"))))</f>
        <v>VALID - GENERATED</v>
      </c>
      <c r="I482" s="10" t="s">
        <v>654</v>
      </c>
      <c r="J482" s="12">
        <f>'05-ISO Reference'!$B$11</f>
        <v>105</v>
      </c>
      <c r="K482" s="12">
        <f>'05-ISO Reference'!$C$11</f>
        <v>148</v>
      </c>
      <c r="L482" s="12">
        <f>'01-Process Controls'!$G$5</f>
        <v>3</v>
      </c>
      <c r="M482" s="12">
        <f>ROUNDDOWN(MIN(J482,K482*'04-Variant Rules'!$D$59),0)</f>
        <v>105</v>
      </c>
      <c r="N482" s="12">
        <f>ROUNDDOWN(M482/'04-Variant Rules'!$D$59,0)</f>
        <v>52</v>
      </c>
      <c r="O482" s="9">
        <v>54</v>
      </c>
    </row>
    <row r="483" spans="1:15" ht="21" customHeight="1">
      <c r="A483" s="9" t="s">
        <v>709</v>
      </c>
      <c r="B483" s="12">
        <f>IF(LEFT(H483,5)="VALID",M483,"")</f>
        <v>74</v>
      </c>
      <c r="C483" s="12">
        <f>IF(LEFT(H483,5)="VALID",N483,"")</f>
        <v>148</v>
      </c>
      <c r="D483" s="10" t="s">
        <v>82</v>
      </c>
      <c r="E483" s="10" t="s">
        <v>653</v>
      </c>
      <c r="F483" s="10" t="s">
        <v>260</v>
      </c>
      <c r="G483" s="10" t="s">
        <v>261</v>
      </c>
      <c r="H483" s="11" t="str">
        <f>IF(OR(M483&lt;=0,N483&lt;=0),"SKIPPED - NONPOSITIVE",IF(OR(M483&lt;L483,N483&lt;L483),"SKIPPED - BELOW MIN",IF(OR(M483&gt;J483,N483&gt;K483),"SKIPPED - EXCEEDS BASE",IF(COUNTIFS($M$428:M482,M483,$N$428:N482,N483)&gt;0,"SKIPPED - DUPLICATE","VALID - GENERATED"))))</f>
        <v>VALID - GENERATED</v>
      </c>
      <c r="I483" s="10" t="s">
        <v>654</v>
      </c>
      <c r="J483" s="12">
        <f>'05-ISO Reference'!$B$11</f>
        <v>105</v>
      </c>
      <c r="K483" s="12">
        <f>'05-ISO Reference'!$C$11</f>
        <v>148</v>
      </c>
      <c r="L483" s="12">
        <f>'01-Process Controls'!$G$5</f>
        <v>3</v>
      </c>
      <c r="M483" s="12">
        <f>ROUNDDOWN(MIN(J483,K483*'04-Variant Rules'!$D$60),0)</f>
        <v>74</v>
      </c>
      <c r="N483" s="12">
        <f>ROUNDDOWN(M483/'04-Variant Rules'!$D$60,0)</f>
        <v>148</v>
      </c>
      <c r="O483" s="9">
        <v>55</v>
      </c>
    </row>
    <row r="484" spans="1:15" ht="21" customHeight="1">
      <c r="A484" s="9" t="s">
        <v>710</v>
      </c>
      <c r="B484" s="48"/>
      <c r="C484" s="48"/>
      <c r="D484" s="10" t="s">
        <v>263</v>
      </c>
      <c r="E484" s="10" t="s">
        <v>711</v>
      </c>
      <c r="F484" s="10" t="s">
        <v>265</v>
      </c>
      <c r="G484" s="10" t="s">
        <v>266</v>
      </c>
      <c r="H484" s="11" t="str">
        <f>IF(AND(B484="",C484=""),"CUSTOM BLANK",IF(OR(B484="",C484=""),"ERROR - ENTER BOTH",IF(OR(B484&lt;=0,C484&lt;=0),"ERROR - NONPOSITIVE",IF(OR(B484&lt;L484,C484&lt;L484),"ERROR - BELOW MIN",IF(OR(AND(B484&lt;=J484,C484&lt;=K484),AND(B484&lt;=K484,C484&lt;=J484)),"VALID - CUSTOM","ERROR - EXCEEDS BASE")))))</f>
        <v>CUSTOM BLANK</v>
      </c>
      <c r="I484" s="10" t="s">
        <v>267</v>
      </c>
      <c r="J484" s="12">
        <f>'05-ISO Reference'!$B$11</f>
        <v>105</v>
      </c>
      <c r="K484" s="12">
        <f>'05-ISO Reference'!$C$11</f>
        <v>148</v>
      </c>
      <c r="L484" s="12">
        <f>'01-Process Controls'!$G$5</f>
        <v>3</v>
      </c>
      <c r="M484" s="8"/>
      <c r="N484" s="8"/>
    </row>
    <row r="485" spans="1:15" ht="21" customHeight="1">
      <c r="A485" s="9" t="s">
        <v>712</v>
      </c>
      <c r="B485" s="48"/>
      <c r="C485" s="48"/>
      <c r="D485" s="10" t="s">
        <v>263</v>
      </c>
      <c r="E485" s="10" t="s">
        <v>711</v>
      </c>
      <c r="F485" s="10" t="s">
        <v>265</v>
      </c>
      <c r="G485" s="10" t="s">
        <v>266</v>
      </c>
      <c r="H485" s="11" t="str">
        <f>IF(AND(B485="",C485=""),"CUSTOM BLANK",IF(OR(B485="",C485=""),"ERROR - ENTER BOTH",IF(OR(B485&lt;=0,C485&lt;=0),"ERROR - NONPOSITIVE",IF(OR(B485&lt;L485,C485&lt;L485),"ERROR - BELOW MIN",IF(OR(AND(B485&lt;=J485,C485&lt;=K485),AND(B485&lt;=K485,C485&lt;=J485)),"VALID - CUSTOM","ERROR - EXCEEDS BASE")))))</f>
        <v>CUSTOM BLANK</v>
      </c>
      <c r="I485" s="10" t="s">
        <v>267</v>
      </c>
      <c r="J485" s="12">
        <f>'05-ISO Reference'!$B$11</f>
        <v>105</v>
      </c>
      <c r="K485" s="12">
        <f>'05-ISO Reference'!$C$11</f>
        <v>148</v>
      </c>
      <c r="L485" s="12">
        <f>'01-Process Controls'!$G$5</f>
        <v>3</v>
      </c>
      <c r="M485" s="8"/>
      <c r="N485" s="8"/>
    </row>
    <row r="486" spans="1:15" ht="21" customHeight="1">
      <c r="A486" s="9" t="s">
        <v>713</v>
      </c>
      <c r="B486" s="48"/>
      <c r="C486" s="48"/>
      <c r="D486" s="10" t="s">
        <v>263</v>
      </c>
      <c r="E486" s="10" t="s">
        <v>711</v>
      </c>
      <c r="F486" s="10" t="s">
        <v>265</v>
      </c>
      <c r="G486" s="10" t="s">
        <v>266</v>
      </c>
      <c r="H486" s="11" t="str">
        <f>IF(AND(B486="",C486=""),"CUSTOM BLANK",IF(OR(B486="",C486=""),"ERROR - ENTER BOTH",IF(OR(B486&lt;=0,C486&lt;=0),"ERROR - NONPOSITIVE",IF(OR(B486&lt;L486,C486&lt;L486),"ERROR - BELOW MIN",IF(OR(AND(B486&lt;=J486,C486&lt;=K486),AND(B486&lt;=K486,C486&lt;=J486)),"VALID - CUSTOM","ERROR - EXCEEDS BASE")))))</f>
        <v>CUSTOM BLANK</v>
      </c>
      <c r="I486" s="10" t="s">
        <v>267</v>
      </c>
      <c r="J486" s="12">
        <f>'05-ISO Reference'!$B$11</f>
        <v>105</v>
      </c>
      <c r="K486" s="12">
        <f>'05-ISO Reference'!$C$11</f>
        <v>148</v>
      </c>
      <c r="L486" s="12">
        <f>'01-Process Controls'!$G$5</f>
        <v>3</v>
      </c>
      <c r="M486" s="8"/>
      <c r="N486" s="8"/>
    </row>
    <row r="487" spans="1:15" ht="21" customHeight="1">
      <c r="A487" s="9" t="s">
        <v>714</v>
      </c>
      <c r="B487" s="48"/>
      <c r="C487" s="48"/>
      <c r="D487" s="10" t="s">
        <v>263</v>
      </c>
      <c r="E487" s="10" t="s">
        <v>711</v>
      </c>
      <c r="F487" s="10" t="s">
        <v>265</v>
      </c>
      <c r="G487" s="10" t="s">
        <v>266</v>
      </c>
      <c r="H487" s="11" t="str">
        <f>IF(AND(B487="",C487=""),"CUSTOM BLANK",IF(OR(B487="",C487=""),"ERROR - ENTER BOTH",IF(OR(B487&lt;=0,C487&lt;=0),"ERROR - NONPOSITIVE",IF(OR(B487&lt;L487,C487&lt;L487),"ERROR - BELOW MIN",IF(OR(AND(B487&lt;=J487,C487&lt;=K487),AND(B487&lt;=K487,C487&lt;=J487)),"VALID - CUSTOM","ERROR - EXCEEDS BASE")))))</f>
        <v>CUSTOM BLANK</v>
      </c>
      <c r="I487" s="10" t="s">
        <v>267</v>
      </c>
      <c r="J487" s="12">
        <f>'05-ISO Reference'!$B$11</f>
        <v>105</v>
      </c>
      <c r="K487" s="12">
        <f>'05-ISO Reference'!$C$11</f>
        <v>148</v>
      </c>
      <c r="L487" s="12">
        <f>'01-Process Controls'!$G$5</f>
        <v>3</v>
      </c>
      <c r="M487" s="8"/>
      <c r="N487" s="8"/>
    </row>
    <row r="488" spans="1:15" ht="21" customHeight="1">
      <c r="A488" s="9" t="s">
        <v>715</v>
      </c>
      <c r="B488" s="48"/>
      <c r="C488" s="48"/>
      <c r="D488" s="10" t="s">
        <v>263</v>
      </c>
      <c r="E488" s="10" t="s">
        <v>711</v>
      </c>
      <c r="F488" s="10" t="s">
        <v>265</v>
      </c>
      <c r="G488" s="10" t="s">
        <v>266</v>
      </c>
      <c r="H488" s="11" t="str">
        <f>IF(AND(B488="",C488=""),"CUSTOM BLANK",IF(OR(B488="",C488=""),"ERROR - ENTER BOTH",IF(OR(B488&lt;=0,C488&lt;=0),"ERROR - NONPOSITIVE",IF(OR(B488&lt;L488,C488&lt;L488),"ERROR - BELOW MIN",IF(OR(AND(B488&lt;=J488,C488&lt;=K488),AND(B488&lt;=K488,C488&lt;=J488)),"VALID - CUSTOM","ERROR - EXCEEDS BASE")))))</f>
        <v>CUSTOM BLANK</v>
      </c>
      <c r="I488" s="10" t="s">
        <v>267</v>
      </c>
      <c r="J488" s="12">
        <f>'05-ISO Reference'!$B$11</f>
        <v>105</v>
      </c>
      <c r="K488" s="12">
        <f>'05-ISO Reference'!$C$11</f>
        <v>148</v>
      </c>
      <c r="L488" s="12">
        <f>'01-Process Controls'!$G$5</f>
        <v>3</v>
      </c>
      <c r="M488" s="8"/>
      <c r="N488" s="8"/>
    </row>
    <row r="489" spans="1:15" ht="21" customHeight="1">
      <c r="A489" s="9" t="s">
        <v>716</v>
      </c>
      <c r="B489" s="48"/>
      <c r="C489" s="48"/>
      <c r="D489" s="10" t="s">
        <v>263</v>
      </c>
      <c r="E489" s="10" t="s">
        <v>711</v>
      </c>
      <c r="F489" s="10" t="s">
        <v>265</v>
      </c>
      <c r="G489" s="10" t="s">
        <v>266</v>
      </c>
      <c r="H489" s="11" t="str">
        <f>IF(AND(B489="",C489=""),"CUSTOM BLANK",IF(OR(B489="",C489=""),"ERROR - ENTER BOTH",IF(OR(B489&lt;=0,C489&lt;=0),"ERROR - NONPOSITIVE",IF(OR(B489&lt;L489,C489&lt;L489),"ERROR - BELOW MIN",IF(OR(AND(B489&lt;=J489,C489&lt;=K489),AND(B489&lt;=K489,C489&lt;=J489)),"VALID - CUSTOM","ERROR - EXCEEDS BASE")))))</f>
        <v>CUSTOM BLANK</v>
      </c>
      <c r="I489" s="10" t="s">
        <v>267</v>
      </c>
      <c r="J489" s="12">
        <f>'05-ISO Reference'!$B$11</f>
        <v>105</v>
      </c>
      <c r="K489" s="12">
        <f>'05-ISO Reference'!$C$11</f>
        <v>148</v>
      </c>
      <c r="L489" s="12">
        <f>'01-Process Controls'!$G$5</f>
        <v>3</v>
      </c>
      <c r="M489" s="8"/>
      <c r="N489" s="8"/>
    </row>
    <row r="490" spans="1:15" ht="21" customHeight="1">
      <c r="A490" s="9" t="s">
        <v>717</v>
      </c>
      <c r="B490" s="48"/>
      <c r="C490" s="48"/>
      <c r="D490" s="10" t="s">
        <v>263</v>
      </c>
      <c r="E490" s="10" t="s">
        <v>711</v>
      </c>
      <c r="F490" s="10" t="s">
        <v>265</v>
      </c>
      <c r="G490" s="10" t="s">
        <v>266</v>
      </c>
      <c r="H490" s="11" t="str">
        <f>IF(AND(B490="",C490=""),"CUSTOM BLANK",IF(OR(B490="",C490=""),"ERROR - ENTER BOTH",IF(OR(B490&lt;=0,C490&lt;=0),"ERROR - NONPOSITIVE",IF(OR(B490&lt;L490,C490&lt;L490),"ERROR - BELOW MIN",IF(OR(AND(B490&lt;=J490,C490&lt;=K490),AND(B490&lt;=K490,C490&lt;=J490)),"VALID - CUSTOM","ERROR - EXCEEDS BASE")))))</f>
        <v>CUSTOM BLANK</v>
      </c>
      <c r="I490" s="10" t="s">
        <v>267</v>
      </c>
      <c r="J490" s="12">
        <f>'05-ISO Reference'!$B$11</f>
        <v>105</v>
      </c>
      <c r="K490" s="12">
        <f>'05-ISO Reference'!$C$11</f>
        <v>148</v>
      </c>
      <c r="L490" s="12">
        <f>'01-Process Controls'!$G$5</f>
        <v>3</v>
      </c>
      <c r="M490" s="8"/>
      <c r="N490" s="8"/>
    </row>
    <row r="491" spans="1:15" ht="21" customHeight="1">
      <c r="A491" s="9" t="s">
        <v>718</v>
      </c>
      <c r="B491" s="48"/>
      <c r="C491" s="48"/>
      <c r="D491" s="10" t="s">
        <v>263</v>
      </c>
      <c r="E491" s="10" t="s">
        <v>711</v>
      </c>
      <c r="F491" s="10" t="s">
        <v>265</v>
      </c>
      <c r="G491" s="10" t="s">
        <v>266</v>
      </c>
      <c r="H491" s="11" t="str">
        <f>IF(AND(B491="",C491=""),"CUSTOM BLANK",IF(OR(B491="",C491=""),"ERROR - ENTER BOTH",IF(OR(B491&lt;=0,C491&lt;=0),"ERROR - NONPOSITIVE",IF(OR(B491&lt;L491,C491&lt;L491),"ERROR - BELOW MIN",IF(OR(AND(B491&lt;=J491,C491&lt;=K491),AND(B491&lt;=K491,C491&lt;=J491)),"VALID - CUSTOM","ERROR - EXCEEDS BASE")))))</f>
        <v>CUSTOM BLANK</v>
      </c>
      <c r="I491" s="10" t="s">
        <v>267</v>
      </c>
      <c r="J491" s="12">
        <f>'05-ISO Reference'!$B$11</f>
        <v>105</v>
      </c>
      <c r="K491" s="12">
        <f>'05-ISO Reference'!$C$11</f>
        <v>148</v>
      </c>
      <c r="L491" s="12">
        <f>'01-Process Controls'!$G$5</f>
        <v>3</v>
      </c>
      <c r="M491" s="8"/>
      <c r="N491" s="8"/>
    </row>
    <row r="492" spans="1:15" ht="21" customHeight="1">
      <c r="A492" s="9" t="s">
        <v>719</v>
      </c>
      <c r="B492" s="48"/>
      <c r="C492" s="48"/>
      <c r="D492" s="10" t="s">
        <v>263</v>
      </c>
      <c r="E492" s="10" t="s">
        <v>711</v>
      </c>
      <c r="F492" s="10" t="s">
        <v>265</v>
      </c>
      <c r="G492" s="10" t="s">
        <v>266</v>
      </c>
      <c r="H492" s="11" t="str">
        <f>IF(AND(B492="",C492=""),"CUSTOM BLANK",IF(OR(B492="",C492=""),"ERROR - ENTER BOTH",IF(OR(B492&lt;=0,C492&lt;=0),"ERROR - NONPOSITIVE",IF(OR(B492&lt;L492,C492&lt;L492),"ERROR - BELOW MIN",IF(OR(AND(B492&lt;=J492,C492&lt;=K492),AND(B492&lt;=K492,C492&lt;=J492)),"VALID - CUSTOM","ERROR - EXCEEDS BASE")))))</f>
        <v>CUSTOM BLANK</v>
      </c>
      <c r="I492" s="10" t="s">
        <v>267</v>
      </c>
      <c r="J492" s="12">
        <f>'05-ISO Reference'!$B$11</f>
        <v>105</v>
      </c>
      <c r="K492" s="12">
        <f>'05-ISO Reference'!$C$11</f>
        <v>148</v>
      </c>
      <c r="L492" s="12">
        <f>'01-Process Controls'!$G$5</f>
        <v>3</v>
      </c>
      <c r="M492" s="8"/>
      <c r="N492" s="8"/>
    </row>
    <row r="493" spans="1:15" ht="21" customHeight="1">
      <c r="A493" s="9" t="s">
        <v>720</v>
      </c>
      <c r="B493" s="48"/>
      <c r="C493" s="48"/>
      <c r="D493" s="10" t="s">
        <v>263</v>
      </c>
      <c r="E493" s="10" t="s">
        <v>711</v>
      </c>
      <c r="F493" s="10" t="s">
        <v>265</v>
      </c>
      <c r="G493" s="10" t="s">
        <v>266</v>
      </c>
      <c r="H493" s="11" t="str">
        <f>IF(AND(B493="",C493=""),"CUSTOM BLANK",IF(OR(B493="",C493=""),"ERROR - ENTER BOTH",IF(OR(B493&lt;=0,C493&lt;=0),"ERROR - NONPOSITIVE",IF(OR(B493&lt;L493,C493&lt;L493),"ERROR - BELOW MIN",IF(OR(AND(B493&lt;=J493,C493&lt;=K493),AND(B493&lt;=K493,C493&lt;=J493)),"VALID - CUSTOM","ERROR - EXCEEDS BASE")))))</f>
        <v>CUSTOM BLANK</v>
      </c>
      <c r="I493" s="10" t="s">
        <v>267</v>
      </c>
      <c r="J493" s="12">
        <f>'05-ISO Reference'!$B$11</f>
        <v>105</v>
      </c>
      <c r="K493" s="12">
        <f>'05-ISO Reference'!$C$11</f>
        <v>148</v>
      </c>
      <c r="L493" s="12">
        <f>'01-Process Controls'!$G$5</f>
        <v>3</v>
      </c>
      <c r="M493" s="8"/>
      <c r="N493" s="8"/>
    </row>
    <row r="494" spans="1:15" ht="21" customHeight="1">
      <c r="A494" s="9" t="s">
        <v>721</v>
      </c>
      <c r="B494" s="48"/>
      <c r="C494" s="48"/>
      <c r="D494" s="10" t="s">
        <v>263</v>
      </c>
      <c r="E494" s="10" t="s">
        <v>711</v>
      </c>
      <c r="F494" s="10" t="s">
        <v>265</v>
      </c>
      <c r="G494" s="10" t="s">
        <v>266</v>
      </c>
      <c r="H494" s="11" t="str">
        <f>IF(AND(B494="",C494=""),"CUSTOM BLANK",IF(OR(B494="",C494=""),"ERROR - ENTER BOTH",IF(OR(B494&lt;=0,C494&lt;=0),"ERROR - NONPOSITIVE",IF(OR(B494&lt;L494,C494&lt;L494),"ERROR - BELOW MIN",IF(OR(AND(B494&lt;=J494,C494&lt;=K494),AND(B494&lt;=K494,C494&lt;=J494)),"VALID - CUSTOM","ERROR - EXCEEDS BASE")))))</f>
        <v>CUSTOM BLANK</v>
      </c>
      <c r="I494" s="10" t="s">
        <v>267</v>
      </c>
      <c r="J494" s="12">
        <f>'05-ISO Reference'!$B$11</f>
        <v>105</v>
      </c>
      <c r="K494" s="12">
        <f>'05-ISO Reference'!$C$11</f>
        <v>148</v>
      </c>
      <c r="L494" s="12">
        <f>'01-Process Controls'!$G$5</f>
        <v>3</v>
      </c>
      <c r="M494" s="8"/>
      <c r="N494" s="8"/>
    </row>
    <row r="495" spans="1:15" ht="21" customHeight="1">
      <c r="A495" s="9" t="s">
        <v>722</v>
      </c>
      <c r="B495" s="48"/>
      <c r="C495" s="48"/>
      <c r="D495" s="10" t="s">
        <v>263</v>
      </c>
      <c r="E495" s="10" t="s">
        <v>711</v>
      </c>
      <c r="F495" s="10" t="s">
        <v>265</v>
      </c>
      <c r="G495" s="10" t="s">
        <v>266</v>
      </c>
      <c r="H495" s="11" t="str">
        <f>IF(AND(B495="",C495=""),"CUSTOM BLANK",IF(OR(B495="",C495=""),"ERROR - ENTER BOTH",IF(OR(B495&lt;=0,C495&lt;=0),"ERROR - NONPOSITIVE",IF(OR(B495&lt;L495,C495&lt;L495),"ERROR - BELOW MIN",IF(OR(AND(B495&lt;=J495,C495&lt;=K495),AND(B495&lt;=K495,C495&lt;=J495)),"VALID - CUSTOM","ERROR - EXCEEDS BASE")))))</f>
        <v>CUSTOM BLANK</v>
      </c>
      <c r="I495" s="10" t="s">
        <v>267</v>
      </c>
      <c r="J495" s="12">
        <f>'05-ISO Reference'!$B$11</f>
        <v>105</v>
      </c>
      <c r="K495" s="12">
        <f>'05-ISO Reference'!$C$11</f>
        <v>148</v>
      </c>
      <c r="L495" s="12">
        <f>'01-Process Controls'!$G$5</f>
        <v>3</v>
      </c>
      <c r="M495" s="8"/>
      <c r="N495" s="8"/>
    </row>
    <row r="496" spans="1:15" ht="21" customHeight="1">
      <c r="A496" s="9" t="s">
        <v>723</v>
      </c>
      <c r="B496" s="48"/>
      <c r="C496" s="48"/>
      <c r="D496" s="10" t="s">
        <v>263</v>
      </c>
      <c r="E496" s="10" t="s">
        <v>711</v>
      </c>
      <c r="F496" s="10" t="s">
        <v>265</v>
      </c>
      <c r="G496" s="10" t="s">
        <v>266</v>
      </c>
      <c r="H496" s="11" t="str">
        <f>IF(AND(B496="",C496=""),"CUSTOM BLANK",IF(OR(B496="",C496=""),"ERROR - ENTER BOTH",IF(OR(B496&lt;=0,C496&lt;=0),"ERROR - NONPOSITIVE",IF(OR(B496&lt;L496,C496&lt;L496),"ERROR - BELOW MIN",IF(OR(AND(B496&lt;=J496,C496&lt;=K496),AND(B496&lt;=K496,C496&lt;=J496)),"VALID - CUSTOM","ERROR - EXCEEDS BASE")))))</f>
        <v>CUSTOM BLANK</v>
      </c>
      <c r="I496" s="10" t="s">
        <v>267</v>
      </c>
      <c r="J496" s="12">
        <f>'05-ISO Reference'!$B$11</f>
        <v>105</v>
      </c>
      <c r="K496" s="12">
        <f>'05-ISO Reference'!$C$11</f>
        <v>148</v>
      </c>
      <c r="L496" s="12">
        <f>'01-Process Controls'!$G$5</f>
        <v>3</v>
      </c>
      <c r="M496" s="8"/>
      <c r="N496" s="8"/>
    </row>
    <row r="497" spans="1:15" ht="21" customHeight="1">
      <c r="A497" s="9" t="s">
        <v>724</v>
      </c>
      <c r="B497" s="48"/>
      <c r="C497" s="48"/>
      <c r="D497" s="10" t="s">
        <v>263</v>
      </c>
      <c r="E497" s="10" t="s">
        <v>711</v>
      </c>
      <c r="F497" s="10" t="s">
        <v>265</v>
      </c>
      <c r="G497" s="10" t="s">
        <v>266</v>
      </c>
      <c r="H497" s="11" t="str">
        <f>IF(AND(B497="",C497=""),"CUSTOM BLANK",IF(OR(B497="",C497=""),"ERROR - ENTER BOTH",IF(OR(B497&lt;=0,C497&lt;=0),"ERROR - NONPOSITIVE",IF(OR(B497&lt;L497,C497&lt;L497),"ERROR - BELOW MIN",IF(OR(AND(B497&lt;=J497,C497&lt;=K497),AND(B497&lt;=K497,C497&lt;=J497)),"VALID - CUSTOM","ERROR - EXCEEDS BASE")))))</f>
        <v>CUSTOM BLANK</v>
      </c>
      <c r="I497" s="10" t="s">
        <v>267</v>
      </c>
      <c r="J497" s="12">
        <f>'05-ISO Reference'!$B$11</f>
        <v>105</v>
      </c>
      <c r="K497" s="12">
        <f>'05-ISO Reference'!$C$11</f>
        <v>148</v>
      </c>
      <c r="L497" s="12">
        <f>'01-Process Controls'!$G$5</f>
        <v>3</v>
      </c>
      <c r="M497" s="8"/>
      <c r="N497" s="8"/>
    </row>
    <row r="498" spans="1:15" ht="21" customHeight="1">
      <c r="A498" s="9" t="s">
        <v>725</v>
      </c>
      <c r="B498" s="48"/>
      <c r="C498" s="48"/>
      <c r="D498" s="10" t="s">
        <v>263</v>
      </c>
      <c r="E498" s="10" t="s">
        <v>711</v>
      </c>
      <c r="F498" s="10" t="s">
        <v>265</v>
      </c>
      <c r="G498" s="10" t="s">
        <v>266</v>
      </c>
      <c r="H498" s="11" t="str">
        <f>IF(AND(B498="",C498=""),"CUSTOM BLANK",IF(OR(B498="",C498=""),"ERROR - ENTER BOTH",IF(OR(B498&lt;=0,C498&lt;=0),"ERROR - NONPOSITIVE",IF(OR(B498&lt;L498,C498&lt;L498),"ERROR - BELOW MIN",IF(OR(AND(B498&lt;=J498,C498&lt;=K498),AND(B498&lt;=K498,C498&lt;=J498)),"VALID - CUSTOM","ERROR - EXCEEDS BASE")))))</f>
        <v>CUSTOM BLANK</v>
      </c>
      <c r="I498" s="10" t="s">
        <v>267</v>
      </c>
      <c r="J498" s="12">
        <f>'05-ISO Reference'!$B$11</f>
        <v>105</v>
      </c>
      <c r="K498" s="12">
        <f>'05-ISO Reference'!$C$11</f>
        <v>148</v>
      </c>
      <c r="L498" s="12">
        <f>'01-Process Controls'!$G$5</f>
        <v>3</v>
      </c>
      <c r="M498" s="8"/>
      <c r="N498" s="8"/>
    </row>
    <row r="499" spans="1:15" ht="21" customHeight="1">
      <c r="A499" s="44" t="s">
        <v>726</v>
      </c>
      <c r="B499" s="45">
        <f>IF(LEFT(H499,5)="VALID",M499,"")</f>
        <v>74</v>
      </c>
      <c r="C499" s="45">
        <f>IF(LEFT(H499,5)="VALID",N499,"")</f>
        <v>105</v>
      </c>
      <c r="D499" s="46" t="s">
        <v>82</v>
      </c>
      <c r="E499" s="46" t="s">
        <v>727</v>
      </c>
      <c r="F499" s="46" t="s">
        <v>122</v>
      </c>
      <c r="G499" s="46" t="s">
        <v>123</v>
      </c>
      <c r="H499" s="47" t="str">
        <f>"VALID - BASE"</f>
        <v>VALID - BASE</v>
      </c>
      <c r="I499" s="46" t="s">
        <v>728</v>
      </c>
      <c r="J499" s="12">
        <f>'05-ISO Reference'!$B$12</f>
        <v>74</v>
      </c>
      <c r="K499" s="12">
        <f>'05-ISO Reference'!$C$12</f>
        <v>105</v>
      </c>
      <c r="L499" s="12">
        <f>'01-Process Controls'!$G$5</f>
        <v>3</v>
      </c>
      <c r="M499" s="12">
        <f>ROUNDDOWN(J499,0)</f>
        <v>74</v>
      </c>
      <c r="N499" s="12">
        <f>ROUNDDOWN(K499,0)</f>
        <v>105</v>
      </c>
      <c r="O499" s="9">
        <v>0</v>
      </c>
    </row>
    <row r="500" spans="1:15" ht="21" customHeight="1">
      <c r="A500" s="9" t="s">
        <v>729</v>
      </c>
      <c r="B500" s="12">
        <f>IF(LEFT(H500,5)="VALID",M500,"")</f>
        <v>37</v>
      </c>
      <c r="C500" s="12">
        <f>IF(LEFT(H500,5)="VALID",N500,"")</f>
        <v>105</v>
      </c>
      <c r="D500" s="10" t="s">
        <v>82</v>
      </c>
      <c r="E500" s="10" t="s">
        <v>727</v>
      </c>
      <c r="F500" s="10" t="s">
        <v>126</v>
      </c>
      <c r="G500" s="10" t="s">
        <v>127</v>
      </c>
      <c r="H500" s="11" t="str">
        <f>IF(OR(M500&lt;=0,N500&lt;=0),"SKIPPED - NONPOSITIVE",IF(OR(M500&lt;L500,N500&lt;L500),"SKIPPED - BELOW MIN",IF(OR(M500&gt;J500,N500&gt;K500),"SKIPPED - EXCEEDS BASE",IF(COUNTIFS($M$499:M499,M500,$N$499:N499,N500)&gt;0,"SKIPPED - DUPLICATE","VALID - GENERATED"))))</f>
        <v>VALID - GENERATED</v>
      </c>
      <c r="I500" s="10" t="s">
        <v>728</v>
      </c>
      <c r="J500" s="12">
        <f>'05-ISO Reference'!$B$12</f>
        <v>74</v>
      </c>
      <c r="K500" s="12">
        <f>'05-ISO Reference'!$C$12</f>
        <v>105</v>
      </c>
      <c r="L500" s="12">
        <f>'01-Process Controls'!$G$5</f>
        <v>3</v>
      </c>
      <c r="M500" s="12">
        <f>ROUNDDOWN(J500*'04-Variant Rules'!$D$6,0)</f>
        <v>37</v>
      </c>
      <c r="N500" s="12">
        <f>ROUNDDOWN(K500,0)</f>
        <v>105</v>
      </c>
      <c r="O500" s="9">
        <v>1</v>
      </c>
    </row>
    <row r="501" spans="1:15" ht="21" customHeight="1">
      <c r="A501" s="9" t="s">
        <v>730</v>
      </c>
      <c r="B501" s="12">
        <f>IF(LEFT(H501,5)="VALID",M501,"")</f>
        <v>24</v>
      </c>
      <c r="C501" s="12">
        <f>IF(LEFT(H501,5)="VALID",N501,"")</f>
        <v>105</v>
      </c>
      <c r="D501" s="10" t="s">
        <v>82</v>
      </c>
      <c r="E501" s="10" t="s">
        <v>727</v>
      </c>
      <c r="F501" s="10" t="s">
        <v>129</v>
      </c>
      <c r="G501" s="10" t="s">
        <v>130</v>
      </c>
      <c r="H501" s="11" t="str">
        <f>IF(OR(M501&lt;=0,N501&lt;=0),"SKIPPED - NONPOSITIVE",IF(OR(M501&lt;L501,N501&lt;L501),"SKIPPED - BELOW MIN",IF(OR(M501&gt;J501,N501&gt;K501),"SKIPPED - EXCEEDS BASE",IF(COUNTIFS($M$499:M500,M501,$N$499:N500,N501)&gt;0,"SKIPPED - DUPLICATE","VALID - GENERATED"))))</f>
        <v>VALID - GENERATED</v>
      </c>
      <c r="I501" s="10" t="s">
        <v>728</v>
      </c>
      <c r="J501" s="12">
        <f>'05-ISO Reference'!$B$12</f>
        <v>74</v>
      </c>
      <c r="K501" s="12">
        <f>'05-ISO Reference'!$C$12</f>
        <v>105</v>
      </c>
      <c r="L501" s="12">
        <f>'01-Process Controls'!$G$5</f>
        <v>3</v>
      </c>
      <c r="M501" s="12">
        <f>ROUNDDOWN(J501*'04-Variant Rules'!$D$7,0)</f>
        <v>24</v>
      </c>
      <c r="N501" s="12">
        <f>ROUNDDOWN(K501,0)</f>
        <v>105</v>
      </c>
      <c r="O501" s="9">
        <v>2</v>
      </c>
    </row>
    <row r="502" spans="1:15" ht="21" customHeight="1">
      <c r="A502" s="9" t="s">
        <v>731</v>
      </c>
      <c r="B502" s="12">
        <f>IF(LEFT(H502,5)="VALID",M502,"")</f>
        <v>18</v>
      </c>
      <c r="C502" s="12">
        <f>IF(LEFT(H502,5)="VALID",N502,"")</f>
        <v>105</v>
      </c>
      <c r="D502" s="10" t="s">
        <v>82</v>
      </c>
      <c r="E502" s="10" t="s">
        <v>727</v>
      </c>
      <c r="F502" s="10" t="s">
        <v>132</v>
      </c>
      <c r="G502" s="10" t="s">
        <v>133</v>
      </c>
      <c r="H502" s="11" t="str">
        <f>IF(OR(M502&lt;=0,N502&lt;=0),"SKIPPED - NONPOSITIVE",IF(OR(M502&lt;L502,N502&lt;L502),"SKIPPED - BELOW MIN",IF(OR(M502&gt;J502,N502&gt;K502),"SKIPPED - EXCEEDS BASE",IF(COUNTIFS($M$499:M501,M502,$N$499:N501,N502)&gt;0,"SKIPPED - DUPLICATE","VALID - GENERATED"))))</f>
        <v>VALID - GENERATED</v>
      </c>
      <c r="I502" s="10" t="s">
        <v>728</v>
      </c>
      <c r="J502" s="12">
        <f>'05-ISO Reference'!$B$12</f>
        <v>74</v>
      </c>
      <c r="K502" s="12">
        <f>'05-ISO Reference'!$C$12</f>
        <v>105</v>
      </c>
      <c r="L502" s="12">
        <f>'01-Process Controls'!$G$5</f>
        <v>3</v>
      </c>
      <c r="M502" s="12">
        <f>ROUNDDOWN(J502*'04-Variant Rules'!$D$8,0)</f>
        <v>18</v>
      </c>
      <c r="N502" s="12">
        <f>ROUNDDOWN(K502,0)</f>
        <v>105</v>
      </c>
      <c r="O502" s="9">
        <v>3</v>
      </c>
    </row>
    <row r="503" spans="1:15" ht="21" customHeight="1">
      <c r="A503" s="9" t="s">
        <v>732</v>
      </c>
      <c r="B503" s="12">
        <f>IF(LEFT(H503,5)="VALID",M503,"")</f>
        <v>49</v>
      </c>
      <c r="C503" s="12">
        <f>IF(LEFT(H503,5)="VALID",N503,"")</f>
        <v>105</v>
      </c>
      <c r="D503" s="10" t="s">
        <v>82</v>
      </c>
      <c r="E503" s="10" t="s">
        <v>727</v>
      </c>
      <c r="F503" s="10" t="s">
        <v>135</v>
      </c>
      <c r="G503" s="10" t="s">
        <v>136</v>
      </c>
      <c r="H503" s="11" t="str">
        <f>IF(OR(M503&lt;=0,N503&lt;=0),"SKIPPED - NONPOSITIVE",IF(OR(M503&lt;L503,N503&lt;L503),"SKIPPED - BELOW MIN",IF(OR(M503&gt;J503,N503&gt;K503),"SKIPPED - EXCEEDS BASE",IF(COUNTIFS($M$499:M502,M503,$N$499:N502,N503)&gt;0,"SKIPPED - DUPLICATE","VALID - GENERATED"))))</f>
        <v>VALID - GENERATED</v>
      </c>
      <c r="I503" s="10" t="s">
        <v>728</v>
      </c>
      <c r="J503" s="12">
        <f>'05-ISO Reference'!$B$12</f>
        <v>74</v>
      </c>
      <c r="K503" s="12">
        <f>'05-ISO Reference'!$C$12</f>
        <v>105</v>
      </c>
      <c r="L503" s="12">
        <f>'01-Process Controls'!$G$5</f>
        <v>3</v>
      </c>
      <c r="M503" s="12">
        <f>ROUNDDOWN(J503*'04-Variant Rules'!$D$9,0)</f>
        <v>49</v>
      </c>
      <c r="N503" s="12">
        <f>ROUNDDOWN(K503,0)</f>
        <v>105</v>
      </c>
      <c r="O503" s="9">
        <v>4</v>
      </c>
    </row>
    <row r="504" spans="1:15" ht="21" customHeight="1">
      <c r="A504" s="9" t="s">
        <v>733</v>
      </c>
      <c r="B504" s="12">
        <f>IF(LEFT(H504,5)="VALID",M504,"")</f>
        <v>55</v>
      </c>
      <c r="C504" s="12">
        <f>IF(LEFT(H504,5)="VALID",N504,"")</f>
        <v>105</v>
      </c>
      <c r="D504" s="10" t="s">
        <v>82</v>
      </c>
      <c r="E504" s="10" t="s">
        <v>727</v>
      </c>
      <c r="F504" s="10" t="s">
        <v>138</v>
      </c>
      <c r="G504" s="10" t="s">
        <v>139</v>
      </c>
      <c r="H504" s="11" t="str">
        <f>IF(OR(M504&lt;=0,N504&lt;=0),"SKIPPED - NONPOSITIVE",IF(OR(M504&lt;L504,N504&lt;L504),"SKIPPED - BELOW MIN",IF(OR(M504&gt;J504,N504&gt;K504),"SKIPPED - EXCEEDS BASE",IF(COUNTIFS($M$499:M503,M504,$N$499:N503,N504)&gt;0,"SKIPPED - DUPLICATE","VALID - GENERATED"))))</f>
        <v>VALID - GENERATED</v>
      </c>
      <c r="I504" s="10" t="s">
        <v>728</v>
      </c>
      <c r="J504" s="12">
        <f>'05-ISO Reference'!$B$12</f>
        <v>74</v>
      </c>
      <c r="K504" s="12">
        <f>'05-ISO Reference'!$C$12</f>
        <v>105</v>
      </c>
      <c r="L504" s="12">
        <f>'01-Process Controls'!$G$5</f>
        <v>3</v>
      </c>
      <c r="M504" s="12">
        <f>ROUNDDOWN(J504*'04-Variant Rules'!$D$10,0)</f>
        <v>55</v>
      </c>
      <c r="N504" s="12">
        <f>ROUNDDOWN(K504,0)</f>
        <v>105</v>
      </c>
      <c r="O504" s="9">
        <v>5</v>
      </c>
    </row>
    <row r="505" spans="1:15" ht="21" customHeight="1">
      <c r="A505" s="9" t="s">
        <v>734</v>
      </c>
      <c r="B505" s="12">
        <f>IF(LEFT(H505,5)="VALID",M505,"")</f>
        <v>74</v>
      </c>
      <c r="C505" s="12">
        <f>IF(LEFT(H505,5)="VALID",N505,"")</f>
        <v>52</v>
      </c>
      <c r="D505" s="10" t="s">
        <v>82</v>
      </c>
      <c r="E505" s="10" t="s">
        <v>727</v>
      </c>
      <c r="F505" s="10" t="s">
        <v>141</v>
      </c>
      <c r="G505" s="10" t="s">
        <v>142</v>
      </c>
      <c r="H505" s="11" t="str">
        <f>IF(OR(M505&lt;=0,N505&lt;=0),"SKIPPED - NONPOSITIVE",IF(OR(M505&lt;L505,N505&lt;L505),"SKIPPED - BELOW MIN",IF(OR(M505&gt;J505,N505&gt;K505),"SKIPPED - EXCEEDS BASE",IF(COUNTIFS($M$499:M504,M505,$N$499:N504,N505)&gt;0,"SKIPPED - DUPLICATE","VALID - GENERATED"))))</f>
        <v>VALID - GENERATED</v>
      </c>
      <c r="I505" s="10" t="s">
        <v>728</v>
      </c>
      <c r="J505" s="12">
        <f>'05-ISO Reference'!$B$12</f>
        <v>74</v>
      </c>
      <c r="K505" s="12">
        <f>'05-ISO Reference'!$C$12</f>
        <v>105</v>
      </c>
      <c r="L505" s="12">
        <f>'01-Process Controls'!$G$5</f>
        <v>3</v>
      </c>
      <c r="M505" s="12">
        <f>ROUNDDOWN(J505,0)</f>
        <v>74</v>
      </c>
      <c r="N505" s="12">
        <f>ROUNDDOWN(K505*'04-Variant Rules'!$D$11,0)</f>
        <v>52</v>
      </c>
      <c r="O505" s="9">
        <v>6</v>
      </c>
    </row>
    <row r="506" spans="1:15" ht="21" customHeight="1">
      <c r="A506" s="9" t="s">
        <v>735</v>
      </c>
      <c r="B506" s="12">
        <f>IF(LEFT(H506,5)="VALID",M506,"")</f>
        <v>74</v>
      </c>
      <c r="C506" s="12">
        <f>IF(LEFT(H506,5)="VALID",N506,"")</f>
        <v>35</v>
      </c>
      <c r="D506" s="10" t="s">
        <v>82</v>
      </c>
      <c r="E506" s="10" t="s">
        <v>727</v>
      </c>
      <c r="F506" s="10" t="s">
        <v>144</v>
      </c>
      <c r="G506" s="10" t="s">
        <v>145</v>
      </c>
      <c r="H506" s="11" t="str">
        <f>IF(OR(M506&lt;=0,N506&lt;=0),"SKIPPED - NONPOSITIVE",IF(OR(M506&lt;L506,N506&lt;L506),"SKIPPED - BELOW MIN",IF(OR(M506&gt;J506,N506&gt;K506),"SKIPPED - EXCEEDS BASE",IF(COUNTIFS($M$499:M505,M506,$N$499:N505,N506)&gt;0,"SKIPPED - DUPLICATE","VALID - GENERATED"))))</f>
        <v>VALID - GENERATED</v>
      </c>
      <c r="I506" s="10" t="s">
        <v>728</v>
      </c>
      <c r="J506" s="12">
        <f>'05-ISO Reference'!$B$12</f>
        <v>74</v>
      </c>
      <c r="K506" s="12">
        <f>'05-ISO Reference'!$C$12</f>
        <v>105</v>
      </c>
      <c r="L506" s="12">
        <f>'01-Process Controls'!$G$5</f>
        <v>3</v>
      </c>
      <c r="M506" s="12">
        <f>ROUNDDOWN(J506,0)</f>
        <v>74</v>
      </c>
      <c r="N506" s="12">
        <f>ROUNDDOWN(K506*'04-Variant Rules'!$D$12,0)</f>
        <v>35</v>
      </c>
      <c r="O506" s="9">
        <v>7</v>
      </c>
    </row>
    <row r="507" spans="1:15" ht="21" customHeight="1">
      <c r="A507" s="9" t="s">
        <v>736</v>
      </c>
      <c r="B507" s="12">
        <f>IF(LEFT(H507,5)="VALID",M507,"")</f>
        <v>74</v>
      </c>
      <c r="C507" s="12">
        <f>IF(LEFT(H507,5)="VALID",N507,"")</f>
        <v>26</v>
      </c>
      <c r="D507" s="10" t="s">
        <v>82</v>
      </c>
      <c r="E507" s="10" t="s">
        <v>727</v>
      </c>
      <c r="F507" s="10" t="s">
        <v>147</v>
      </c>
      <c r="G507" s="10" t="s">
        <v>148</v>
      </c>
      <c r="H507" s="11" t="str">
        <f>IF(OR(M507&lt;=0,N507&lt;=0),"SKIPPED - NONPOSITIVE",IF(OR(M507&lt;L507,N507&lt;L507),"SKIPPED - BELOW MIN",IF(OR(M507&gt;J507,N507&gt;K507),"SKIPPED - EXCEEDS BASE",IF(COUNTIFS($M$499:M506,M507,$N$499:N506,N507)&gt;0,"SKIPPED - DUPLICATE","VALID - GENERATED"))))</f>
        <v>VALID - GENERATED</v>
      </c>
      <c r="I507" s="10" t="s">
        <v>728</v>
      </c>
      <c r="J507" s="12">
        <f>'05-ISO Reference'!$B$12</f>
        <v>74</v>
      </c>
      <c r="K507" s="12">
        <f>'05-ISO Reference'!$C$12</f>
        <v>105</v>
      </c>
      <c r="L507" s="12">
        <f>'01-Process Controls'!$G$5</f>
        <v>3</v>
      </c>
      <c r="M507" s="12">
        <f>ROUNDDOWN(J507,0)</f>
        <v>74</v>
      </c>
      <c r="N507" s="12">
        <f>ROUNDDOWN(K507*'04-Variant Rules'!$D$13,0)</f>
        <v>26</v>
      </c>
      <c r="O507" s="9">
        <v>8</v>
      </c>
    </row>
    <row r="508" spans="1:15" ht="21" customHeight="1">
      <c r="A508" s="9" t="s">
        <v>737</v>
      </c>
      <c r="B508" s="12">
        <f>IF(LEFT(H508,5)="VALID",M508,"")</f>
        <v>74</v>
      </c>
      <c r="C508" s="12">
        <f>IF(LEFT(H508,5)="VALID",N508,"")</f>
        <v>70</v>
      </c>
      <c r="D508" s="10" t="s">
        <v>82</v>
      </c>
      <c r="E508" s="10" t="s">
        <v>727</v>
      </c>
      <c r="F508" s="10" t="s">
        <v>150</v>
      </c>
      <c r="G508" s="10" t="s">
        <v>151</v>
      </c>
      <c r="H508" s="11" t="str">
        <f>IF(OR(M508&lt;=0,N508&lt;=0),"SKIPPED - NONPOSITIVE",IF(OR(M508&lt;L508,N508&lt;L508),"SKIPPED - BELOW MIN",IF(OR(M508&gt;J508,N508&gt;K508),"SKIPPED - EXCEEDS BASE",IF(COUNTIFS($M$499:M507,M508,$N$499:N507,N508)&gt;0,"SKIPPED - DUPLICATE","VALID - GENERATED"))))</f>
        <v>VALID - GENERATED</v>
      </c>
      <c r="I508" s="10" t="s">
        <v>728</v>
      </c>
      <c r="J508" s="12">
        <f>'05-ISO Reference'!$B$12</f>
        <v>74</v>
      </c>
      <c r="K508" s="12">
        <f>'05-ISO Reference'!$C$12</f>
        <v>105</v>
      </c>
      <c r="L508" s="12">
        <f>'01-Process Controls'!$G$5</f>
        <v>3</v>
      </c>
      <c r="M508" s="12">
        <f>ROUNDDOWN(J508,0)</f>
        <v>74</v>
      </c>
      <c r="N508" s="12">
        <f>ROUNDDOWN(K508*'04-Variant Rules'!$D$14,0)</f>
        <v>70</v>
      </c>
      <c r="O508" s="9">
        <v>9</v>
      </c>
    </row>
    <row r="509" spans="1:15" ht="21" customHeight="1">
      <c r="A509" s="9" t="s">
        <v>738</v>
      </c>
      <c r="B509" s="12">
        <f>IF(LEFT(H509,5)="VALID",M509,"")</f>
        <v>74</v>
      </c>
      <c r="C509" s="12">
        <f>IF(LEFT(H509,5)="VALID",N509,"")</f>
        <v>78</v>
      </c>
      <c r="D509" s="10" t="s">
        <v>82</v>
      </c>
      <c r="E509" s="10" t="s">
        <v>727</v>
      </c>
      <c r="F509" s="10" t="s">
        <v>153</v>
      </c>
      <c r="G509" s="10" t="s">
        <v>154</v>
      </c>
      <c r="H509" s="11" t="str">
        <f>IF(OR(M509&lt;=0,N509&lt;=0),"SKIPPED - NONPOSITIVE",IF(OR(M509&lt;L509,N509&lt;L509),"SKIPPED - BELOW MIN",IF(OR(M509&gt;J509,N509&gt;K509),"SKIPPED - EXCEEDS BASE",IF(COUNTIFS($M$499:M508,M509,$N$499:N508,N509)&gt;0,"SKIPPED - DUPLICATE","VALID - GENERATED"))))</f>
        <v>VALID - GENERATED</v>
      </c>
      <c r="I509" s="10" t="s">
        <v>728</v>
      </c>
      <c r="J509" s="12">
        <f>'05-ISO Reference'!$B$12</f>
        <v>74</v>
      </c>
      <c r="K509" s="12">
        <f>'05-ISO Reference'!$C$12</f>
        <v>105</v>
      </c>
      <c r="L509" s="12">
        <f>'01-Process Controls'!$G$5</f>
        <v>3</v>
      </c>
      <c r="M509" s="12">
        <f>ROUNDDOWN(J509,0)</f>
        <v>74</v>
      </c>
      <c r="N509" s="12">
        <f>ROUNDDOWN(K509*'04-Variant Rules'!$D$15,0)</f>
        <v>78</v>
      </c>
      <c r="O509" s="9">
        <v>10</v>
      </c>
    </row>
    <row r="510" spans="1:15" ht="21" customHeight="1">
      <c r="A510" s="9" t="s">
        <v>739</v>
      </c>
      <c r="B510" s="12">
        <f>IF(LEFT(H510,5)="VALID",M510,"")</f>
        <v>37</v>
      </c>
      <c r="C510" s="12">
        <f>IF(LEFT(H510,5)="VALID",N510,"")</f>
        <v>52</v>
      </c>
      <c r="D510" s="10" t="s">
        <v>82</v>
      </c>
      <c r="E510" s="10" t="s">
        <v>727</v>
      </c>
      <c r="F510" s="10" t="s">
        <v>156</v>
      </c>
      <c r="G510" s="10" t="s">
        <v>157</v>
      </c>
      <c r="H510" s="11" t="str">
        <f>IF(OR(M510&lt;=0,N510&lt;=0),"SKIPPED - NONPOSITIVE",IF(OR(M510&lt;L510,N510&lt;L510),"SKIPPED - BELOW MIN",IF(OR(M510&gt;J510,N510&gt;K510),"SKIPPED - EXCEEDS BASE",IF(COUNTIFS($M$499:M509,M510,$N$499:N509,N510)&gt;0,"SKIPPED - DUPLICATE","VALID - GENERATED"))))</f>
        <v>VALID - GENERATED</v>
      </c>
      <c r="I510" s="10" t="s">
        <v>728</v>
      </c>
      <c r="J510" s="12">
        <f>'05-ISO Reference'!$B$12</f>
        <v>74</v>
      </c>
      <c r="K510" s="12">
        <f>'05-ISO Reference'!$C$12</f>
        <v>105</v>
      </c>
      <c r="L510" s="12">
        <f>'01-Process Controls'!$G$5</f>
        <v>3</v>
      </c>
      <c r="M510" s="12">
        <f>ROUNDDOWN(J510*'04-Variant Rules'!$D$16,0)</f>
        <v>37</v>
      </c>
      <c r="N510" s="12">
        <f>ROUNDDOWN(K510*'04-Variant Rules'!$E$16,0)</f>
        <v>52</v>
      </c>
      <c r="O510" s="9">
        <v>11</v>
      </c>
    </row>
    <row r="511" spans="1:15" ht="21" customHeight="1">
      <c r="A511" s="9" t="s">
        <v>740</v>
      </c>
      <c r="B511" s="12">
        <f>IF(LEFT(H511,5)="VALID",M511,"")</f>
        <v>24</v>
      </c>
      <c r="C511" s="12">
        <f>IF(LEFT(H511,5)="VALID",N511,"")</f>
        <v>35</v>
      </c>
      <c r="D511" s="10" t="s">
        <v>82</v>
      </c>
      <c r="E511" s="10" t="s">
        <v>727</v>
      </c>
      <c r="F511" s="10" t="s">
        <v>159</v>
      </c>
      <c r="G511" s="10" t="s">
        <v>160</v>
      </c>
      <c r="H511" s="11" t="str">
        <f>IF(OR(M511&lt;=0,N511&lt;=0),"SKIPPED - NONPOSITIVE",IF(OR(M511&lt;L511,N511&lt;L511),"SKIPPED - BELOW MIN",IF(OR(M511&gt;J511,N511&gt;K511),"SKIPPED - EXCEEDS BASE",IF(COUNTIFS($M$499:M510,M511,$N$499:N510,N511)&gt;0,"SKIPPED - DUPLICATE","VALID - GENERATED"))))</f>
        <v>VALID - GENERATED</v>
      </c>
      <c r="I511" s="10" t="s">
        <v>728</v>
      </c>
      <c r="J511" s="12">
        <f>'05-ISO Reference'!$B$12</f>
        <v>74</v>
      </c>
      <c r="K511" s="12">
        <f>'05-ISO Reference'!$C$12</f>
        <v>105</v>
      </c>
      <c r="L511" s="12">
        <f>'01-Process Controls'!$G$5</f>
        <v>3</v>
      </c>
      <c r="M511" s="12">
        <f>ROUNDDOWN(J511*'04-Variant Rules'!$D$17,0)</f>
        <v>24</v>
      </c>
      <c r="N511" s="12">
        <f>ROUNDDOWN(K511*'04-Variant Rules'!$E$17,0)</f>
        <v>35</v>
      </c>
      <c r="O511" s="9">
        <v>12</v>
      </c>
    </row>
    <row r="512" spans="1:15" ht="21" customHeight="1">
      <c r="A512" s="9" t="s">
        <v>741</v>
      </c>
      <c r="B512" s="12">
        <f>IF(LEFT(H512,5)="VALID",M512,"")</f>
        <v>18</v>
      </c>
      <c r="C512" s="12">
        <f>IF(LEFT(H512,5)="VALID",N512,"")</f>
        <v>26</v>
      </c>
      <c r="D512" s="10" t="s">
        <v>82</v>
      </c>
      <c r="E512" s="10" t="s">
        <v>727</v>
      </c>
      <c r="F512" s="10" t="s">
        <v>162</v>
      </c>
      <c r="G512" s="10" t="s">
        <v>163</v>
      </c>
      <c r="H512" s="11" t="str">
        <f>IF(OR(M512&lt;=0,N512&lt;=0),"SKIPPED - NONPOSITIVE",IF(OR(M512&lt;L512,N512&lt;L512),"SKIPPED - BELOW MIN",IF(OR(M512&gt;J512,N512&gt;K512),"SKIPPED - EXCEEDS BASE",IF(COUNTIFS($M$499:M511,M512,$N$499:N511,N512)&gt;0,"SKIPPED - DUPLICATE","VALID - GENERATED"))))</f>
        <v>VALID - GENERATED</v>
      </c>
      <c r="I512" s="10" t="s">
        <v>728</v>
      </c>
      <c r="J512" s="12">
        <f>'05-ISO Reference'!$B$12</f>
        <v>74</v>
      </c>
      <c r="K512" s="12">
        <f>'05-ISO Reference'!$C$12</f>
        <v>105</v>
      </c>
      <c r="L512" s="12">
        <f>'01-Process Controls'!$G$5</f>
        <v>3</v>
      </c>
      <c r="M512" s="12">
        <f>ROUNDDOWN(J512*'04-Variant Rules'!$D$18,0)</f>
        <v>18</v>
      </c>
      <c r="N512" s="12">
        <f>ROUNDDOWN(K512*'04-Variant Rules'!$E$18,0)</f>
        <v>26</v>
      </c>
      <c r="O512" s="9">
        <v>13</v>
      </c>
    </row>
    <row r="513" spans="1:15" ht="21" customHeight="1">
      <c r="A513" s="9" t="s">
        <v>742</v>
      </c>
      <c r="B513" s="12">
        <f>IF(LEFT(H513,5)="VALID",M513,"")</f>
        <v>37</v>
      </c>
      <c r="C513" s="12">
        <f>IF(LEFT(H513,5)="VALID",N513,"")</f>
        <v>35</v>
      </c>
      <c r="D513" s="10" t="s">
        <v>82</v>
      </c>
      <c r="E513" s="10" t="s">
        <v>727</v>
      </c>
      <c r="F513" s="10" t="s">
        <v>165</v>
      </c>
      <c r="G513" s="10" t="s">
        <v>166</v>
      </c>
      <c r="H513" s="11" t="str">
        <f>IF(OR(M513&lt;=0,N513&lt;=0),"SKIPPED - NONPOSITIVE",IF(OR(M513&lt;L513,N513&lt;L513),"SKIPPED - BELOW MIN",IF(OR(M513&gt;J513,N513&gt;K513),"SKIPPED - EXCEEDS BASE",IF(COUNTIFS($M$499:M512,M513,$N$499:N512,N513)&gt;0,"SKIPPED - DUPLICATE","VALID - GENERATED"))))</f>
        <v>VALID - GENERATED</v>
      </c>
      <c r="I513" s="10" t="s">
        <v>728</v>
      </c>
      <c r="J513" s="12">
        <f>'05-ISO Reference'!$B$12</f>
        <v>74</v>
      </c>
      <c r="K513" s="12">
        <f>'05-ISO Reference'!$C$12</f>
        <v>105</v>
      </c>
      <c r="L513" s="12">
        <f>'01-Process Controls'!$G$5</f>
        <v>3</v>
      </c>
      <c r="M513" s="12">
        <f>ROUNDDOWN(J513*'04-Variant Rules'!$D$19,0)</f>
        <v>37</v>
      </c>
      <c r="N513" s="12">
        <f>ROUNDDOWN(K513*'04-Variant Rules'!$E$19,0)</f>
        <v>35</v>
      </c>
      <c r="O513" s="9">
        <v>14</v>
      </c>
    </row>
    <row r="514" spans="1:15" ht="21" customHeight="1">
      <c r="A514" s="9" t="s">
        <v>743</v>
      </c>
      <c r="B514" s="12">
        <f>IF(LEFT(H514,5)="VALID",M514,"")</f>
        <v>24</v>
      </c>
      <c r="C514" s="12">
        <f>IF(LEFT(H514,5)="VALID",N514,"")</f>
        <v>52</v>
      </c>
      <c r="D514" s="10" t="s">
        <v>82</v>
      </c>
      <c r="E514" s="10" t="s">
        <v>727</v>
      </c>
      <c r="F514" s="10" t="s">
        <v>168</v>
      </c>
      <c r="G514" s="10" t="s">
        <v>166</v>
      </c>
      <c r="H514" s="11" t="str">
        <f>IF(OR(M514&lt;=0,N514&lt;=0),"SKIPPED - NONPOSITIVE",IF(OR(M514&lt;L514,N514&lt;L514),"SKIPPED - BELOW MIN",IF(OR(M514&gt;J514,N514&gt;K514),"SKIPPED - EXCEEDS BASE",IF(COUNTIFS($M$499:M513,M514,$N$499:N513,N514)&gt;0,"SKIPPED - DUPLICATE","VALID - GENERATED"))))</f>
        <v>VALID - GENERATED</v>
      </c>
      <c r="I514" s="10" t="s">
        <v>728</v>
      </c>
      <c r="J514" s="12">
        <f>'05-ISO Reference'!$B$12</f>
        <v>74</v>
      </c>
      <c r="K514" s="12">
        <f>'05-ISO Reference'!$C$12</f>
        <v>105</v>
      </c>
      <c r="L514" s="12">
        <f>'01-Process Controls'!$G$5</f>
        <v>3</v>
      </c>
      <c r="M514" s="12">
        <f>ROUNDDOWN(J514*'04-Variant Rules'!$D$20,0)</f>
        <v>24</v>
      </c>
      <c r="N514" s="12">
        <f>ROUNDDOWN(K514*'04-Variant Rules'!$E$20,0)</f>
        <v>52</v>
      </c>
      <c r="O514" s="9">
        <v>15</v>
      </c>
    </row>
    <row r="515" spans="1:15" ht="21" customHeight="1">
      <c r="A515" s="9" t="s">
        <v>744</v>
      </c>
      <c r="B515" s="12">
        <f>IF(LEFT(H515,5)="VALID",M515,"")</f>
        <v>37</v>
      </c>
      <c r="C515" s="12">
        <f>IF(LEFT(H515,5)="VALID",N515,"")</f>
        <v>26</v>
      </c>
      <c r="D515" s="10" t="s">
        <v>82</v>
      </c>
      <c r="E515" s="10" t="s">
        <v>727</v>
      </c>
      <c r="F515" s="10" t="s">
        <v>170</v>
      </c>
      <c r="G515" s="10" t="s">
        <v>166</v>
      </c>
      <c r="H515" s="11" t="str">
        <f>IF(OR(M515&lt;=0,N515&lt;=0),"SKIPPED - NONPOSITIVE",IF(OR(M515&lt;L515,N515&lt;L515),"SKIPPED - BELOW MIN",IF(OR(M515&gt;J515,N515&gt;K515),"SKIPPED - EXCEEDS BASE",IF(COUNTIFS($M$499:M514,M515,$N$499:N514,N515)&gt;0,"SKIPPED - DUPLICATE","VALID - GENERATED"))))</f>
        <v>VALID - GENERATED</v>
      </c>
      <c r="I515" s="10" t="s">
        <v>728</v>
      </c>
      <c r="J515" s="12">
        <f>'05-ISO Reference'!$B$12</f>
        <v>74</v>
      </c>
      <c r="K515" s="12">
        <f>'05-ISO Reference'!$C$12</f>
        <v>105</v>
      </c>
      <c r="L515" s="12">
        <f>'01-Process Controls'!$G$5</f>
        <v>3</v>
      </c>
      <c r="M515" s="12">
        <f>ROUNDDOWN(J515*'04-Variant Rules'!$D$21,0)</f>
        <v>37</v>
      </c>
      <c r="N515" s="12">
        <f>ROUNDDOWN(K515*'04-Variant Rules'!$E$21,0)</f>
        <v>26</v>
      </c>
      <c r="O515" s="9">
        <v>16</v>
      </c>
    </row>
    <row r="516" spans="1:15" ht="21" customHeight="1">
      <c r="A516" s="9" t="s">
        <v>745</v>
      </c>
      <c r="B516" s="12">
        <f>IF(LEFT(H516,5)="VALID",M516,"")</f>
        <v>18</v>
      </c>
      <c r="C516" s="12">
        <f>IF(LEFT(H516,5)="VALID",N516,"")</f>
        <v>52</v>
      </c>
      <c r="D516" s="10" t="s">
        <v>82</v>
      </c>
      <c r="E516" s="10" t="s">
        <v>727</v>
      </c>
      <c r="F516" s="10" t="s">
        <v>172</v>
      </c>
      <c r="G516" s="10" t="s">
        <v>166</v>
      </c>
      <c r="H516" s="11" t="str">
        <f>IF(OR(M516&lt;=0,N516&lt;=0),"SKIPPED - NONPOSITIVE",IF(OR(M516&lt;L516,N516&lt;L516),"SKIPPED - BELOW MIN",IF(OR(M516&gt;J516,N516&gt;K516),"SKIPPED - EXCEEDS BASE",IF(COUNTIFS($M$499:M515,M516,$N$499:N515,N516)&gt;0,"SKIPPED - DUPLICATE","VALID - GENERATED"))))</f>
        <v>VALID - GENERATED</v>
      </c>
      <c r="I516" s="10" t="s">
        <v>728</v>
      </c>
      <c r="J516" s="12">
        <f>'05-ISO Reference'!$B$12</f>
        <v>74</v>
      </c>
      <c r="K516" s="12">
        <f>'05-ISO Reference'!$C$12</f>
        <v>105</v>
      </c>
      <c r="L516" s="12">
        <f>'01-Process Controls'!$G$5</f>
        <v>3</v>
      </c>
      <c r="M516" s="12">
        <f>ROUNDDOWN(J516*'04-Variant Rules'!$D$22,0)</f>
        <v>18</v>
      </c>
      <c r="N516" s="12">
        <f>ROUNDDOWN(K516*'04-Variant Rules'!$E$22,0)</f>
        <v>52</v>
      </c>
      <c r="O516" s="9">
        <v>17</v>
      </c>
    </row>
    <row r="517" spans="1:15" ht="21" customHeight="1">
      <c r="A517" s="9" t="s">
        <v>746</v>
      </c>
      <c r="B517" s="12">
        <f>IF(LEFT(H517,5)="VALID",M517,"")</f>
        <v>49</v>
      </c>
      <c r="C517" s="12">
        <f>IF(LEFT(H517,5)="VALID",N517,"")</f>
        <v>52</v>
      </c>
      <c r="D517" s="10" t="s">
        <v>82</v>
      </c>
      <c r="E517" s="10" t="s">
        <v>727</v>
      </c>
      <c r="F517" s="10" t="s">
        <v>174</v>
      </c>
      <c r="G517" s="10" t="s">
        <v>166</v>
      </c>
      <c r="H517" s="11" t="str">
        <f>IF(OR(M517&lt;=0,N517&lt;=0),"SKIPPED - NONPOSITIVE",IF(OR(M517&lt;L517,N517&lt;L517),"SKIPPED - BELOW MIN",IF(OR(M517&gt;J517,N517&gt;K517),"SKIPPED - EXCEEDS BASE",IF(COUNTIFS($M$499:M516,M517,$N$499:N516,N517)&gt;0,"SKIPPED - DUPLICATE","VALID - GENERATED"))))</f>
        <v>VALID - GENERATED</v>
      </c>
      <c r="I517" s="10" t="s">
        <v>728</v>
      </c>
      <c r="J517" s="12">
        <f>'05-ISO Reference'!$B$12</f>
        <v>74</v>
      </c>
      <c r="K517" s="12">
        <f>'05-ISO Reference'!$C$12</f>
        <v>105</v>
      </c>
      <c r="L517" s="12">
        <f>'01-Process Controls'!$G$5</f>
        <v>3</v>
      </c>
      <c r="M517" s="12">
        <f>ROUNDDOWN(J517*'04-Variant Rules'!$D$23,0)</f>
        <v>49</v>
      </c>
      <c r="N517" s="12">
        <f>ROUNDDOWN(K517*'04-Variant Rules'!$E$23,0)</f>
        <v>52</v>
      </c>
      <c r="O517" s="9">
        <v>18</v>
      </c>
    </row>
    <row r="518" spans="1:15" ht="21" customHeight="1">
      <c r="A518" s="9" t="s">
        <v>747</v>
      </c>
      <c r="B518" s="12">
        <f>IF(LEFT(H518,5)="VALID",M518,"")</f>
        <v>37</v>
      </c>
      <c r="C518" s="12">
        <f>IF(LEFT(H518,5)="VALID",N518,"")</f>
        <v>70</v>
      </c>
      <c r="D518" s="10" t="s">
        <v>82</v>
      </c>
      <c r="E518" s="10" t="s">
        <v>727</v>
      </c>
      <c r="F518" s="10" t="s">
        <v>176</v>
      </c>
      <c r="G518" s="10" t="s">
        <v>166</v>
      </c>
      <c r="H518" s="11" t="str">
        <f>IF(OR(M518&lt;=0,N518&lt;=0),"SKIPPED - NONPOSITIVE",IF(OR(M518&lt;L518,N518&lt;L518),"SKIPPED - BELOW MIN",IF(OR(M518&gt;J518,N518&gt;K518),"SKIPPED - EXCEEDS BASE",IF(COUNTIFS($M$499:M517,M518,$N$499:N517,N518)&gt;0,"SKIPPED - DUPLICATE","VALID - GENERATED"))))</f>
        <v>VALID - GENERATED</v>
      </c>
      <c r="I518" s="10" t="s">
        <v>728</v>
      </c>
      <c r="J518" s="12">
        <f>'05-ISO Reference'!$B$12</f>
        <v>74</v>
      </c>
      <c r="K518" s="12">
        <f>'05-ISO Reference'!$C$12</f>
        <v>105</v>
      </c>
      <c r="L518" s="12">
        <f>'01-Process Controls'!$G$5</f>
        <v>3</v>
      </c>
      <c r="M518" s="12">
        <f>ROUNDDOWN(J518*'04-Variant Rules'!$D$24,0)</f>
        <v>37</v>
      </c>
      <c r="N518" s="12">
        <f>ROUNDDOWN(K518*'04-Variant Rules'!$E$24,0)</f>
        <v>70</v>
      </c>
      <c r="O518" s="9">
        <v>19</v>
      </c>
    </row>
    <row r="519" spans="1:15" ht="21" customHeight="1">
      <c r="A519" s="9" t="s">
        <v>748</v>
      </c>
      <c r="B519" s="12">
        <f>IF(LEFT(H519,5)="VALID",M519,"")</f>
        <v>55</v>
      </c>
      <c r="C519" s="12">
        <f>IF(LEFT(H519,5)="VALID",N519,"")</f>
        <v>52</v>
      </c>
      <c r="D519" s="10" t="s">
        <v>82</v>
      </c>
      <c r="E519" s="10" t="s">
        <v>727</v>
      </c>
      <c r="F519" s="10" t="s">
        <v>178</v>
      </c>
      <c r="G519" s="10" t="s">
        <v>166</v>
      </c>
      <c r="H519" s="11" t="str">
        <f>IF(OR(M519&lt;=0,N519&lt;=0),"SKIPPED - NONPOSITIVE",IF(OR(M519&lt;L519,N519&lt;L519),"SKIPPED - BELOW MIN",IF(OR(M519&gt;J519,N519&gt;K519),"SKIPPED - EXCEEDS BASE",IF(COUNTIFS($M$499:M518,M519,$N$499:N518,N519)&gt;0,"SKIPPED - DUPLICATE","VALID - GENERATED"))))</f>
        <v>VALID - GENERATED</v>
      </c>
      <c r="I519" s="10" t="s">
        <v>728</v>
      </c>
      <c r="J519" s="12">
        <f>'05-ISO Reference'!$B$12</f>
        <v>74</v>
      </c>
      <c r="K519" s="12">
        <f>'05-ISO Reference'!$C$12</f>
        <v>105</v>
      </c>
      <c r="L519" s="12">
        <f>'01-Process Controls'!$G$5</f>
        <v>3</v>
      </c>
      <c r="M519" s="12">
        <f>ROUNDDOWN(J519*'04-Variant Rules'!$D$25,0)</f>
        <v>55</v>
      </c>
      <c r="N519" s="12">
        <f>ROUNDDOWN(K519*'04-Variant Rules'!$E$25,0)</f>
        <v>52</v>
      </c>
      <c r="O519" s="9">
        <v>20</v>
      </c>
    </row>
    <row r="520" spans="1:15" ht="21" customHeight="1">
      <c r="A520" s="9" t="s">
        <v>749</v>
      </c>
      <c r="B520" s="12">
        <f>IF(LEFT(H520,5)="VALID",M520,"")</f>
        <v>37</v>
      </c>
      <c r="C520" s="12">
        <f>IF(LEFT(H520,5)="VALID",N520,"")</f>
        <v>78</v>
      </c>
      <c r="D520" s="10" t="s">
        <v>82</v>
      </c>
      <c r="E520" s="10" t="s">
        <v>727</v>
      </c>
      <c r="F520" s="10" t="s">
        <v>180</v>
      </c>
      <c r="G520" s="10" t="s">
        <v>166</v>
      </c>
      <c r="H520" s="11" t="str">
        <f>IF(OR(M520&lt;=0,N520&lt;=0),"SKIPPED - NONPOSITIVE",IF(OR(M520&lt;L520,N520&lt;L520),"SKIPPED - BELOW MIN",IF(OR(M520&gt;J520,N520&gt;K520),"SKIPPED - EXCEEDS BASE",IF(COUNTIFS($M$499:M519,M520,$N$499:N519,N520)&gt;0,"SKIPPED - DUPLICATE","VALID - GENERATED"))))</f>
        <v>VALID - GENERATED</v>
      </c>
      <c r="I520" s="10" t="s">
        <v>728</v>
      </c>
      <c r="J520" s="12">
        <f>'05-ISO Reference'!$B$12</f>
        <v>74</v>
      </c>
      <c r="K520" s="12">
        <f>'05-ISO Reference'!$C$12</f>
        <v>105</v>
      </c>
      <c r="L520" s="12">
        <f>'01-Process Controls'!$G$5</f>
        <v>3</v>
      </c>
      <c r="M520" s="12">
        <f>ROUNDDOWN(J520*'04-Variant Rules'!$D$26,0)</f>
        <v>37</v>
      </c>
      <c r="N520" s="12">
        <f>ROUNDDOWN(K520*'04-Variant Rules'!$E$26,0)</f>
        <v>78</v>
      </c>
      <c r="O520" s="9">
        <v>21</v>
      </c>
    </row>
    <row r="521" spans="1:15" ht="21" customHeight="1">
      <c r="A521" s="9" t="s">
        <v>750</v>
      </c>
      <c r="B521" s="12">
        <f>IF(LEFT(H521,5)="VALID",M521,"")</f>
        <v>70</v>
      </c>
      <c r="C521" s="12">
        <f>IF(LEFT(H521,5)="VALID",N521,"")</f>
        <v>99</v>
      </c>
      <c r="D521" s="10" t="s">
        <v>82</v>
      </c>
      <c r="E521" s="10" t="s">
        <v>727</v>
      </c>
      <c r="F521" s="10" t="s">
        <v>182</v>
      </c>
      <c r="G521" s="10" t="s">
        <v>183</v>
      </c>
      <c r="H521" s="11" t="str">
        <f>IF(OR(M521&lt;=0,N521&lt;=0),"SKIPPED - NONPOSITIVE",IF(OR(M521&lt;L521,N521&lt;L521),"SKIPPED - BELOW MIN",IF(OR(M521&gt;J521,N521&gt;K521),"SKIPPED - EXCEEDS BASE",IF(COUNTIFS($M$499:M520,M521,$N$499:N520,N521)&gt;0,"SKIPPED - DUPLICATE","VALID - GENERATED"))))</f>
        <v>VALID - GENERATED</v>
      </c>
      <c r="I521" s="10" t="s">
        <v>728</v>
      </c>
      <c r="J521" s="12">
        <f>'05-ISO Reference'!$B$12</f>
        <v>74</v>
      </c>
      <c r="K521" s="12">
        <f>'05-ISO Reference'!$C$12</f>
        <v>105</v>
      </c>
      <c r="L521" s="12">
        <f>'01-Process Controls'!$G$5</f>
        <v>3</v>
      </c>
      <c r="M521" s="12">
        <f>ROUNDDOWN(J521*'04-Variant Rules'!$D$27,0)</f>
        <v>70</v>
      </c>
      <c r="N521" s="12">
        <f>ROUNDDOWN(K521*'04-Variant Rules'!$E$27,0)</f>
        <v>99</v>
      </c>
      <c r="O521" s="9">
        <v>22</v>
      </c>
    </row>
    <row r="522" spans="1:15" ht="21" customHeight="1">
      <c r="A522" s="9" t="s">
        <v>751</v>
      </c>
      <c r="B522" s="12">
        <f>IF(LEFT(H522,5)="VALID",M522,"")</f>
        <v>66</v>
      </c>
      <c r="C522" s="12">
        <f>IF(LEFT(H522,5)="VALID",N522,"")</f>
        <v>94</v>
      </c>
      <c r="D522" s="10" t="s">
        <v>82</v>
      </c>
      <c r="E522" s="10" t="s">
        <v>727</v>
      </c>
      <c r="F522" s="10" t="s">
        <v>185</v>
      </c>
      <c r="G522" s="10" t="s">
        <v>186</v>
      </c>
      <c r="H522" s="11" t="str">
        <f>IF(OR(M522&lt;=0,N522&lt;=0),"SKIPPED - NONPOSITIVE",IF(OR(M522&lt;L522,N522&lt;L522),"SKIPPED - BELOW MIN",IF(OR(M522&gt;J522,N522&gt;K522),"SKIPPED - EXCEEDS BASE",IF(COUNTIFS($M$499:M521,M522,$N$499:N521,N522)&gt;0,"SKIPPED - DUPLICATE","VALID - GENERATED"))))</f>
        <v>VALID - GENERATED</v>
      </c>
      <c r="I522" s="10" t="s">
        <v>728</v>
      </c>
      <c r="J522" s="12">
        <f>'05-ISO Reference'!$B$12</f>
        <v>74</v>
      </c>
      <c r="K522" s="12">
        <f>'05-ISO Reference'!$C$12</f>
        <v>105</v>
      </c>
      <c r="L522" s="12">
        <f>'01-Process Controls'!$G$5</f>
        <v>3</v>
      </c>
      <c r="M522" s="12">
        <f>ROUNDDOWN(J522*'04-Variant Rules'!$D$28,0)</f>
        <v>66</v>
      </c>
      <c r="N522" s="12">
        <f>ROUNDDOWN(K522*'04-Variant Rules'!$E$28,0)</f>
        <v>94</v>
      </c>
      <c r="O522" s="9">
        <v>23</v>
      </c>
    </row>
    <row r="523" spans="1:15" ht="21" customHeight="1">
      <c r="A523" s="9" t="s">
        <v>752</v>
      </c>
      <c r="B523" s="12">
        <f>IF(LEFT(H523,5)="VALID",M523,"")</f>
        <v>62</v>
      </c>
      <c r="C523" s="12">
        <f>IF(LEFT(H523,5)="VALID",N523,"")</f>
        <v>89</v>
      </c>
      <c r="D523" s="10" t="s">
        <v>82</v>
      </c>
      <c r="E523" s="10" t="s">
        <v>727</v>
      </c>
      <c r="F523" s="10" t="s">
        <v>188</v>
      </c>
      <c r="G523" s="10" t="s">
        <v>186</v>
      </c>
      <c r="H523" s="11" t="str">
        <f>IF(OR(M523&lt;=0,N523&lt;=0),"SKIPPED - NONPOSITIVE",IF(OR(M523&lt;L523,N523&lt;L523),"SKIPPED - BELOW MIN",IF(OR(M523&gt;J523,N523&gt;K523),"SKIPPED - EXCEEDS BASE",IF(COUNTIFS($M$499:M522,M523,$N$499:N522,N523)&gt;0,"SKIPPED - DUPLICATE","VALID - GENERATED"))))</f>
        <v>VALID - GENERATED</v>
      </c>
      <c r="I523" s="10" t="s">
        <v>728</v>
      </c>
      <c r="J523" s="12">
        <f>'05-ISO Reference'!$B$12</f>
        <v>74</v>
      </c>
      <c r="K523" s="12">
        <f>'05-ISO Reference'!$C$12</f>
        <v>105</v>
      </c>
      <c r="L523" s="12">
        <f>'01-Process Controls'!$G$5</f>
        <v>3</v>
      </c>
      <c r="M523" s="12">
        <f>ROUNDDOWN(J523*'04-Variant Rules'!$D$29,0)</f>
        <v>62</v>
      </c>
      <c r="N523" s="12">
        <f>ROUNDDOWN(K523*'04-Variant Rules'!$E$29,0)</f>
        <v>89</v>
      </c>
      <c r="O523" s="9">
        <v>24</v>
      </c>
    </row>
    <row r="524" spans="1:15" ht="21" customHeight="1">
      <c r="A524" s="9" t="s">
        <v>753</v>
      </c>
      <c r="B524" s="12">
        <f>IF(LEFT(H524,5)="VALID",M524,"")</f>
        <v>59</v>
      </c>
      <c r="C524" s="12">
        <f>IF(LEFT(H524,5)="VALID",N524,"")</f>
        <v>84</v>
      </c>
      <c r="D524" s="10" t="s">
        <v>82</v>
      </c>
      <c r="E524" s="10" t="s">
        <v>727</v>
      </c>
      <c r="F524" s="10" t="s">
        <v>190</v>
      </c>
      <c r="G524" s="10" t="s">
        <v>186</v>
      </c>
      <c r="H524" s="11" t="str">
        <f>IF(OR(M524&lt;=0,N524&lt;=0),"SKIPPED - NONPOSITIVE",IF(OR(M524&lt;L524,N524&lt;L524),"SKIPPED - BELOW MIN",IF(OR(M524&gt;J524,N524&gt;K524),"SKIPPED - EXCEEDS BASE",IF(COUNTIFS($M$499:M523,M524,$N$499:N523,N524)&gt;0,"SKIPPED - DUPLICATE","VALID - GENERATED"))))</f>
        <v>VALID - GENERATED</v>
      </c>
      <c r="I524" s="10" t="s">
        <v>728</v>
      </c>
      <c r="J524" s="12">
        <f>'05-ISO Reference'!$B$12</f>
        <v>74</v>
      </c>
      <c r="K524" s="12">
        <f>'05-ISO Reference'!$C$12</f>
        <v>105</v>
      </c>
      <c r="L524" s="12">
        <f>'01-Process Controls'!$G$5</f>
        <v>3</v>
      </c>
      <c r="M524" s="12">
        <f>ROUNDDOWN(J524*'04-Variant Rules'!$D$30,0)</f>
        <v>59</v>
      </c>
      <c r="N524" s="12">
        <f>ROUNDDOWN(K524*'04-Variant Rules'!$E$30,0)</f>
        <v>84</v>
      </c>
      <c r="O524" s="9">
        <v>25</v>
      </c>
    </row>
    <row r="525" spans="1:15" ht="21" customHeight="1">
      <c r="A525" s="9" t="s">
        <v>754</v>
      </c>
      <c r="B525" s="12">
        <f>IF(LEFT(H525,5)="VALID",M525,"")</f>
        <v>55</v>
      </c>
      <c r="C525" s="12">
        <f>IF(LEFT(H525,5)="VALID",N525,"")</f>
        <v>78</v>
      </c>
      <c r="D525" s="10" t="s">
        <v>82</v>
      </c>
      <c r="E525" s="10" t="s">
        <v>727</v>
      </c>
      <c r="F525" s="10" t="s">
        <v>192</v>
      </c>
      <c r="G525" s="10" t="s">
        <v>186</v>
      </c>
      <c r="H525" s="11" t="str">
        <f>IF(OR(M525&lt;=0,N525&lt;=0),"SKIPPED - NONPOSITIVE",IF(OR(M525&lt;L525,N525&lt;L525),"SKIPPED - BELOW MIN",IF(OR(M525&gt;J525,N525&gt;K525),"SKIPPED - EXCEEDS BASE",IF(COUNTIFS($M$499:M524,M525,$N$499:N524,N525)&gt;0,"SKIPPED - DUPLICATE","VALID - GENERATED"))))</f>
        <v>VALID - GENERATED</v>
      </c>
      <c r="I525" s="10" t="s">
        <v>728</v>
      </c>
      <c r="J525" s="12">
        <f>'05-ISO Reference'!$B$12</f>
        <v>74</v>
      </c>
      <c r="K525" s="12">
        <f>'05-ISO Reference'!$C$12</f>
        <v>105</v>
      </c>
      <c r="L525" s="12">
        <f>'01-Process Controls'!$G$5</f>
        <v>3</v>
      </c>
      <c r="M525" s="12">
        <f>ROUNDDOWN(J525*'04-Variant Rules'!$D$31,0)</f>
        <v>55</v>
      </c>
      <c r="N525" s="12">
        <f>ROUNDDOWN(K525*'04-Variant Rules'!$E$31,0)</f>
        <v>78</v>
      </c>
      <c r="O525" s="9">
        <v>26</v>
      </c>
    </row>
    <row r="526" spans="1:15" ht="21" customHeight="1">
      <c r="A526" s="9" t="s">
        <v>755</v>
      </c>
      <c r="B526" s="12">
        <f>IF(LEFT(H526,5)="VALID",M526,"")</f>
        <v>51</v>
      </c>
      <c r="C526" s="12">
        <f>IF(LEFT(H526,5)="VALID",N526,"")</f>
        <v>73</v>
      </c>
      <c r="D526" s="10" t="s">
        <v>82</v>
      </c>
      <c r="E526" s="10" t="s">
        <v>727</v>
      </c>
      <c r="F526" s="10" t="s">
        <v>194</v>
      </c>
      <c r="G526" s="10" t="s">
        <v>186</v>
      </c>
      <c r="H526" s="11" t="str">
        <f>IF(OR(M526&lt;=0,N526&lt;=0),"SKIPPED - NONPOSITIVE",IF(OR(M526&lt;L526,N526&lt;L526),"SKIPPED - BELOW MIN",IF(OR(M526&gt;J526,N526&gt;K526),"SKIPPED - EXCEEDS BASE",IF(COUNTIFS($M$499:M525,M526,$N$499:N525,N526)&gt;0,"SKIPPED - DUPLICATE","VALID - GENERATED"))))</f>
        <v>VALID - GENERATED</v>
      </c>
      <c r="I526" s="10" t="s">
        <v>728</v>
      </c>
      <c r="J526" s="12">
        <f>'05-ISO Reference'!$B$12</f>
        <v>74</v>
      </c>
      <c r="K526" s="12">
        <f>'05-ISO Reference'!$C$12</f>
        <v>105</v>
      </c>
      <c r="L526" s="12">
        <f>'01-Process Controls'!$G$5</f>
        <v>3</v>
      </c>
      <c r="M526" s="12">
        <f>ROUNDDOWN(J526*'04-Variant Rules'!$D$32,0)</f>
        <v>51</v>
      </c>
      <c r="N526" s="12">
        <f>ROUNDDOWN(K526*'04-Variant Rules'!$E$32,0)</f>
        <v>73</v>
      </c>
      <c r="O526" s="9">
        <v>27</v>
      </c>
    </row>
    <row r="527" spans="1:15" ht="21" customHeight="1">
      <c r="A527" s="9" t="s">
        <v>756</v>
      </c>
      <c r="B527" s="12">
        <f>IF(LEFT(H527,5)="VALID",M527,"")</f>
        <v>49</v>
      </c>
      <c r="C527" s="12">
        <f>IF(LEFT(H527,5)="VALID",N527,"")</f>
        <v>70</v>
      </c>
      <c r="D527" s="10" t="s">
        <v>82</v>
      </c>
      <c r="E527" s="10" t="s">
        <v>727</v>
      </c>
      <c r="F527" s="10" t="s">
        <v>196</v>
      </c>
      <c r="G527" s="10" t="s">
        <v>186</v>
      </c>
      <c r="H527" s="11" t="str">
        <f>IF(OR(M527&lt;=0,N527&lt;=0),"SKIPPED - NONPOSITIVE",IF(OR(M527&lt;L527,N527&lt;L527),"SKIPPED - BELOW MIN",IF(OR(M527&gt;J527,N527&gt;K527),"SKIPPED - EXCEEDS BASE",IF(COUNTIFS($M$499:M526,M527,$N$499:N526,N527)&gt;0,"SKIPPED - DUPLICATE","VALID - GENERATED"))))</f>
        <v>VALID - GENERATED</v>
      </c>
      <c r="I527" s="10" t="s">
        <v>728</v>
      </c>
      <c r="J527" s="12">
        <f>'05-ISO Reference'!$B$12</f>
        <v>74</v>
      </c>
      <c r="K527" s="12">
        <f>'05-ISO Reference'!$C$12</f>
        <v>105</v>
      </c>
      <c r="L527" s="12">
        <f>'01-Process Controls'!$G$5</f>
        <v>3</v>
      </c>
      <c r="M527" s="12">
        <f>ROUNDDOWN(J527*'04-Variant Rules'!$D$33,0)</f>
        <v>49</v>
      </c>
      <c r="N527" s="12">
        <f>ROUNDDOWN(K527*'04-Variant Rules'!$E$33,0)</f>
        <v>70</v>
      </c>
      <c r="O527" s="9">
        <v>28</v>
      </c>
    </row>
    <row r="528" spans="1:15" ht="21" customHeight="1">
      <c r="A528" s="9" t="s">
        <v>757</v>
      </c>
      <c r="B528" s="12">
        <f>IF(LEFT(H528,5)="VALID",M528,"")</f>
        <v>44</v>
      </c>
      <c r="C528" s="12">
        <f>IF(LEFT(H528,5)="VALID",N528,"")</f>
        <v>63</v>
      </c>
      <c r="D528" s="10" t="s">
        <v>82</v>
      </c>
      <c r="E528" s="10" t="s">
        <v>727</v>
      </c>
      <c r="F528" s="10" t="s">
        <v>198</v>
      </c>
      <c r="G528" s="10" t="s">
        <v>186</v>
      </c>
      <c r="H528" s="11" t="str">
        <f>IF(OR(M528&lt;=0,N528&lt;=0),"SKIPPED - NONPOSITIVE",IF(OR(M528&lt;L528,N528&lt;L528),"SKIPPED - BELOW MIN",IF(OR(M528&gt;J528,N528&gt;K528),"SKIPPED - EXCEEDS BASE",IF(COUNTIFS($M$499:M527,M528,$N$499:N527,N528)&gt;0,"SKIPPED - DUPLICATE","VALID - GENERATED"))))</f>
        <v>VALID - GENERATED</v>
      </c>
      <c r="I528" s="10" t="s">
        <v>728</v>
      </c>
      <c r="J528" s="12">
        <f>'05-ISO Reference'!$B$12</f>
        <v>74</v>
      </c>
      <c r="K528" s="12">
        <f>'05-ISO Reference'!$C$12</f>
        <v>105</v>
      </c>
      <c r="L528" s="12">
        <f>'01-Process Controls'!$G$5</f>
        <v>3</v>
      </c>
      <c r="M528" s="12">
        <f>ROUNDDOWN(J528*'04-Variant Rules'!$D$34,0)</f>
        <v>44</v>
      </c>
      <c r="N528" s="12">
        <f>ROUNDDOWN(K528*'04-Variant Rules'!$E$34,0)</f>
        <v>63</v>
      </c>
      <c r="O528" s="9">
        <v>29</v>
      </c>
    </row>
    <row r="529" spans="1:15" ht="21" customHeight="1">
      <c r="A529" s="9" t="s">
        <v>758</v>
      </c>
      <c r="B529" s="12">
        <f>IF(LEFT(H529,5)="VALID",M529,"")</f>
        <v>40</v>
      </c>
      <c r="C529" s="12">
        <f>IF(LEFT(H529,5)="VALID",N529,"")</f>
        <v>57</v>
      </c>
      <c r="D529" s="10" t="s">
        <v>82</v>
      </c>
      <c r="E529" s="10" t="s">
        <v>727</v>
      </c>
      <c r="F529" s="10" t="s">
        <v>200</v>
      </c>
      <c r="G529" s="10" t="s">
        <v>186</v>
      </c>
      <c r="H529" s="11" t="str">
        <f>IF(OR(M529&lt;=0,N529&lt;=0),"SKIPPED - NONPOSITIVE",IF(OR(M529&lt;L529,N529&lt;L529),"SKIPPED - BELOW MIN",IF(OR(M529&gt;J529,N529&gt;K529),"SKIPPED - EXCEEDS BASE",IF(COUNTIFS($M$499:M528,M529,$N$499:N528,N529)&gt;0,"SKIPPED - DUPLICATE","VALID - GENERATED"))))</f>
        <v>VALID - GENERATED</v>
      </c>
      <c r="I529" s="10" t="s">
        <v>728</v>
      </c>
      <c r="J529" s="12">
        <f>'05-ISO Reference'!$B$12</f>
        <v>74</v>
      </c>
      <c r="K529" s="12">
        <f>'05-ISO Reference'!$C$12</f>
        <v>105</v>
      </c>
      <c r="L529" s="12">
        <f>'01-Process Controls'!$G$5</f>
        <v>3</v>
      </c>
      <c r="M529" s="12">
        <f>ROUNDDOWN(J529*'04-Variant Rules'!$D$35,0)</f>
        <v>40</v>
      </c>
      <c r="N529" s="12">
        <f>ROUNDDOWN(K529*'04-Variant Rules'!$E$35,0)</f>
        <v>57</v>
      </c>
      <c r="O529" s="9">
        <v>30</v>
      </c>
    </row>
    <row r="530" spans="1:15" ht="21" customHeight="1">
      <c r="A530" s="9" t="s">
        <v>759</v>
      </c>
      <c r="B530" s="12">
        <f>IF(LEFT(H530,5)="VALID",M530,"")</f>
        <v>33</v>
      </c>
      <c r="C530" s="12">
        <f>IF(LEFT(H530,5)="VALID",N530,"")</f>
        <v>47</v>
      </c>
      <c r="D530" s="10" t="s">
        <v>82</v>
      </c>
      <c r="E530" s="10" t="s">
        <v>727</v>
      </c>
      <c r="F530" s="10" t="s">
        <v>202</v>
      </c>
      <c r="G530" s="10" t="s">
        <v>186</v>
      </c>
      <c r="H530" s="11" t="str">
        <f>IF(OR(M530&lt;=0,N530&lt;=0),"SKIPPED - NONPOSITIVE",IF(OR(M530&lt;L530,N530&lt;L530),"SKIPPED - BELOW MIN",IF(OR(M530&gt;J530,N530&gt;K530),"SKIPPED - EXCEEDS BASE",IF(COUNTIFS($M$499:M529,M530,$N$499:N529,N530)&gt;0,"SKIPPED - DUPLICATE","VALID - GENERATED"))))</f>
        <v>VALID - GENERATED</v>
      </c>
      <c r="I530" s="10" t="s">
        <v>728</v>
      </c>
      <c r="J530" s="12">
        <f>'05-ISO Reference'!$B$12</f>
        <v>74</v>
      </c>
      <c r="K530" s="12">
        <f>'05-ISO Reference'!$C$12</f>
        <v>105</v>
      </c>
      <c r="L530" s="12">
        <f>'01-Process Controls'!$G$5</f>
        <v>3</v>
      </c>
      <c r="M530" s="12">
        <f>ROUNDDOWN(J530*'04-Variant Rules'!$D$36,0)</f>
        <v>33</v>
      </c>
      <c r="N530" s="12">
        <f>ROUNDDOWN(K530*'04-Variant Rules'!$E$36,0)</f>
        <v>47</v>
      </c>
      <c r="O530" s="9">
        <v>31</v>
      </c>
    </row>
    <row r="531" spans="1:15" ht="21" customHeight="1">
      <c r="A531" s="9" t="s">
        <v>760</v>
      </c>
      <c r="B531" s="12">
        <f>IF(LEFT(H531,5)="VALID",M531,"")</f>
        <v>29</v>
      </c>
      <c r="C531" s="12">
        <f>IF(LEFT(H531,5)="VALID",N531,"")</f>
        <v>42</v>
      </c>
      <c r="D531" s="10" t="s">
        <v>82</v>
      </c>
      <c r="E531" s="10" t="s">
        <v>727</v>
      </c>
      <c r="F531" s="10" t="s">
        <v>204</v>
      </c>
      <c r="G531" s="10" t="s">
        <v>186</v>
      </c>
      <c r="H531" s="11" t="str">
        <f>IF(OR(M531&lt;=0,N531&lt;=0),"SKIPPED - NONPOSITIVE",IF(OR(M531&lt;L531,N531&lt;L531),"SKIPPED - BELOW MIN",IF(OR(M531&gt;J531,N531&gt;K531),"SKIPPED - EXCEEDS BASE",IF(COUNTIFS($M$499:M530,M531,$N$499:N530,N531)&gt;0,"SKIPPED - DUPLICATE","VALID - GENERATED"))))</f>
        <v>VALID - GENERATED</v>
      </c>
      <c r="I531" s="10" t="s">
        <v>728</v>
      </c>
      <c r="J531" s="12">
        <f>'05-ISO Reference'!$B$12</f>
        <v>74</v>
      </c>
      <c r="K531" s="12">
        <f>'05-ISO Reference'!$C$12</f>
        <v>105</v>
      </c>
      <c r="L531" s="12">
        <f>'01-Process Controls'!$G$5</f>
        <v>3</v>
      </c>
      <c r="M531" s="12">
        <f>ROUNDDOWN(J531*'04-Variant Rules'!$D$37,0)</f>
        <v>29</v>
      </c>
      <c r="N531" s="12">
        <f>ROUNDDOWN(K531*'04-Variant Rules'!$E$37,0)</f>
        <v>42</v>
      </c>
      <c r="O531" s="9">
        <v>32</v>
      </c>
    </row>
    <row r="532" spans="1:15" ht="21" customHeight="1">
      <c r="A532" s="9" t="s">
        <v>761</v>
      </c>
      <c r="B532" s="12">
        <f>IF(LEFT(H532,5)="VALID",M532,"")</f>
        <v>25</v>
      </c>
      <c r="C532" s="12">
        <f>IF(LEFT(H532,5)="VALID",N532,"")</f>
        <v>36</v>
      </c>
      <c r="D532" s="10" t="s">
        <v>82</v>
      </c>
      <c r="E532" s="10" t="s">
        <v>727</v>
      </c>
      <c r="F532" s="10" t="s">
        <v>206</v>
      </c>
      <c r="G532" s="10" t="s">
        <v>186</v>
      </c>
      <c r="H532" s="11" t="str">
        <f>IF(OR(M532&lt;=0,N532&lt;=0),"SKIPPED - NONPOSITIVE",IF(OR(M532&lt;L532,N532&lt;L532),"SKIPPED - BELOW MIN",IF(OR(M532&gt;J532,N532&gt;K532),"SKIPPED - EXCEEDS BASE",IF(COUNTIFS($M$499:M531,M532,$N$499:N531,N532)&gt;0,"SKIPPED - DUPLICATE","VALID - GENERATED"))))</f>
        <v>VALID - GENERATED</v>
      </c>
      <c r="I532" s="10" t="s">
        <v>728</v>
      </c>
      <c r="J532" s="12">
        <f>'05-ISO Reference'!$B$12</f>
        <v>74</v>
      </c>
      <c r="K532" s="12">
        <f>'05-ISO Reference'!$C$12</f>
        <v>105</v>
      </c>
      <c r="L532" s="12">
        <f>'01-Process Controls'!$G$5</f>
        <v>3</v>
      </c>
      <c r="M532" s="12">
        <f>ROUNDDOWN(J532*'04-Variant Rules'!$D$38,0)</f>
        <v>25</v>
      </c>
      <c r="N532" s="12">
        <f>ROUNDDOWN(K532*'04-Variant Rules'!$E$38,0)</f>
        <v>36</v>
      </c>
      <c r="O532" s="9">
        <v>33</v>
      </c>
    </row>
    <row r="533" spans="1:15" ht="21" customHeight="1">
      <c r="A533" s="9" t="s">
        <v>762</v>
      </c>
      <c r="B533" s="12">
        <f>IF(LEFT(H533,5)="VALID",M533,"")</f>
        <v>22</v>
      </c>
      <c r="C533" s="12">
        <f>IF(LEFT(H533,5)="VALID",N533,"")</f>
        <v>31</v>
      </c>
      <c r="D533" s="10" t="s">
        <v>82</v>
      </c>
      <c r="E533" s="10" t="s">
        <v>727</v>
      </c>
      <c r="F533" s="10" t="s">
        <v>208</v>
      </c>
      <c r="G533" s="10" t="s">
        <v>186</v>
      </c>
      <c r="H533" s="11" t="str">
        <f>IF(OR(M533&lt;=0,N533&lt;=0),"SKIPPED - NONPOSITIVE",IF(OR(M533&lt;L533,N533&lt;L533),"SKIPPED - BELOW MIN",IF(OR(M533&gt;J533,N533&gt;K533),"SKIPPED - EXCEEDS BASE",IF(COUNTIFS($M$499:M532,M533,$N$499:N532,N533)&gt;0,"SKIPPED - DUPLICATE","VALID - GENERATED"))))</f>
        <v>VALID - GENERATED</v>
      </c>
      <c r="I533" s="10" t="s">
        <v>728</v>
      </c>
      <c r="J533" s="12">
        <f>'05-ISO Reference'!$B$12</f>
        <v>74</v>
      </c>
      <c r="K533" s="12">
        <f>'05-ISO Reference'!$C$12</f>
        <v>105</v>
      </c>
      <c r="L533" s="12">
        <f>'01-Process Controls'!$G$5</f>
        <v>3</v>
      </c>
      <c r="M533" s="12">
        <f>ROUNDDOWN(J533*'04-Variant Rules'!$D$39,0)</f>
        <v>22</v>
      </c>
      <c r="N533" s="12">
        <f>ROUNDDOWN(K533*'04-Variant Rules'!$E$39,0)</f>
        <v>31</v>
      </c>
      <c r="O533" s="9">
        <v>34</v>
      </c>
    </row>
    <row r="534" spans="1:15" ht="21" customHeight="1">
      <c r="A534" s="9" t="s">
        <v>763</v>
      </c>
      <c r="B534" s="12">
        <f>IF(LEFT(H534,5)="VALID",M534,"")</f>
        <v>14</v>
      </c>
      <c r="C534" s="12">
        <f>IF(LEFT(H534,5)="VALID",N534,"")</f>
        <v>21</v>
      </c>
      <c r="D534" s="10" t="s">
        <v>82</v>
      </c>
      <c r="E534" s="10" t="s">
        <v>727</v>
      </c>
      <c r="F534" s="10" t="s">
        <v>210</v>
      </c>
      <c r="G534" s="10" t="s">
        <v>186</v>
      </c>
      <c r="H534" s="11" t="str">
        <f>IF(OR(M534&lt;=0,N534&lt;=0),"SKIPPED - NONPOSITIVE",IF(OR(M534&lt;L534,N534&lt;L534),"SKIPPED - BELOW MIN",IF(OR(M534&gt;J534,N534&gt;K534),"SKIPPED - EXCEEDS BASE",IF(COUNTIFS($M$499:M533,M534,$N$499:N533,N534)&gt;0,"SKIPPED - DUPLICATE","VALID - GENERATED"))))</f>
        <v>VALID - GENERATED</v>
      </c>
      <c r="I534" s="10" t="s">
        <v>728</v>
      </c>
      <c r="J534" s="12">
        <f>'05-ISO Reference'!$B$12</f>
        <v>74</v>
      </c>
      <c r="K534" s="12">
        <f>'05-ISO Reference'!$C$12</f>
        <v>105</v>
      </c>
      <c r="L534" s="12">
        <f>'01-Process Controls'!$G$5</f>
        <v>3</v>
      </c>
      <c r="M534" s="12">
        <f>ROUNDDOWN(J534*'04-Variant Rules'!$D$40,0)</f>
        <v>14</v>
      </c>
      <c r="N534" s="12">
        <f>ROUNDDOWN(K534*'04-Variant Rules'!$E$40,0)</f>
        <v>21</v>
      </c>
      <c r="O534" s="9">
        <v>35</v>
      </c>
    </row>
    <row r="535" spans="1:15" ht="21" customHeight="1">
      <c r="A535" s="9" t="s">
        <v>764</v>
      </c>
      <c r="B535" s="12">
        <f>IF(LEFT(H535,5)="VALID",M535,"")</f>
        <v>11</v>
      </c>
      <c r="C535" s="12">
        <f>IF(LEFT(H535,5)="VALID",N535,"")</f>
        <v>15</v>
      </c>
      <c r="D535" s="10" t="s">
        <v>82</v>
      </c>
      <c r="E535" s="10" t="s">
        <v>727</v>
      </c>
      <c r="F535" s="10" t="s">
        <v>212</v>
      </c>
      <c r="G535" s="10" t="s">
        <v>213</v>
      </c>
      <c r="H535" s="11" t="str">
        <f>IF(OR(M535&lt;=0,N535&lt;=0),"SKIPPED - NONPOSITIVE",IF(OR(M535&lt;L535,N535&lt;L535),"SKIPPED - BELOW MIN",IF(OR(M535&gt;J535,N535&gt;K535),"SKIPPED - EXCEEDS BASE",IF(COUNTIFS($M$499:M534,M535,$N$499:N534,N535)&gt;0,"SKIPPED - DUPLICATE","VALID - GENERATED"))))</f>
        <v>VALID - GENERATED</v>
      </c>
      <c r="I535" s="10" t="s">
        <v>728</v>
      </c>
      <c r="J535" s="12">
        <f>'05-ISO Reference'!$B$12</f>
        <v>74</v>
      </c>
      <c r="K535" s="12">
        <f>'05-ISO Reference'!$C$12</f>
        <v>105</v>
      </c>
      <c r="L535" s="12">
        <f>'01-Process Controls'!$G$5</f>
        <v>3</v>
      </c>
      <c r="M535" s="12">
        <f>ROUNDDOWN(J535*'04-Variant Rules'!$D$41,0)</f>
        <v>11</v>
      </c>
      <c r="N535" s="12">
        <f>ROUNDDOWN(K535*'04-Variant Rules'!$E$41,0)</f>
        <v>15</v>
      </c>
      <c r="O535" s="9">
        <v>36</v>
      </c>
    </row>
    <row r="536" spans="1:15" ht="21" customHeight="1">
      <c r="A536" s="9" t="s">
        <v>765</v>
      </c>
      <c r="B536" s="12">
        <f>IF(LEFT(H536,5)="VALID",M536,"")</f>
        <v>74</v>
      </c>
      <c r="C536" s="12">
        <f>IF(LEFT(H536,5)="VALID",N536,"")</f>
        <v>74</v>
      </c>
      <c r="D536" s="10" t="s">
        <v>82</v>
      </c>
      <c r="E536" s="10" t="s">
        <v>727</v>
      </c>
      <c r="F536" s="10" t="s">
        <v>215</v>
      </c>
      <c r="G536" s="10" t="s">
        <v>216</v>
      </c>
      <c r="H536" s="11" t="str">
        <f>IF(OR(M536&lt;=0,N536&lt;=0),"SKIPPED - NONPOSITIVE",IF(OR(M536&lt;L536,N536&lt;L536),"SKIPPED - BELOW MIN",IF(OR(M536&gt;J536,N536&gt;K536),"SKIPPED - EXCEEDS BASE",IF(COUNTIFS($M$499:M535,M536,$N$499:N535,N536)&gt;0,"SKIPPED - DUPLICATE","VALID - GENERATED"))))</f>
        <v>VALID - GENERATED</v>
      </c>
      <c r="I536" s="10" t="s">
        <v>728</v>
      </c>
      <c r="J536" s="12">
        <f>'05-ISO Reference'!$B$12</f>
        <v>74</v>
      </c>
      <c r="K536" s="12">
        <f>'05-ISO Reference'!$C$12</f>
        <v>105</v>
      </c>
      <c r="L536" s="12">
        <f>'01-Process Controls'!$G$5</f>
        <v>3</v>
      </c>
      <c r="M536" s="12">
        <f>ROUNDDOWN(MIN(J536,K536)*'04-Variant Rules'!$D$42,0)</f>
        <v>74</v>
      </c>
      <c r="N536" s="12">
        <f>ROUNDDOWN(MIN(J536,K536)*'04-Variant Rules'!$D$42,0)</f>
        <v>74</v>
      </c>
      <c r="O536" s="9">
        <v>37</v>
      </c>
    </row>
    <row r="537" spans="1:15" ht="21" customHeight="1">
      <c r="A537" s="9" t="s">
        <v>766</v>
      </c>
      <c r="B537" s="12">
        <f>IF(LEFT(H537,5)="VALID",M537,"")</f>
        <v>66</v>
      </c>
      <c r="C537" s="12">
        <f>IF(LEFT(H537,5)="VALID",N537,"")</f>
        <v>66</v>
      </c>
      <c r="D537" s="10" t="s">
        <v>82</v>
      </c>
      <c r="E537" s="10" t="s">
        <v>727</v>
      </c>
      <c r="F537" s="10" t="s">
        <v>218</v>
      </c>
      <c r="G537" s="10" t="s">
        <v>219</v>
      </c>
      <c r="H537" s="11" t="str">
        <f>IF(OR(M537&lt;=0,N537&lt;=0),"SKIPPED - NONPOSITIVE",IF(OR(M537&lt;L537,N537&lt;L537),"SKIPPED - BELOW MIN",IF(OR(M537&gt;J537,N537&gt;K537),"SKIPPED - EXCEEDS BASE",IF(COUNTIFS($M$499:M536,M537,$N$499:N536,N537)&gt;0,"SKIPPED - DUPLICATE","VALID - GENERATED"))))</f>
        <v>VALID - GENERATED</v>
      </c>
      <c r="I537" s="10" t="s">
        <v>728</v>
      </c>
      <c r="J537" s="12">
        <f>'05-ISO Reference'!$B$12</f>
        <v>74</v>
      </c>
      <c r="K537" s="12">
        <f>'05-ISO Reference'!$C$12</f>
        <v>105</v>
      </c>
      <c r="L537" s="12">
        <f>'01-Process Controls'!$G$5</f>
        <v>3</v>
      </c>
      <c r="M537" s="12">
        <f>ROUNDDOWN(MIN(J537,K537)*'04-Variant Rules'!$D$43,0)</f>
        <v>66</v>
      </c>
      <c r="N537" s="12">
        <f>ROUNDDOWN(MIN(J537,K537)*'04-Variant Rules'!$D$43,0)</f>
        <v>66</v>
      </c>
      <c r="O537" s="9">
        <v>38</v>
      </c>
    </row>
    <row r="538" spans="1:15" ht="21" customHeight="1">
      <c r="A538" s="9" t="s">
        <v>767</v>
      </c>
      <c r="B538" s="12">
        <f>IF(LEFT(H538,5)="VALID",M538,"")</f>
        <v>59</v>
      </c>
      <c r="C538" s="12">
        <f>IF(LEFT(H538,5)="VALID",N538,"")</f>
        <v>59</v>
      </c>
      <c r="D538" s="10" t="s">
        <v>82</v>
      </c>
      <c r="E538" s="10" t="s">
        <v>727</v>
      </c>
      <c r="F538" s="10" t="s">
        <v>221</v>
      </c>
      <c r="G538" s="10" t="s">
        <v>219</v>
      </c>
      <c r="H538" s="11" t="str">
        <f>IF(OR(M538&lt;=0,N538&lt;=0),"SKIPPED - NONPOSITIVE",IF(OR(M538&lt;L538,N538&lt;L538),"SKIPPED - BELOW MIN",IF(OR(M538&gt;J538,N538&gt;K538),"SKIPPED - EXCEEDS BASE",IF(COUNTIFS($M$499:M537,M538,$N$499:N537,N538)&gt;0,"SKIPPED - DUPLICATE","VALID - GENERATED"))))</f>
        <v>VALID - GENERATED</v>
      </c>
      <c r="I538" s="10" t="s">
        <v>728</v>
      </c>
      <c r="J538" s="12">
        <f>'05-ISO Reference'!$B$12</f>
        <v>74</v>
      </c>
      <c r="K538" s="12">
        <f>'05-ISO Reference'!$C$12</f>
        <v>105</v>
      </c>
      <c r="L538" s="12">
        <f>'01-Process Controls'!$G$5</f>
        <v>3</v>
      </c>
      <c r="M538" s="12">
        <f>ROUNDDOWN(MIN(J538,K538)*'04-Variant Rules'!$D$44,0)</f>
        <v>59</v>
      </c>
      <c r="N538" s="12">
        <f>ROUNDDOWN(MIN(J538,K538)*'04-Variant Rules'!$D$44,0)</f>
        <v>59</v>
      </c>
      <c r="O538" s="9">
        <v>39</v>
      </c>
    </row>
    <row r="539" spans="1:15" ht="21" customHeight="1">
      <c r="A539" s="9" t="s">
        <v>768</v>
      </c>
      <c r="B539" s="12">
        <f>IF(LEFT(H539,5)="VALID",M539,"")</f>
        <v>55</v>
      </c>
      <c r="C539" s="12">
        <f>IF(LEFT(H539,5)="VALID",N539,"")</f>
        <v>55</v>
      </c>
      <c r="D539" s="10" t="s">
        <v>82</v>
      </c>
      <c r="E539" s="10" t="s">
        <v>727</v>
      </c>
      <c r="F539" s="10" t="s">
        <v>223</v>
      </c>
      <c r="G539" s="10" t="s">
        <v>219</v>
      </c>
      <c r="H539" s="11" t="str">
        <f>IF(OR(M539&lt;=0,N539&lt;=0),"SKIPPED - NONPOSITIVE",IF(OR(M539&lt;L539,N539&lt;L539),"SKIPPED - BELOW MIN",IF(OR(M539&gt;J539,N539&gt;K539),"SKIPPED - EXCEEDS BASE",IF(COUNTIFS($M$499:M538,M539,$N$499:N538,N539)&gt;0,"SKIPPED - DUPLICATE","VALID - GENERATED"))))</f>
        <v>VALID - GENERATED</v>
      </c>
      <c r="I539" s="10" t="s">
        <v>728</v>
      </c>
      <c r="J539" s="12">
        <f>'05-ISO Reference'!$B$12</f>
        <v>74</v>
      </c>
      <c r="K539" s="12">
        <f>'05-ISO Reference'!$C$12</f>
        <v>105</v>
      </c>
      <c r="L539" s="12">
        <f>'01-Process Controls'!$G$5</f>
        <v>3</v>
      </c>
      <c r="M539" s="12">
        <f>ROUNDDOWN(MIN(J539,K539)*'04-Variant Rules'!$D$45,0)</f>
        <v>55</v>
      </c>
      <c r="N539" s="12">
        <f>ROUNDDOWN(MIN(J539,K539)*'04-Variant Rules'!$D$45,0)</f>
        <v>55</v>
      </c>
      <c r="O539" s="9">
        <v>40</v>
      </c>
    </row>
    <row r="540" spans="1:15" ht="21" customHeight="1">
      <c r="A540" s="9" t="s">
        <v>769</v>
      </c>
      <c r="B540" s="12">
        <f>IF(LEFT(H540,5)="VALID",M540,"")</f>
        <v>49</v>
      </c>
      <c r="C540" s="12">
        <f>IF(LEFT(H540,5)="VALID",N540,"")</f>
        <v>49</v>
      </c>
      <c r="D540" s="10" t="s">
        <v>82</v>
      </c>
      <c r="E540" s="10" t="s">
        <v>727</v>
      </c>
      <c r="F540" s="10" t="s">
        <v>225</v>
      </c>
      <c r="G540" s="10" t="s">
        <v>219</v>
      </c>
      <c r="H540" s="11" t="str">
        <f>IF(OR(M540&lt;=0,N540&lt;=0),"SKIPPED - NONPOSITIVE",IF(OR(M540&lt;L540,N540&lt;L540),"SKIPPED - BELOW MIN",IF(OR(M540&gt;J540,N540&gt;K540),"SKIPPED - EXCEEDS BASE",IF(COUNTIFS($M$499:M539,M540,$N$499:N539,N540)&gt;0,"SKIPPED - DUPLICATE","VALID - GENERATED"))))</f>
        <v>VALID - GENERATED</v>
      </c>
      <c r="I540" s="10" t="s">
        <v>728</v>
      </c>
      <c r="J540" s="12">
        <f>'05-ISO Reference'!$B$12</f>
        <v>74</v>
      </c>
      <c r="K540" s="12">
        <f>'05-ISO Reference'!$C$12</f>
        <v>105</v>
      </c>
      <c r="L540" s="12">
        <f>'01-Process Controls'!$G$5</f>
        <v>3</v>
      </c>
      <c r="M540" s="12">
        <f>ROUNDDOWN(MIN(J540,K540)*'04-Variant Rules'!$D$46,0)</f>
        <v>49</v>
      </c>
      <c r="N540" s="12">
        <f>ROUNDDOWN(MIN(J540,K540)*'04-Variant Rules'!$D$46,0)</f>
        <v>49</v>
      </c>
      <c r="O540" s="9">
        <v>41</v>
      </c>
    </row>
    <row r="541" spans="1:15" ht="21" customHeight="1">
      <c r="A541" s="9" t="s">
        <v>770</v>
      </c>
      <c r="B541" s="12">
        <f>IF(LEFT(H541,5)="VALID",M541,"")</f>
        <v>44</v>
      </c>
      <c r="C541" s="12">
        <f>IF(LEFT(H541,5)="VALID",N541,"")</f>
        <v>44</v>
      </c>
      <c r="D541" s="10" t="s">
        <v>82</v>
      </c>
      <c r="E541" s="10" t="s">
        <v>727</v>
      </c>
      <c r="F541" s="10" t="s">
        <v>227</v>
      </c>
      <c r="G541" s="10" t="s">
        <v>219</v>
      </c>
      <c r="H541" s="11" t="str">
        <f>IF(OR(M541&lt;=0,N541&lt;=0),"SKIPPED - NONPOSITIVE",IF(OR(M541&lt;L541,N541&lt;L541),"SKIPPED - BELOW MIN",IF(OR(M541&gt;J541,N541&gt;K541),"SKIPPED - EXCEEDS BASE",IF(COUNTIFS($M$499:M540,M541,$N$499:N540,N541)&gt;0,"SKIPPED - DUPLICATE","VALID - GENERATED"))))</f>
        <v>VALID - GENERATED</v>
      </c>
      <c r="I541" s="10" t="s">
        <v>728</v>
      </c>
      <c r="J541" s="12">
        <f>'05-ISO Reference'!$B$12</f>
        <v>74</v>
      </c>
      <c r="K541" s="12">
        <f>'05-ISO Reference'!$C$12</f>
        <v>105</v>
      </c>
      <c r="L541" s="12">
        <f>'01-Process Controls'!$G$5</f>
        <v>3</v>
      </c>
      <c r="M541" s="12">
        <f>ROUNDDOWN(MIN(J541,K541)*'04-Variant Rules'!$D$47,0)</f>
        <v>44</v>
      </c>
      <c r="N541" s="12">
        <f>ROUNDDOWN(MIN(J541,K541)*'04-Variant Rules'!$D$47,0)</f>
        <v>44</v>
      </c>
      <c r="O541" s="9">
        <v>42</v>
      </c>
    </row>
    <row r="542" spans="1:15" ht="21" customHeight="1">
      <c r="A542" s="9" t="s">
        <v>771</v>
      </c>
      <c r="B542" s="12">
        <f>IF(LEFT(H542,5)="VALID",M542,"")</f>
        <v>37</v>
      </c>
      <c r="C542" s="12">
        <f>IF(LEFT(H542,5)="VALID",N542,"")</f>
        <v>37</v>
      </c>
      <c r="D542" s="10" t="s">
        <v>82</v>
      </c>
      <c r="E542" s="10" t="s">
        <v>727</v>
      </c>
      <c r="F542" s="10" t="s">
        <v>229</v>
      </c>
      <c r="G542" s="10" t="s">
        <v>219</v>
      </c>
      <c r="H542" s="11" t="str">
        <f>IF(OR(M542&lt;=0,N542&lt;=0),"SKIPPED - NONPOSITIVE",IF(OR(M542&lt;L542,N542&lt;L542),"SKIPPED - BELOW MIN",IF(OR(M542&gt;J542,N542&gt;K542),"SKIPPED - EXCEEDS BASE",IF(COUNTIFS($M$499:M541,M542,$N$499:N541,N542)&gt;0,"SKIPPED - DUPLICATE","VALID - GENERATED"))))</f>
        <v>VALID - GENERATED</v>
      </c>
      <c r="I542" s="10" t="s">
        <v>728</v>
      </c>
      <c r="J542" s="12">
        <f>'05-ISO Reference'!$B$12</f>
        <v>74</v>
      </c>
      <c r="K542" s="12">
        <f>'05-ISO Reference'!$C$12</f>
        <v>105</v>
      </c>
      <c r="L542" s="12">
        <f>'01-Process Controls'!$G$5</f>
        <v>3</v>
      </c>
      <c r="M542" s="12">
        <f>ROUNDDOWN(MIN(J542,K542)*'04-Variant Rules'!$D$48,0)</f>
        <v>37</v>
      </c>
      <c r="N542" s="12">
        <f>ROUNDDOWN(MIN(J542,K542)*'04-Variant Rules'!$D$48,0)</f>
        <v>37</v>
      </c>
      <c r="O542" s="9">
        <v>43</v>
      </c>
    </row>
    <row r="543" spans="1:15" ht="21" customHeight="1">
      <c r="A543" s="9" t="s">
        <v>772</v>
      </c>
      <c r="B543" s="12">
        <f>IF(LEFT(H543,5)="VALID",M543,"")</f>
        <v>29</v>
      </c>
      <c r="C543" s="12">
        <f>IF(LEFT(H543,5)="VALID",N543,"")</f>
        <v>29</v>
      </c>
      <c r="D543" s="10" t="s">
        <v>82</v>
      </c>
      <c r="E543" s="10" t="s">
        <v>727</v>
      </c>
      <c r="F543" s="10" t="s">
        <v>231</v>
      </c>
      <c r="G543" s="10" t="s">
        <v>219</v>
      </c>
      <c r="H543" s="11" t="str">
        <f>IF(OR(M543&lt;=0,N543&lt;=0),"SKIPPED - NONPOSITIVE",IF(OR(M543&lt;L543,N543&lt;L543),"SKIPPED - BELOW MIN",IF(OR(M543&gt;J543,N543&gt;K543),"SKIPPED - EXCEEDS BASE",IF(COUNTIFS($M$499:M542,M543,$N$499:N542,N543)&gt;0,"SKIPPED - DUPLICATE","VALID - GENERATED"))))</f>
        <v>VALID - GENERATED</v>
      </c>
      <c r="I543" s="10" t="s">
        <v>728</v>
      </c>
      <c r="J543" s="12">
        <f>'05-ISO Reference'!$B$12</f>
        <v>74</v>
      </c>
      <c r="K543" s="12">
        <f>'05-ISO Reference'!$C$12</f>
        <v>105</v>
      </c>
      <c r="L543" s="12">
        <f>'01-Process Controls'!$G$5</f>
        <v>3</v>
      </c>
      <c r="M543" s="12">
        <f>ROUNDDOWN(MIN(J543,K543)*'04-Variant Rules'!$D$49,0)</f>
        <v>29</v>
      </c>
      <c r="N543" s="12">
        <f>ROUNDDOWN(MIN(J543,K543)*'04-Variant Rules'!$D$49,0)</f>
        <v>29</v>
      </c>
      <c r="O543" s="9">
        <v>44</v>
      </c>
    </row>
    <row r="544" spans="1:15" ht="21" customHeight="1">
      <c r="A544" s="9" t="s">
        <v>773</v>
      </c>
      <c r="B544" s="12">
        <f>IF(LEFT(H544,5)="VALID",M544,"")</f>
        <v>24</v>
      </c>
      <c r="C544" s="12">
        <f>IF(LEFT(H544,5)="VALID",N544,"")</f>
        <v>24</v>
      </c>
      <c r="D544" s="10" t="s">
        <v>82</v>
      </c>
      <c r="E544" s="10" t="s">
        <v>727</v>
      </c>
      <c r="F544" s="10" t="s">
        <v>233</v>
      </c>
      <c r="G544" s="10" t="s">
        <v>219</v>
      </c>
      <c r="H544" s="11" t="str">
        <f>IF(OR(M544&lt;=0,N544&lt;=0),"SKIPPED - NONPOSITIVE",IF(OR(M544&lt;L544,N544&lt;L544),"SKIPPED - BELOW MIN",IF(OR(M544&gt;J544,N544&gt;K544),"SKIPPED - EXCEEDS BASE",IF(COUNTIFS($M$499:M543,M544,$N$499:N543,N544)&gt;0,"SKIPPED - DUPLICATE","VALID - GENERATED"))))</f>
        <v>VALID - GENERATED</v>
      </c>
      <c r="I544" s="10" t="s">
        <v>728</v>
      </c>
      <c r="J544" s="12">
        <f>'05-ISO Reference'!$B$12</f>
        <v>74</v>
      </c>
      <c r="K544" s="12">
        <f>'05-ISO Reference'!$C$12</f>
        <v>105</v>
      </c>
      <c r="L544" s="12">
        <f>'01-Process Controls'!$G$5</f>
        <v>3</v>
      </c>
      <c r="M544" s="12">
        <f>ROUNDDOWN(MIN(J544,K544)*'04-Variant Rules'!$D$50,0)</f>
        <v>24</v>
      </c>
      <c r="N544" s="12">
        <f>ROUNDDOWN(MIN(J544,K544)*'04-Variant Rules'!$D$50,0)</f>
        <v>24</v>
      </c>
      <c r="O544" s="9">
        <v>45</v>
      </c>
    </row>
    <row r="545" spans="1:15" ht="21" customHeight="1">
      <c r="A545" s="9" t="s">
        <v>774</v>
      </c>
      <c r="B545" s="12">
        <f>IF(LEFT(H545,5)="VALID",M545,"")</f>
        <v>18</v>
      </c>
      <c r="C545" s="12">
        <f>IF(LEFT(H545,5)="VALID",N545,"")</f>
        <v>18</v>
      </c>
      <c r="D545" s="10" t="s">
        <v>82</v>
      </c>
      <c r="E545" s="10" t="s">
        <v>727</v>
      </c>
      <c r="F545" s="10" t="s">
        <v>235</v>
      </c>
      <c r="G545" s="10" t="s">
        <v>219</v>
      </c>
      <c r="H545" s="11" t="str">
        <f>IF(OR(M545&lt;=0,N545&lt;=0),"SKIPPED - NONPOSITIVE",IF(OR(M545&lt;L545,N545&lt;L545),"SKIPPED - BELOW MIN",IF(OR(M545&gt;J545,N545&gt;K545),"SKIPPED - EXCEEDS BASE",IF(COUNTIFS($M$499:M544,M545,$N$499:N544,N545)&gt;0,"SKIPPED - DUPLICATE","VALID - GENERATED"))))</f>
        <v>VALID - GENERATED</v>
      </c>
      <c r="I545" s="10" t="s">
        <v>728</v>
      </c>
      <c r="J545" s="12">
        <f>'05-ISO Reference'!$B$12</f>
        <v>74</v>
      </c>
      <c r="K545" s="12">
        <f>'05-ISO Reference'!$C$12</f>
        <v>105</v>
      </c>
      <c r="L545" s="12">
        <f>'01-Process Controls'!$G$5</f>
        <v>3</v>
      </c>
      <c r="M545" s="12">
        <f>ROUNDDOWN(MIN(J545,K545)*'04-Variant Rules'!$D$51,0)</f>
        <v>18</v>
      </c>
      <c r="N545" s="12">
        <f>ROUNDDOWN(MIN(J545,K545)*'04-Variant Rules'!$D$51,0)</f>
        <v>18</v>
      </c>
      <c r="O545" s="9">
        <v>46</v>
      </c>
    </row>
    <row r="546" spans="1:15" ht="21" customHeight="1">
      <c r="A546" s="9" t="s">
        <v>775</v>
      </c>
      <c r="B546" s="12">
        <f>IF(LEFT(H546,5)="VALID",M546,"")</f>
        <v>14</v>
      </c>
      <c r="C546" s="12">
        <f>IF(LEFT(H546,5)="VALID",N546,"")</f>
        <v>14</v>
      </c>
      <c r="D546" s="10" t="s">
        <v>82</v>
      </c>
      <c r="E546" s="10" t="s">
        <v>727</v>
      </c>
      <c r="F546" s="10" t="s">
        <v>237</v>
      </c>
      <c r="G546" s="10" t="s">
        <v>219</v>
      </c>
      <c r="H546" s="11" t="str">
        <f>IF(OR(M546&lt;=0,N546&lt;=0),"SKIPPED - NONPOSITIVE",IF(OR(M546&lt;L546,N546&lt;L546),"SKIPPED - BELOW MIN",IF(OR(M546&gt;J546,N546&gt;K546),"SKIPPED - EXCEEDS BASE",IF(COUNTIFS($M$499:M545,M546,$N$499:N545,N546)&gt;0,"SKIPPED - DUPLICATE","VALID - GENERATED"))))</f>
        <v>VALID - GENERATED</v>
      </c>
      <c r="I546" s="10" t="s">
        <v>728</v>
      </c>
      <c r="J546" s="12">
        <f>'05-ISO Reference'!$B$12</f>
        <v>74</v>
      </c>
      <c r="K546" s="12">
        <f>'05-ISO Reference'!$C$12</f>
        <v>105</v>
      </c>
      <c r="L546" s="12">
        <f>'01-Process Controls'!$G$5</f>
        <v>3</v>
      </c>
      <c r="M546" s="12">
        <f>ROUNDDOWN(MIN(J546,K546)*'04-Variant Rules'!$D$52,0)</f>
        <v>14</v>
      </c>
      <c r="N546" s="12">
        <f>ROUNDDOWN(MIN(J546,K546)*'04-Variant Rules'!$D$52,0)</f>
        <v>14</v>
      </c>
      <c r="O546" s="9">
        <v>47</v>
      </c>
    </row>
    <row r="547" spans="1:15" ht="21" customHeight="1">
      <c r="A547" s="9" t="s">
        <v>776</v>
      </c>
      <c r="B547" s="12">
        <f>IF(LEFT(H547,5)="VALID",M547,"")</f>
        <v>74</v>
      </c>
      <c r="C547" s="12">
        <f>IF(LEFT(H547,5)="VALID",N547,"")</f>
        <v>55</v>
      </c>
      <c r="D547" s="10" t="s">
        <v>82</v>
      </c>
      <c r="E547" s="10" t="s">
        <v>727</v>
      </c>
      <c r="F547" s="10" t="s">
        <v>239</v>
      </c>
      <c r="G547" s="10" t="s">
        <v>240</v>
      </c>
      <c r="H547" s="11" t="str">
        <f>IF(OR(M547&lt;=0,N547&lt;=0),"SKIPPED - NONPOSITIVE",IF(OR(M547&lt;L547,N547&lt;L547),"SKIPPED - BELOW MIN",IF(OR(M547&gt;J547,N547&gt;K547),"SKIPPED - EXCEEDS BASE",IF(COUNTIFS($M$499:M546,M547,$N$499:N546,N547)&gt;0,"SKIPPED - DUPLICATE","VALID - GENERATED"))))</f>
        <v>VALID - GENERATED</v>
      </c>
      <c r="I547" s="10" t="s">
        <v>728</v>
      </c>
      <c r="J547" s="12">
        <f>'05-ISO Reference'!$B$12</f>
        <v>74</v>
      </c>
      <c r="K547" s="12">
        <f>'05-ISO Reference'!$C$12</f>
        <v>105</v>
      </c>
      <c r="L547" s="12">
        <f>'01-Process Controls'!$G$5</f>
        <v>3</v>
      </c>
      <c r="M547" s="12">
        <f>ROUNDDOWN(MIN(J547,K547*'04-Variant Rules'!$D$53),0)</f>
        <v>74</v>
      </c>
      <c r="N547" s="12">
        <f>ROUNDDOWN(M547/'04-Variant Rules'!$D$53,0)</f>
        <v>55</v>
      </c>
      <c r="O547" s="9">
        <v>48</v>
      </c>
    </row>
    <row r="548" spans="1:15" ht="21" customHeight="1">
      <c r="A548" s="9" t="s">
        <v>777</v>
      </c>
      <c r="B548" s="12">
        <f>IF(LEFT(H548,5)="VALID",M548,"")</f>
        <v>74</v>
      </c>
      <c r="C548" s="12">
        <f>IF(LEFT(H548,5)="VALID",N548,"")</f>
        <v>98</v>
      </c>
      <c r="D548" s="10" t="s">
        <v>82</v>
      </c>
      <c r="E548" s="10" t="s">
        <v>727</v>
      </c>
      <c r="F548" s="10" t="s">
        <v>242</v>
      </c>
      <c r="G548" s="10" t="s">
        <v>243</v>
      </c>
      <c r="H548" s="11" t="str">
        <f>IF(OR(M548&lt;=0,N548&lt;=0),"SKIPPED - NONPOSITIVE",IF(OR(M548&lt;L548,N548&lt;L548),"SKIPPED - BELOW MIN",IF(OR(M548&gt;J548,N548&gt;K548),"SKIPPED - EXCEEDS BASE",IF(COUNTIFS($M$499:M547,M548,$N$499:N547,N548)&gt;0,"SKIPPED - DUPLICATE","VALID - GENERATED"))))</f>
        <v>VALID - GENERATED</v>
      </c>
      <c r="I548" s="10" t="s">
        <v>728</v>
      </c>
      <c r="J548" s="12">
        <f>'05-ISO Reference'!$B$12</f>
        <v>74</v>
      </c>
      <c r="K548" s="12">
        <f>'05-ISO Reference'!$C$12</f>
        <v>105</v>
      </c>
      <c r="L548" s="12">
        <f>'01-Process Controls'!$G$5</f>
        <v>3</v>
      </c>
      <c r="M548" s="12">
        <f>ROUNDDOWN(MIN(J548,K548*'04-Variant Rules'!$D$54),0)</f>
        <v>74</v>
      </c>
      <c r="N548" s="12">
        <f>ROUNDDOWN(M548/'04-Variant Rules'!$D$54,0)</f>
        <v>98</v>
      </c>
      <c r="O548" s="9">
        <v>49</v>
      </c>
    </row>
    <row r="549" spans="1:15" ht="21" customHeight="1">
      <c r="A549" s="9" t="s">
        <v>778</v>
      </c>
      <c r="B549" s="12">
        <f>IF(LEFT(H549,5)="VALID",M549,"")</f>
        <v>74</v>
      </c>
      <c r="C549" s="12">
        <f>IF(LEFT(H549,5)="VALID",N549,"")</f>
        <v>49</v>
      </c>
      <c r="D549" s="10" t="s">
        <v>82</v>
      </c>
      <c r="E549" s="10" t="s">
        <v>727</v>
      </c>
      <c r="F549" s="10" t="s">
        <v>245</v>
      </c>
      <c r="G549" s="10" t="s">
        <v>246</v>
      </c>
      <c r="H549" s="11" t="str">
        <f>IF(OR(M549&lt;=0,N549&lt;=0),"SKIPPED - NONPOSITIVE",IF(OR(M549&lt;L549,N549&lt;L549),"SKIPPED - BELOW MIN",IF(OR(M549&gt;J549,N549&gt;K549),"SKIPPED - EXCEEDS BASE",IF(COUNTIFS($M$499:M548,M549,$N$499:N548,N549)&gt;0,"SKIPPED - DUPLICATE","VALID - GENERATED"))))</f>
        <v>VALID - GENERATED</v>
      </c>
      <c r="I549" s="10" t="s">
        <v>728</v>
      </c>
      <c r="J549" s="12">
        <f>'05-ISO Reference'!$B$12</f>
        <v>74</v>
      </c>
      <c r="K549" s="12">
        <f>'05-ISO Reference'!$C$12</f>
        <v>105</v>
      </c>
      <c r="L549" s="12">
        <f>'01-Process Controls'!$G$5</f>
        <v>3</v>
      </c>
      <c r="M549" s="12">
        <f>ROUNDDOWN(MIN(J549,K549*'04-Variant Rules'!$D$55),0)</f>
        <v>74</v>
      </c>
      <c r="N549" s="12">
        <f>ROUNDDOWN(M549/'04-Variant Rules'!$D$55,0)</f>
        <v>49</v>
      </c>
      <c r="O549" s="9">
        <v>50</v>
      </c>
    </row>
    <row r="550" spans="1:15" ht="21" customHeight="1">
      <c r="A550" s="9" t="s">
        <v>779</v>
      </c>
      <c r="B550" s="12">
        <f>IF(LEFT(H550,5)="VALID",M550,"")</f>
        <v>70</v>
      </c>
      <c r="C550" s="12">
        <f>IF(LEFT(H550,5)="VALID",N550,"")</f>
        <v>105</v>
      </c>
      <c r="D550" s="10" t="s">
        <v>82</v>
      </c>
      <c r="E550" s="10" t="s">
        <v>727</v>
      </c>
      <c r="F550" s="10" t="s">
        <v>248</v>
      </c>
      <c r="G550" s="10" t="s">
        <v>249</v>
      </c>
      <c r="H550" s="11" t="str">
        <f>IF(OR(M550&lt;=0,N550&lt;=0),"SKIPPED - NONPOSITIVE",IF(OR(M550&lt;L550,N550&lt;L550),"SKIPPED - BELOW MIN",IF(OR(M550&gt;J550,N550&gt;K550),"SKIPPED - EXCEEDS BASE",IF(COUNTIFS($M$499:M549,M550,$N$499:N549,N550)&gt;0,"SKIPPED - DUPLICATE","VALID - GENERATED"))))</f>
        <v>VALID - GENERATED</v>
      </c>
      <c r="I550" s="10" t="s">
        <v>728</v>
      </c>
      <c r="J550" s="12">
        <f>'05-ISO Reference'!$B$12</f>
        <v>74</v>
      </c>
      <c r="K550" s="12">
        <f>'05-ISO Reference'!$C$12</f>
        <v>105</v>
      </c>
      <c r="L550" s="12">
        <f>'01-Process Controls'!$G$5</f>
        <v>3</v>
      </c>
      <c r="M550" s="12">
        <f>ROUNDDOWN(MIN(J550,K550*'04-Variant Rules'!$D$56),0)</f>
        <v>70</v>
      </c>
      <c r="N550" s="12">
        <f>ROUNDDOWN(M550/'04-Variant Rules'!$D$56,0)</f>
        <v>105</v>
      </c>
      <c r="O550" s="9">
        <v>51</v>
      </c>
    </row>
    <row r="551" spans="1:15" ht="21" customHeight="1">
      <c r="A551" s="9" t="s">
        <v>780</v>
      </c>
      <c r="B551" s="12">
        <f>IF(LEFT(H551,5)="VALID",M551,"")</f>
        <v>74</v>
      </c>
      <c r="C551" s="12">
        <f>IF(LEFT(H551,5)="VALID",N551,"")</f>
        <v>41</v>
      </c>
      <c r="D551" s="10" t="s">
        <v>82</v>
      </c>
      <c r="E551" s="10" t="s">
        <v>727</v>
      </c>
      <c r="F551" s="10" t="s">
        <v>251</v>
      </c>
      <c r="G551" s="10" t="s">
        <v>252</v>
      </c>
      <c r="H551" s="11" t="str">
        <f>IF(OR(M551&lt;=0,N551&lt;=0),"SKIPPED - NONPOSITIVE",IF(OR(M551&lt;L551,N551&lt;L551),"SKIPPED - BELOW MIN",IF(OR(M551&gt;J551,N551&gt;K551),"SKIPPED - EXCEEDS BASE",IF(COUNTIFS($M$499:M550,M551,$N$499:N550,N551)&gt;0,"SKIPPED - DUPLICATE","VALID - GENERATED"))))</f>
        <v>VALID - GENERATED</v>
      </c>
      <c r="I551" s="10" t="s">
        <v>728</v>
      </c>
      <c r="J551" s="12">
        <f>'05-ISO Reference'!$B$12</f>
        <v>74</v>
      </c>
      <c r="K551" s="12">
        <f>'05-ISO Reference'!$C$12</f>
        <v>105</v>
      </c>
      <c r="L551" s="12">
        <f>'01-Process Controls'!$G$5</f>
        <v>3</v>
      </c>
      <c r="M551" s="12">
        <f>ROUNDDOWN(MIN(J551,K551*'04-Variant Rules'!$D$57),0)</f>
        <v>74</v>
      </c>
      <c r="N551" s="12">
        <f>ROUNDDOWN(M551/'04-Variant Rules'!$D$57,0)</f>
        <v>41</v>
      </c>
      <c r="O551" s="9">
        <v>52</v>
      </c>
    </row>
    <row r="552" spans="1:15" ht="21" customHeight="1">
      <c r="A552" s="9" t="s">
        <v>781</v>
      </c>
      <c r="B552" s="12">
        <f>IF(LEFT(H552,5)="VALID",M552,"")</f>
        <v>59</v>
      </c>
      <c r="C552" s="12">
        <f>IF(LEFT(H552,5)="VALID",N552,"")</f>
        <v>104</v>
      </c>
      <c r="D552" s="10" t="s">
        <v>82</v>
      </c>
      <c r="E552" s="10" t="s">
        <v>727</v>
      </c>
      <c r="F552" s="10" t="s">
        <v>254</v>
      </c>
      <c r="G552" s="10" t="s">
        <v>255</v>
      </c>
      <c r="H552" s="11" t="str">
        <f>IF(OR(M552&lt;=0,N552&lt;=0),"SKIPPED - NONPOSITIVE",IF(OR(M552&lt;L552,N552&lt;L552),"SKIPPED - BELOW MIN",IF(OR(M552&gt;J552,N552&gt;K552),"SKIPPED - EXCEEDS BASE",IF(COUNTIFS($M$499:M551,M552,$N$499:N551,N552)&gt;0,"SKIPPED - DUPLICATE","VALID - GENERATED"))))</f>
        <v>VALID - GENERATED</v>
      </c>
      <c r="I552" s="10" t="s">
        <v>728</v>
      </c>
      <c r="J552" s="12">
        <f>'05-ISO Reference'!$B$12</f>
        <v>74</v>
      </c>
      <c r="K552" s="12">
        <f>'05-ISO Reference'!$C$12</f>
        <v>105</v>
      </c>
      <c r="L552" s="12">
        <f>'01-Process Controls'!$G$5</f>
        <v>3</v>
      </c>
      <c r="M552" s="12">
        <f>ROUNDDOWN(MIN(J552,K552*'04-Variant Rules'!$D$58),0)</f>
        <v>59</v>
      </c>
      <c r="N552" s="12">
        <f>ROUNDDOWN(M552/'04-Variant Rules'!$D$58,0)</f>
        <v>104</v>
      </c>
      <c r="O552" s="9">
        <v>53</v>
      </c>
    </row>
    <row r="553" spans="1:15" ht="21" customHeight="1">
      <c r="A553" s="9" t="s">
        <v>782</v>
      </c>
      <c r="B553" s="12">
        <f>IF(LEFT(H553,5)="VALID",M553,"")</f>
        <v>74</v>
      </c>
      <c r="C553" s="12">
        <f>IF(LEFT(H553,5)="VALID",N553,"")</f>
        <v>37</v>
      </c>
      <c r="D553" s="10" t="s">
        <v>82</v>
      </c>
      <c r="E553" s="10" t="s">
        <v>727</v>
      </c>
      <c r="F553" s="10" t="s">
        <v>257</v>
      </c>
      <c r="G553" s="10" t="s">
        <v>258</v>
      </c>
      <c r="H553" s="11" t="str">
        <f>IF(OR(M553&lt;=0,N553&lt;=0),"SKIPPED - NONPOSITIVE",IF(OR(M553&lt;L553,N553&lt;L553),"SKIPPED - BELOW MIN",IF(OR(M553&gt;J553,N553&gt;K553),"SKIPPED - EXCEEDS BASE",IF(COUNTIFS($M$499:M552,M553,$N$499:N552,N553)&gt;0,"SKIPPED - DUPLICATE","VALID - GENERATED"))))</f>
        <v>VALID - GENERATED</v>
      </c>
      <c r="I553" s="10" t="s">
        <v>728</v>
      </c>
      <c r="J553" s="12">
        <f>'05-ISO Reference'!$B$12</f>
        <v>74</v>
      </c>
      <c r="K553" s="12">
        <f>'05-ISO Reference'!$C$12</f>
        <v>105</v>
      </c>
      <c r="L553" s="12">
        <f>'01-Process Controls'!$G$5</f>
        <v>3</v>
      </c>
      <c r="M553" s="12">
        <f>ROUNDDOWN(MIN(J553,K553*'04-Variant Rules'!$D$59),0)</f>
        <v>74</v>
      </c>
      <c r="N553" s="12">
        <f>ROUNDDOWN(M553/'04-Variant Rules'!$D$59,0)</f>
        <v>37</v>
      </c>
      <c r="O553" s="9">
        <v>54</v>
      </c>
    </row>
    <row r="554" spans="1:15" ht="21" customHeight="1">
      <c r="A554" s="9" t="s">
        <v>783</v>
      </c>
      <c r="B554" s="12">
        <f>IF(LEFT(H554,5)="VALID",M554,"")</f>
        <v>52</v>
      </c>
      <c r="C554" s="12">
        <f>IF(LEFT(H554,5)="VALID",N554,"")</f>
        <v>104</v>
      </c>
      <c r="D554" s="10" t="s">
        <v>82</v>
      </c>
      <c r="E554" s="10" t="s">
        <v>727</v>
      </c>
      <c r="F554" s="10" t="s">
        <v>260</v>
      </c>
      <c r="G554" s="10" t="s">
        <v>261</v>
      </c>
      <c r="H554" s="11" t="str">
        <f>IF(OR(M554&lt;=0,N554&lt;=0),"SKIPPED - NONPOSITIVE",IF(OR(M554&lt;L554,N554&lt;L554),"SKIPPED - BELOW MIN",IF(OR(M554&gt;J554,N554&gt;K554),"SKIPPED - EXCEEDS BASE",IF(COUNTIFS($M$499:M553,M554,$N$499:N553,N554)&gt;0,"SKIPPED - DUPLICATE","VALID - GENERATED"))))</f>
        <v>VALID - GENERATED</v>
      </c>
      <c r="I554" s="10" t="s">
        <v>728</v>
      </c>
      <c r="J554" s="12">
        <f>'05-ISO Reference'!$B$12</f>
        <v>74</v>
      </c>
      <c r="K554" s="12">
        <f>'05-ISO Reference'!$C$12</f>
        <v>105</v>
      </c>
      <c r="L554" s="12">
        <f>'01-Process Controls'!$G$5</f>
        <v>3</v>
      </c>
      <c r="M554" s="12">
        <f>ROUNDDOWN(MIN(J554,K554*'04-Variant Rules'!$D$60),0)</f>
        <v>52</v>
      </c>
      <c r="N554" s="12">
        <f>ROUNDDOWN(M554/'04-Variant Rules'!$D$60,0)</f>
        <v>104</v>
      </c>
      <c r="O554" s="9">
        <v>55</v>
      </c>
    </row>
    <row r="555" spans="1:15" ht="21" customHeight="1">
      <c r="A555" s="9" t="s">
        <v>784</v>
      </c>
      <c r="B555" s="48"/>
      <c r="C555" s="48"/>
      <c r="D555" s="10" t="s">
        <v>263</v>
      </c>
      <c r="E555" s="10" t="s">
        <v>785</v>
      </c>
      <c r="F555" s="10" t="s">
        <v>265</v>
      </c>
      <c r="G555" s="10" t="s">
        <v>266</v>
      </c>
      <c r="H555" s="11" t="str">
        <f>IF(AND(B555="",C555=""),"CUSTOM BLANK",IF(OR(B555="",C555=""),"ERROR - ENTER BOTH",IF(OR(B555&lt;=0,C555&lt;=0),"ERROR - NONPOSITIVE",IF(OR(B555&lt;L555,C555&lt;L555),"ERROR - BELOW MIN",IF(OR(AND(B555&lt;=J555,C555&lt;=K555),AND(B555&lt;=K555,C555&lt;=J555)),"VALID - CUSTOM","ERROR - EXCEEDS BASE")))))</f>
        <v>CUSTOM BLANK</v>
      </c>
      <c r="I555" s="10" t="s">
        <v>267</v>
      </c>
      <c r="J555" s="12">
        <f>'05-ISO Reference'!$B$12</f>
        <v>74</v>
      </c>
      <c r="K555" s="12">
        <f>'05-ISO Reference'!$C$12</f>
        <v>105</v>
      </c>
      <c r="L555" s="12">
        <f>'01-Process Controls'!$G$5</f>
        <v>3</v>
      </c>
      <c r="M555" s="8"/>
      <c r="N555" s="8"/>
    </row>
    <row r="556" spans="1:15" ht="21" customHeight="1">
      <c r="A556" s="9" t="s">
        <v>786</v>
      </c>
      <c r="B556" s="48"/>
      <c r="C556" s="48"/>
      <c r="D556" s="10" t="s">
        <v>263</v>
      </c>
      <c r="E556" s="10" t="s">
        <v>785</v>
      </c>
      <c r="F556" s="10" t="s">
        <v>265</v>
      </c>
      <c r="G556" s="10" t="s">
        <v>266</v>
      </c>
      <c r="H556" s="11" t="str">
        <f>IF(AND(B556="",C556=""),"CUSTOM BLANK",IF(OR(B556="",C556=""),"ERROR - ENTER BOTH",IF(OR(B556&lt;=0,C556&lt;=0),"ERROR - NONPOSITIVE",IF(OR(B556&lt;L556,C556&lt;L556),"ERROR - BELOW MIN",IF(OR(AND(B556&lt;=J556,C556&lt;=K556),AND(B556&lt;=K556,C556&lt;=J556)),"VALID - CUSTOM","ERROR - EXCEEDS BASE")))))</f>
        <v>CUSTOM BLANK</v>
      </c>
      <c r="I556" s="10" t="s">
        <v>267</v>
      </c>
      <c r="J556" s="12">
        <f>'05-ISO Reference'!$B$12</f>
        <v>74</v>
      </c>
      <c r="K556" s="12">
        <f>'05-ISO Reference'!$C$12</f>
        <v>105</v>
      </c>
      <c r="L556" s="12">
        <f>'01-Process Controls'!$G$5</f>
        <v>3</v>
      </c>
      <c r="M556" s="8"/>
      <c r="N556" s="8"/>
    </row>
    <row r="557" spans="1:15" ht="21" customHeight="1">
      <c r="A557" s="9" t="s">
        <v>787</v>
      </c>
      <c r="B557" s="48"/>
      <c r="C557" s="48"/>
      <c r="D557" s="10" t="s">
        <v>263</v>
      </c>
      <c r="E557" s="10" t="s">
        <v>785</v>
      </c>
      <c r="F557" s="10" t="s">
        <v>265</v>
      </c>
      <c r="G557" s="10" t="s">
        <v>266</v>
      </c>
      <c r="H557" s="11" t="str">
        <f>IF(AND(B557="",C557=""),"CUSTOM BLANK",IF(OR(B557="",C557=""),"ERROR - ENTER BOTH",IF(OR(B557&lt;=0,C557&lt;=0),"ERROR - NONPOSITIVE",IF(OR(B557&lt;L557,C557&lt;L557),"ERROR - BELOW MIN",IF(OR(AND(B557&lt;=J557,C557&lt;=K557),AND(B557&lt;=K557,C557&lt;=J557)),"VALID - CUSTOM","ERROR - EXCEEDS BASE")))))</f>
        <v>CUSTOM BLANK</v>
      </c>
      <c r="I557" s="10" t="s">
        <v>267</v>
      </c>
      <c r="J557" s="12">
        <f>'05-ISO Reference'!$B$12</f>
        <v>74</v>
      </c>
      <c r="K557" s="12">
        <f>'05-ISO Reference'!$C$12</f>
        <v>105</v>
      </c>
      <c r="L557" s="12">
        <f>'01-Process Controls'!$G$5</f>
        <v>3</v>
      </c>
      <c r="M557" s="8"/>
      <c r="N557" s="8"/>
    </row>
    <row r="558" spans="1:15" ht="21" customHeight="1">
      <c r="A558" s="9" t="s">
        <v>788</v>
      </c>
      <c r="B558" s="48"/>
      <c r="C558" s="48"/>
      <c r="D558" s="10" t="s">
        <v>263</v>
      </c>
      <c r="E558" s="10" t="s">
        <v>785</v>
      </c>
      <c r="F558" s="10" t="s">
        <v>265</v>
      </c>
      <c r="G558" s="10" t="s">
        <v>266</v>
      </c>
      <c r="H558" s="11" t="str">
        <f>IF(AND(B558="",C558=""),"CUSTOM BLANK",IF(OR(B558="",C558=""),"ERROR - ENTER BOTH",IF(OR(B558&lt;=0,C558&lt;=0),"ERROR - NONPOSITIVE",IF(OR(B558&lt;L558,C558&lt;L558),"ERROR - BELOW MIN",IF(OR(AND(B558&lt;=J558,C558&lt;=K558),AND(B558&lt;=K558,C558&lt;=J558)),"VALID - CUSTOM","ERROR - EXCEEDS BASE")))))</f>
        <v>CUSTOM BLANK</v>
      </c>
      <c r="I558" s="10" t="s">
        <v>267</v>
      </c>
      <c r="J558" s="12">
        <f>'05-ISO Reference'!$B$12</f>
        <v>74</v>
      </c>
      <c r="K558" s="12">
        <f>'05-ISO Reference'!$C$12</f>
        <v>105</v>
      </c>
      <c r="L558" s="12">
        <f>'01-Process Controls'!$G$5</f>
        <v>3</v>
      </c>
      <c r="M558" s="8"/>
      <c r="N558" s="8"/>
    </row>
    <row r="559" spans="1:15" ht="21" customHeight="1">
      <c r="A559" s="9" t="s">
        <v>789</v>
      </c>
      <c r="B559" s="48"/>
      <c r="C559" s="48"/>
      <c r="D559" s="10" t="s">
        <v>263</v>
      </c>
      <c r="E559" s="10" t="s">
        <v>785</v>
      </c>
      <c r="F559" s="10" t="s">
        <v>265</v>
      </c>
      <c r="G559" s="10" t="s">
        <v>266</v>
      </c>
      <c r="H559" s="11" t="str">
        <f>IF(AND(B559="",C559=""),"CUSTOM BLANK",IF(OR(B559="",C559=""),"ERROR - ENTER BOTH",IF(OR(B559&lt;=0,C559&lt;=0),"ERROR - NONPOSITIVE",IF(OR(B559&lt;L559,C559&lt;L559),"ERROR - BELOW MIN",IF(OR(AND(B559&lt;=J559,C559&lt;=K559),AND(B559&lt;=K559,C559&lt;=J559)),"VALID - CUSTOM","ERROR - EXCEEDS BASE")))))</f>
        <v>CUSTOM BLANK</v>
      </c>
      <c r="I559" s="10" t="s">
        <v>267</v>
      </c>
      <c r="J559" s="12">
        <f>'05-ISO Reference'!$B$12</f>
        <v>74</v>
      </c>
      <c r="K559" s="12">
        <f>'05-ISO Reference'!$C$12</f>
        <v>105</v>
      </c>
      <c r="L559" s="12">
        <f>'01-Process Controls'!$G$5</f>
        <v>3</v>
      </c>
      <c r="M559" s="8"/>
      <c r="N559" s="8"/>
    </row>
    <row r="560" spans="1:15" ht="21" customHeight="1">
      <c r="A560" s="9" t="s">
        <v>790</v>
      </c>
      <c r="B560" s="48"/>
      <c r="C560" s="48"/>
      <c r="D560" s="10" t="s">
        <v>263</v>
      </c>
      <c r="E560" s="10" t="s">
        <v>785</v>
      </c>
      <c r="F560" s="10" t="s">
        <v>265</v>
      </c>
      <c r="G560" s="10" t="s">
        <v>266</v>
      </c>
      <c r="H560" s="11" t="str">
        <f>IF(AND(B560="",C560=""),"CUSTOM BLANK",IF(OR(B560="",C560=""),"ERROR - ENTER BOTH",IF(OR(B560&lt;=0,C560&lt;=0),"ERROR - NONPOSITIVE",IF(OR(B560&lt;L560,C560&lt;L560),"ERROR - BELOW MIN",IF(OR(AND(B560&lt;=J560,C560&lt;=K560),AND(B560&lt;=K560,C560&lt;=J560)),"VALID - CUSTOM","ERROR - EXCEEDS BASE")))))</f>
        <v>CUSTOM BLANK</v>
      </c>
      <c r="I560" s="10" t="s">
        <v>267</v>
      </c>
      <c r="J560" s="12">
        <f>'05-ISO Reference'!$B$12</f>
        <v>74</v>
      </c>
      <c r="K560" s="12">
        <f>'05-ISO Reference'!$C$12</f>
        <v>105</v>
      </c>
      <c r="L560" s="12">
        <f>'01-Process Controls'!$G$5</f>
        <v>3</v>
      </c>
      <c r="M560" s="8"/>
      <c r="N560" s="8"/>
    </row>
    <row r="561" spans="1:15" ht="21" customHeight="1">
      <c r="A561" s="9" t="s">
        <v>791</v>
      </c>
      <c r="B561" s="48"/>
      <c r="C561" s="48"/>
      <c r="D561" s="10" t="s">
        <v>263</v>
      </c>
      <c r="E561" s="10" t="s">
        <v>785</v>
      </c>
      <c r="F561" s="10" t="s">
        <v>265</v>
      </c>
      <c r="G561" s="10" t="s">
        <v>266</v>
      </c>
      <c r="H561" s="11" t="str">
        <f>IF(AND(B561="",C561=""),"CUSTOM BLANK",IF(OR(B561="",C561=""),"ERROR - ENTER BOTH",IF(OR(B561&lt;=0,C561&lt;=0),"ERROR - NONPOSITIVE",IF(OR(B561&lt;L561,C561&lt;L561),"ERROR - BELOW MIN",IF(OR(AND(B561&lt;=J561,C561&lt;=K561),AND(B561&lt;=K561,C561&lt;=J561)),"VALID - CUSTOM","ERROR - EXCEEDS BASE")))))</f>
        <v>CUSTOM BLANK</v>
      </c>
      <c r="I561" s="10" t="s">
        <v>267</v>
      </c>
      <c r="J561" s="12">
        <f>'05-ISO Reference'!$B$12</f>
        <v>74</v>
      </c>
      <c r="K561" s="12">
        <f>'05-ISO Reference'!$C$12</f>
        <v>105</v>
      </c>
      <c r="L561" s="12">
        <f>'01-Process Controls'!$G$5</f>
        <v>3</v>
      </c>
      <c r="M561" s="8"/>
      <c r="N561" s="8"/>
    </row>
    <row r="562" spans="1:15" ht="21" customHeight="1">
      <c r="A562" s="9" t="s">
        <v>792</v>
      </c>
      <c r="B562" s="48"/>
      <c r="C562" s="48"/>
      <c r="D562" s="10" t="s">
        <v>263</v>
      </c>
      <c r="E562" s="10" t="s">
        <v>785</v>
      </c>
      <c r="F562" s="10" t="s">
        <v>265</v>
      </c>
      <c r="G562" s="10" t="s">
        <v>266</v>
      </c>
      <c r="H562" s="11" t="str">
        <f>IF(AND(B562="",C562=""),"CUSTOM BLANK",IF(OR(B562="",C562=""),"ERROR - ENTER BOTH",IF(OR(B562&lt;=0,C562&lt;=0),"ERROR - NONPOSITIVE",IF(OR(B562&lt;L562,C562&lt;L562),"ERROR - BELOW MIN",IF(OR(AND(B562&lt;=J562,C562&lt;=K562),AND(B562&lt;=K562,C562&lt;=J562)),"VALID - CUSTOM","ERROR - EXCEEDS BASE")))))</f>
        <v>CUSTOM BLANK</v>
      </c>
      <c r="I562" s="10" t="s">
        <v>267</v>
      </c>
      <c r="J562" s="12">
        <f>'05-ISO Reference'!$B$12</f>
        <v>74</v>
      </c>
      <c r="K562" s="12">
        <f>'05-ISO Reference'!$C$12</f>
        <v>105</v>
      </c>
      <c r="L562" s="12">
        <f>'01-Process Controls'!$G$5</f>
        <v>3</v>
      </c>
      <c r="M562" s="8"/>
      <c r="N562" s="8"/>
    </row>
    <row r="563" spans="1:15" ht="21" customHeight="1">
      <c r="A563" s="9" t="s">
        <v>793</v>
      </c>
      <c r="B563" s="48"/>
      <c r="C563" s="48"/>
      <c r="D563" s="10" t="s">
        <v>263</v>
      </c>
      <c r="E563" s="10" t="s">
        <v>785</v>
      </c>
      <c r="F563" s="10" t="s">
        <v>265</v>
      </c>
      <c r="G563" s="10" t="s">
        <v>266</v>
      </c>
      <c r="H563" s="11" t="str">
        <f>IF(AND(B563="",C563=""),"CUSTOM BLANK",IF(OR(B563="",C563=""),"ERROR - ENTER BOTH",IF(OR(B563&lt;=0,C563&lt;=0),"ERROR - NONPOSITIVE",IF(OR(B563&lt;L563,C563&lt;L563),"ERROR - BELOW MIN",IF(OR(AND(B563&lt;=J563,C563&lt;=K563),AND(B563&lt;=K563,C563&lt;=J563)),"VALID - CUSTOM","ERROR - EXCEEDS BASE")))))</f>
        <v>CUSTOM BLANK</v>
      </c>
      <c r="I563" s="10" t="s">
        <v>267</v>
      </c>
      <c r="J563" s="12">
        <f>'05-ISO Reference'!$B$12</f>
        <v>74</v>
      </c>
      <c r="K563" s="12">
        <f>'05-ISO Reference'!$C$12</f>
        <v>105</v>
      </c>
      <c r="L563" s="12">
        <f>'01-Process Controls'!$G$5</f>
        <v>3</v>
      </c>
      <c r="M563" s="8"/>
      <c r="N563" s="8"/>
    </row>
    <row r="564" spans="1:15" ht="21" customHeight="1">
      <c r="A564" s="9" t="s">
        <v>794</v>
      </c>
      <c r="B564" s="48"/>
      <c r="C564" s="48"/>
      <c r="D564" s="10" t="s">
        <v>263</v>
      </c>
      <c r="E564" s="10" t="s">
        <v>785</v>
      </c>
      <c r="F564" s="10" t="s">
        <v>265</v>
      </c>
      <c r="G564" s="10" t="s">
        <v>266</v>
      </c>
      <c r="H564" s="11" t="str">
        <f>IF(AND(B564="",C564=""),"CUSTOM BLANK",IF(OR(B564="",C564=""),"ERROR - ENTER BOTH",IF(OR(B564&lt;=0,C564&lt;=0),"ERROR - NONPOSITIVE",IF(OR(B564&lt;L564,C564&lt;L564),"ERROR - BELOW MIN",IF(OR(AND(B564&lt;=J564,C564&lt;=K564),AND(B564&lt;=K564,C564&lt;=J564)),"VALID - CUSTOM","ERROR - EXCEEDS BASE")))))</f>
        <v>CUSTOM BLANK</v>
      </c>
      <c r="I564" s="10" t="s">
        <v>267</v>
      </c>
      <c r="J564" s="12">
        <f>'05-ISO Reference'!$B$12</f>
        <v>74</v>
      </c>
      <c r="K564" s="12">
        <f>'05-ISO Reference'!$C$12</f>
        <v>105</v>
      </c>
      <c r="L564" s="12">
        <f>'01-Process Controls'!$G$5</f>
        <v>3</v>
      </c>
      <c r="M564" s="8"/>
      <c r="N564" s="8"/>
    </row>
    <row r="565" spans="1:15" ht="21" customHeight="1">
      <c r="A565" s="9" t="s">
        <v>795</v>
      </c>
      <c r="B565" s="48"/>
      <c r="C565" s="48"/>
      <c r="D565" s="10" t="s">
        <v>263</v>
      </c>
      <c r="E565" s="10" t="s">
        <v>785</v>
      </c>
      <c r="F565" s="10" t="s">
        <v>265</v>
      </c>
      <c r="G565" s="10" t="s">
        <v>266</v>
      </c>
      <c r="H565" s="11" t="str">
        <f>IF(AND(B565="",C565=""),"CUSTOM BLANK",IF(OR(B565="",C565=""),"ERROR - ENTER BOTH",IF(OR(B565&lt;=0,C565&lt;=0),"ERROR - NONPOSITIVE",IF(OR(B565&lt;L565,C565&lt;L565),"ERROR - BELOW MIN",IF(OR(AND(B565&lt;=J565,C565&lt;=K565),AND(B565&lt;=K565,C565&lt;=J565)),"VALID - CUSTOM","ERROR - EXCEEDS BASE")))))</f>
        <v>CUSTOM BLANK</v>
      </c>
      <c r="I565" s="10" t="s">
        <v>267</v>
      </c>
      <c r="J565" s="12">
        <f>'05-ISO Reference'!$B$12</f>
        <v>74</v>
      </c>
      <c r="K565" s="12">
        <f>'05-ISO Reference'!$C$12</f>
        <v>105</v>
      </c>
      <c r="L565" s="12">
        <f>'01-Process Controls'!$G$5</f>
        <v>3</v>
      </c>
      <c r="M565" s="8"/>
      <c r="N565" s="8"/>
    </row>
    <row r="566" spans="1:15" ht="21" customHeight="1">
      <c r="A566" s="9" t="s">
        <v>796</v>
      </c>
      <c r="B566" s="48"/>
      <c r="C566" s="48"/>
      <c r="D566" s="10" t="s">
        <v>263</v>
      </c>
      <c r="E566" s="10" t="s">
        <v>785</v>
      </c>
      <c r="F566" s="10" t="s">
        <v>265</v>
      </c>
      <c r="G566" s="10" t="s">
        <v>266</v>
      </c>
      <c r="H566" s="11" t="str">
        <f>IF(AND(B566="",C566=""),"CUSTOM BLANK",IF(OR(B566="",C566=""),"ERROR - ENTER BOTH",IF(OR(B566&lt;=0,C566&lt;=0),"ERROR - NONPOSITIVE",IF(OR(B566&lt;L566,C566&lt;L566),"ERROR - BELOW MIN",IF(OR(AND(B566&lt;=J566,C566&lt;=K566),AND(B566&lt;=K566,C566&lt;=J566)),"VALID - CUSTOM","ERROR - EXCEEDS BASE")))))</f>
        <v>CUSTOM BLANK</v>
      </c>
      <c r="I566" s="10" t="s">
        <v>267</v>
      </c>
      <c r="J566" s="12">
        <f>'05-ISO Reference'!$B$12</f>
        <v>74</v>
      </c>
      <c r="K566" s="12">
        <f>'05-ISO Reference'!$C$12</f>
        <v>105</v>
      </c>
      <c r="L566" s="12">
        <f>'01-Process Controls'!$G$5</f>
        <v>3</v>
      </c>
      <c r="M566" s="8"/>
      <c r="N566" s="8"/>
    </row>
    <row r="567" spans="1:15" ht="21" customHeight="1">
      <c r="A567" s="9" t="s">
        <v>797</v>
      </c>
      <c r="B567" s="48"/>
      <c r="C567" s="48"/>
      <c r="D567" s="10" t="s">
        <v>263</v>
      </c>
      <c r="E567" s="10" t="s">
        <v>785</v>
      </c>
      <c r="F567" s="10" t="s">
        <v>265</v>
      </c>
      <c r="G567" s="10" t="s">
        <v>266</v>
      </c>
      <c r="H567" s="11" t="str">
        <f>IF(AND(B567="",C567=""),"CUSTOM BLANK",IF(OR(B567="",C567=""),"ERROR - ENTER BOTH",IF(OR(B567&lt;=0,C567&lt;=0),"ERROR - NONPOSITIVE",IF(OR(B567&lt;L567,C567&lt;L567),"ERROR - BELOW MIN",IF(OR(AND(B567&lt;=J567,C567&lt;=K567),AND(B567&lt;=K567,C567&lt;=J567)),"VALID - CUSTOM","ERROR - EXCEEDS BASE")))))</f>
        <v>CUSTOM BLANK</v>
      </c>
      <c r="I567" s="10" t="s">
        <v>267</v>
      </c>
      <c r="J567" s="12">
        <f>'05-ISO Reference'!$B$12</f>
        <v>74</v>
      </c>
      <c r="K567" s="12">
        <f>'05-ISO Reference'!$C$12</f>
        <v>105</v>
      </c>
      <c r="L567" s="12">
        <f>'01-Process Controls'!$G$5</f>
        <v>3</v>
      </c>
      <c r="M567" s="8"/>
      <c r="N567" s="8"/>
    </row>
    <row r="568" spans="1:15" ht="21" customHeight="1">
      <c r="A568" s="9" t="s">
        <v>798</v>
      </c>
      <c r="B568" s="48"/>
      <c r="C568" s="48"/>
      <c r="D568" s="10" t="s">
        <v>263</v>
      </c>
      <c r="E568" s="10" t="s">
        <v>785</v>
      </c>
      <c r="F568" s="10" t="s">
        <v>265</v>
      </c>
      <c r="G568" s="10" t="s">
        <v>266</v>
      </c>
      <c r="H568" s="11" t="str">
        <f>IF(AND(B568="",C568=""),"CUSTOM BLANK",IF(OR(B568="",C568=""),"ERROR - ENTER BOTH",IF(OR(B568&lt;=0,C568&lt;=0),"ERROR - NONPOSITIVE",IF(OR(B568&lt;L568,C568&lt;L568),"ERROR - BELOW MIN",IF(OR(AND(B568&lt;=J568,C568&lt;=K568),AND(B568&lt;=K568,C568&lt;=J568)),"VALID - CUSTOM","ERROR - EXCEEDS BASE")))))</f>
        <v>CUSTOM BLANK</v>
      </c>
      <c r="I568" s="10" t="s">
        <v>267</v>
      </c>
      <c r="J568" s="12">
        <f>'05-ISO Reference'!$B$12</f>
        <v>74</v>
      </c>
      <c r="K568" s="12">
        <f>'05-ISO Reference'!$C$12</f>
        <v>105</v>
      </c>
      <c r="L568" s="12">
        <f>'01-Process Controls'!$G$5</f>
        <v>3</v>
      </c>
      <c r="M568" s="8"/>
      <c r="N568" s="8"/>
    </row>
    <row r="569" spans="1:15" ht="21" customHeight="1">
      <c r="A569" s="9" t="s">
        <v>799</v>
      </c>
      <c r="B569" s="48"/>
      <c r="C569" s="48"/>
      <c r="D569" s="10" t="s">
        <v>263</v>
      </c>
      <c r="E569" s="10" t="s">
        <v>785</v>
      </c>
      <c r="F569" s="10" t="s">
        <v>265</v>
      </c>
      <c r="G569" s="10" t="s">
        <v>266</v>
      </c>
      <c r="H569" s="11" t="str">
        <f>IF(AND(B569="",C569=""),"CUSTOM BLANK",IF(OR(B569="",C569=""),"ERROR - ENTER BOTH",IF(OR(B569&lt;=0,C569&lt;=0),"ERROR - NONPOSITIVE",IF(OR(B569&lt;L569,C569&lt;L569),"ERROR - BELOW MIN",IF(OR(AND(B569&lt;=J569,C569&lt;=K569),AND(B569&lt;=K569,C569&lt;=J569)),"VALID - CUSTOM","ERROR - EXCEEDS BASE")))))</f>
        <v>CUSTOM BLANK</v>
      </c>
      <c r="I569" s="10" t="s">
        <v>267</v>
      </c>
      <c r="J569" s="12">
        <f>'05-ISO Reference'!$B$12</f>
        <v>74</v>
      </c>
      <c r="K569" s="12">
        <f>'05-ISO Reference'!$C$12</f>
        <v>105</v>
      </c>
      <c r="L569" s="12">
        <f>'01-Process Controls'!$G$5</f>
        <v>3</v>
      </c>
      <c r="M569" s="8"/>
      <c r="N569" s="8"/>
    </row>
    <row r="570" spans="1:15" ht="21" customHeight="1">
      <c r="A570" s="44" t="s">
        <v>800</v>
      </c>
      <c r="B570" s="45">
        <f>IF(LEFT(H570,5)="VALID",M570,"")</f>
        <v>52</v>
      </c>
      <c r="C570" s="45">
        <f>IF(LEFT(H570,5)="VALID",N570,"")</f>
        <v>74</v>
      </c>
      <c r="D570" s="46" t="s">
        <v>82</v>
      </c>
      <c r="E570" s="46" t="s">
        <v>801</v>
      </c>
      <c r="F570" s="46" t="s">
        <v>122</v>
      </c>
      <c r="G570" s="46" t="s">
        <v>123</v>
      </c>
      <c r="H570" s="47" t="str">
        <f>"VALID - BASE"</f>
        <v>VALID - BASE</v>
      </c>
      <c r="I570" s="46" t="s">
        <v>802</v>
      </c>
      <c r="J570" s="12">
        <f>'05-ISO Reference'!$B$13</f>
        <v>52</v>
      </c>
      <c r="K570" s="12">
        <f>'05-ISO Reference'!$C$13</f>
        <v>74</v>
      </c>
      <c r="L570" s="12">
        <f>'01-Process Controls'!$G$5</f>
        <v>3</v>
      </c>
      <c r="M570" s="12">
        <f>ROUNDDOWN(J570,0)</f>
        <v>52</v>
      </c>
      <c r="N570" s="12">
        <f>ROUNDDOWN(K570,0)</f>
        <v>74</v>
      </c>
      <c r="O570" s="9">
        <v>0</v>
      </c>
    </row>
    <row r="571" spans="1:15" ht="21" customHeight="1">
      <c r="A571" s="9" t="s">
        <v>803</v>
      </c>
      <c r="B571" s="12">
        <f>IF(LEFT(H571,5)="VALID",M571,"")</f>
        <v>26</v>
      </c>
      <c r="C571" s="12">
        <f>IF(LEFT(H571,5)="VALID",N571,"")</f>
        <v>74</v>
      </c>
      <c r="D571" s="10" t="s">
        <v>82</v>
      </c>
      <c r="E571" s="10" t="s">
        <v>801</v>
      </c>
      <c r="F571" s="10" t="s">
        <v>126</v>
      </c>
      <c r="G571" s="10" t="s">
        <v>127</v>
      </c>
      <c r="H571" s="11" t="str">
        <f>IF(OR(M571&lt;=0,N571&lt;=0),"SKIPPED - NONPOSITIVE",IF(OR(M571&lt;L571,N571&lt;L571),"SKIPPED - BELOW MIN",IF(OR(M571&gt;J571,N571&gt;K571),"SKIPPED - EXCEEDS BASE",IF(COUNTIFS($M$570:M570,M571,$N$570:N570,N571)&gt;0,"SKIPPED - DUPLICATE","VALID - GENERATED"))))</f>
        <v>VALID - GENERATED</v>
      </c>
      <c r="I571" s="10" t="s">
        <v>802</v>
      </c>
      <c r="J571" s="12">
        <f>'05-ISO Reference'!$B$13</f>
        <v>52</v>
      </c>
      <c r="K571" s="12">
        <f>'05-ISO Reference'!$C$13</f>
        <v>74</v>
      </c>
      <c r="L571" s="12">
        <f>'01-Process Controls'!$G$5</f>
        <v>3</v>
      </c>
      <c r="M571" s="12">
        <f>ROUNDDOWN(J571*'04-Variant Rules'!$D$6,0)</f>
        <v>26</v>
      </c>
      <c r="N571" s="12">
        <f>ROUNDDOWN(K571,0)</f>
        <v>74</v>
      </c>
      <c r="O571" s="9">
        <v>1</v>
      </c>
    </row>
    <row r="572" spans="1:15" ht="21" customHeight="1">
      <c r="A572" s="9" t="s">
        <v>804</v>
      </c>
      <c r="B572" s="12">
        <f>IF(LEFT(H572,5)="VALID",M572,"")</f>
        <v>17</v>
      </c>
      <c r="C572" s="12">
        <f>IF(LEFT(H572,5)="VALID",N572,"")</f>
        <v>74</v>
      </c>
      <c r="D572" s="10" t="s">
        <v>82</v>
      </c>
      <c r="E572" s="10" t="s">
        <v>801</v>
      </c>
      <c r="F572" s="10" t="s">
        <v>129</v>
      </c>
      <c r="G572" s="10" t="s">
        <v>130</v>
      </c>
      <c r="H572" s="11" t="str">
        <f>IF(OR(M572&lt;=0,N572&lt;=0),"SKIPPED - NONPOSITIVE",IF(OR(M572&lt;L572,N572&lt;L572),"SKIPPED - BELOW MIN",IF(OR(M572&gt;J572,N572&gt;K572),"SKIPPED - EXCEEDS BASE",IF(COUNTIFS($M$570:M571,M572,$N$570:N571,N572)&gt;0,"SKIPPED - DUPLICATE","VALID - GENERATED"))))</f>
        <v>VALID - GENERATED</v>
      </c>
      <c r="I572" s="10" t="s">
        <v>802</v>
      </c>
      <c r="J572" s="12">
        <f>'05-ISO Reference'!$B$13</f>
        <v>52</v>
      </c>
      <c r="K572" s="12">
        <f>'05-ISO Reference'!$C$13</f>
        <v>74</v>
      </c>
      <c r="L572" s="12">
        <f>'01-Process Controls'!$G$5</f>
        <v>3</v>
      </c>
      <c r="M572" s="12">
        <f>ROUNDDOWN(J572*'04-Variant Rules'!$D$7,0)</f>
        <v>17</v>
      </c>
      <c r="N572" s="12">
        <f>ROUNDDOWN(K572,0)</f>
        <v>74</v>
      </c>
      <c r="O572" s="9">
        <v>2</v>
      </c>
    </row>
    <row r="573" spans="1:15" ht="21" customHeight="1">
      <c r="A573" s="9" t="s">
        <v>805</v>
      </c>
      <c r="B573" s="12">
        <f>IF(LEFT(H573,5)="VALID",M573,"")</f>
        <v>13</v>
      </c>
      <c r="C573" s="12">
        <f>IF(LEFT(H573,5)="VALID",N573,"")</f>
        <v>74</v>
      </c>
      <c r="D573" s="10" t="s">
        <v>82</v>
      </c>
      <c r="E573" s="10" t="s">
        <v>801</v>
      </c>
      <c r="F573" s="10" t="s">
        <v>132</v>
      </c>
      <c r="G573" s="10" t="s">
        <v>133</v>
      </c>
      <c r="H573" s="11" t="str">
        <f>IF(OR(M573&lt;=0,N573&lt;=0),"SKIPPED - NONPOSITIVE",IF(OR(M573&lt;L573,N573&lt;L573),"SKIPPED - BELOW MIN",IF(OR(M573&gt;J573,N573&gt;K573),"SKIPPED - EXCEEDS BASE",IF(COUNTIFS($M$570:M572,M573,$N$570:N572,N573)&gt;0,"SKIPPED - DUPLICATE","VALID - GENERATED"))))</f>
        <v>VALID - GENERATED</v>
      </c>
      <c r="I573" s="10" t="s">
        <v>802</v>
      </c>
      <c r="J573" s="12">
        <f>'05-ISO Reference'!$B$13</f>
        <v>52</v>
      </c>
      <c r="K573" s="12">
        <f>'05-ISO Reference'!$C$13</f>
        <v>74</v>
      </c>
      <c r="L573" s="12">
        <f>'01-Process Controls'!$G$5</f>
        <v>3</v>
      </c>
      <c r="M573" s="12">
        <f>ROUNDDOWN(J573*'04-Variant Rules'!$D$8,0)</f>
        <v>13</v>
      </c>
      <c r="N573" s="12">
        <f>ROUNDDOWN(K573,0)</f>
        <v>74</v>
      </c>
      <c r="O573" s="9">
        <v>3</v>
      </c>
    </row>
    <row r="574" spans="1:15" ht="21" customHeight="1">
      <c r="A574" s="9" t="s">
        <v>806</v>
      </c>
      <c r="B574" s="12">
        <f>IF(LEFT(H574,5)="VALID",M574,"")</f>
        <v>34</v>
      </c>
      <c r="C574" s="12">
        <f>IF(LEFT(H574,5)="VALID",N574,"")</f>
        <v>74</v>
      </c>
      <c r="D574" s="10" t="s">
        <v>82</v>
      </c>
      <c r="E574" s="10" t="s">
        <v>801</v>
      </c>
      <c r="F574" s="10" t="s">
        <v>135</v>
      </c>
      <c r="G574" s="10" t="s">
        <v>136</v>
      </c>
      <c r="H574" s="11" t="str">
        <f>IF(OR(M574&lt;=0,N574&lt;=0),"SKIPPED - NONPOSITIVE",IF(OR(M574&lt;L574,N574&lt;L574),"SKIPPED - BELOW MIN",IF(OR(M574&gt;J574,N574&gt;K574),"SKIPPED - EXCEEDS BASE",IF(COUNTIFS($M$570:M573,M574,$N$570:N573,N574)&gt;0,"SKIPPED - DUPLICATE","VALID - GENERATED"))))</f>
        <v>VALID - GENERATED</v>
      </c>
      <c r="I574" s="10" t="s">
        <v>802</v>
      </c>
      <c r="J574" s="12">
        <f>'05-ISO Reference'!$B$13</f>
        <v>52</v>
      </c>
      <c r="K574" s="12">
        <f>'05-ISO Reference'!$C$13</f>
        <v>74</v>
      </c>
      <c r="L574" s="12">
        <f>'01-Process Controls'!$G$5</f>
        <v>3</v>
      </c>
      <c r="M574" s="12">
        <f>ROUNDDOWN(J574*'04-Variant Rules'!$D$9,0)</f>
        <v>34</v>
      </c>
      <c r="N574" s="12">
        <f>ROUNDDOWN(K574,0)</f>
        <v>74</v>
      </c>
      <c r="O574" s="9">
        <v>4</v>
      </c>
    </row>
    <row r="575" spans="1:15" ht="21" customHeight="1">
      <c r="A575" s="9" t="s">
        <v>807</v>
      </c>
      <c r="B575" s="12">
        <f>IF(LEFT(H575,5)="VALID",M575,"")</f>
        <v>39</v>
      </c>
      <c r="C575" s="12">
        <f>IF(LEFT(H575,5)="VALID",N575,"")</f>
        <v>74</v>
      </c>
      <c r="D575" s="10" t="s">
        <v>82</v>
      </c>
      <c r="E575" s="10" t="s">
        <v>801</v>
      </c>
      <c r="F575" s="10" t="s">
        <v>138</v>
      </c>
      <c r="G575" s="10" t="s">
        <v>139</v>
      </c>
      <c r="H575" s="11" t="str">
        <f>IF(OR(M575&lt;=0,N575&lt;=0),"SKIPPED - NONPOSITIVE",IF(OR(M575&lt;L575,N575&lt;L575),"SKIPPED - BELOW MIN",IF(OR(M575&gt;J575,N575&gt;K575),"SKIPPED - EXCEEDS BASE",IF(COUNTIFS($M$570:M574,M575,$N$570:N574,N575)&gt;0,"SKIPPED - DUPLICATE","VALID - GENERATED"))))</f>
        <v>VALID - GENERATED</v>
      </c>
      <c r="I575" s="10" t="s">
        <v>802</v>
      </c>
      <c r="J575" s="12">
        <f>'05-ISO Reference'!$B$13</f>
        <v>52</v>
      </c>
      <c r="K575" s="12">
        <f>'05-ISO Reference'!$C$13</f>
        <v>74</v>
      </c>
      <c r="L575" s="12">
        <f>'01-Process Controls'!$G$5</f>
        <v>3</v>
      </c>
      <c r="M575" s="12">
        <f>ROUNDDOWN(J575*'04-Variant Rules'!$D$10,0)</f>
        <v>39</v>
      </c>
      <c r="N575" s="12">
        <f>ROUNDDOWN(K575,0)</f>
        <v>74</v>
      </c>
      <c r="O575" s="9">
        <v>5</v>
      </c>
    </row>
    <row r="576" spans="1:15" ht="21" customHeight="1">
      <c r="A576" s="9" t="s">
        <v>808</v>
      </c>
      <c r="B576" s="12">
        <f>IF(LEFT(H576,5)="VALID",M576,"")</f>
        <v>52</v>
      </c>
      <c r="C576" s="12">
        <f>IF(LEFT(H576,5)="VALID",N576,"")</f>
        <v>37</v>
      </c>
      <c r="D576" s="10" t="s">
        <v>82</v>
      </c>
      <c r="E576" s="10" t="s">
        <v>801</v>
      </c>
      <c r="F576" s="10" t="s">
        <v>141</v>
      </c>
      <c r="G576" s="10" t="s">
        <v>142</v>
      </c>
      <c r="H576" s="11" t="str">
        <f>IF(OR(M576&lt;=0,N576&lt;=0),"SKIPPED - NONPOSITIVE",IF(OR(M576&lt;L576,N576&lt;L576),"SKIPPED - BELOW MIN",IF(OR(M576&gt;J576,N576&gt;K576),"SKIPPED - EXCEEDS BASE",IF(COUNTIFS($M$570:M575,M576,$N$570:N575,N576)&gt;0,"SKIPPED - DUPLICATE","VALID - GENERATED"))))</f>
        <v>VALID - GENERATED</v>
      </c>
      <c r="I576" s="10" t="s">
        <v>802</v>
      </c>
      <c r="J576" s="12">
        <f>'05-ISO Reference'!$B$13</f>
        <v>52</v>
      </c>
      <c r="K576" s="12">
        <f>'05-ISO Reference'!$C$13</f>
        <v>74</v>
      </c>
      <c r="L576" s="12">
        <f>'01-Process Controls'!$G$5</f>
        <v>3</v>
      </c>
      <c r="M576" s="12">
        <f>ROUNDDOWN(J576,0)</f>
        <v>52</v>
      </c>
      <c r="N576" s="12">
        <f>ROUNDDOWN(K576*'04-Variant Rules'!$D$11,0)</f>
        <v>37</v>
      </c>
      <c r="O576" s="9">
        <v>6</v>
      </c>
    </row>
    <row r="577" spans="1:15" ht="21" customHeight="1">
      <c r="A577" s="9" t="s">
        <v>809</v>
      </c>
      <c r="B577" s="12">
        <f>IF(LEFT(H577,5)="VALID",M577,"")</f>
        <v>52</v>
      </c>
      <c r="C577" s="12">
        <f>IF(LEFT(H577,5)="VALID",N577,"")</f>
        <v>24</v>
      </c>
      <c r="D577" s="10" t="s">
        <v>82</v>
      </c>
      <c r="E577" s="10" t="s">
        <v>801</v>
      </c>
      <c r="F577" s="10" t="s">
        <v>144</v>
      </c>
      <c r="G577" s="10" t="s">
        <v>145</v>
      </c>
      <c r="H577" s="11" t="str">
        <f>IF(OR(M577&lt;=0,N577&lt;=0),"SKIPPED - NONPOSITIVE",IF(OR(M577&lt;L577,N577&lt;L577),"SKIPPED - BELOW MIN",IF(OR(M577&gt;J577,N577&gt;K577),"SKIPPED - EXCEEDS BASE",IF(COUNTIFS($M$570:M576,M577,$N$570:N576,N577)&gt;0,"SKIPPED - DUPLICATE","VALID - GENERATED"))))</f>
        <v>VALID - GENERATED</v>
      </c>
      <c r="I577" s="10" t="s">
        <v>802</v>
      </c>
      <c r="J577" s="12">
        <f>'05-ISO Reference'!$B$13</f>
        <v>52</v>
      </c>
      <c r="K577" s="12">
        <f>'05-ISO Reference'!$C$13</f>
        <v>74</v>
      </c>
      <c r="L577" s="12">
        <f>'01-Process Controls'!$G$5</f>
        <v>3</v>
      </c>
      <c r="M577" s="12">
        <f>ROUNDDOWN(J577,0)</f>
        <v>52</v>
      </c>
      <c r="N577" s="12">
        <f>ROUNDDOWN(K577*'04-Variant Rules'!$D$12,0)</f>
        <v>24</v>
      </c>
      <c r="O577" s="9">
        <v>7</v>
      </c>
    </row>
    <row r="578" spans="1:15" ht="21" customHeight="1">
      <c r="A578" s="9" t="s">
        <v>810</v>
      </c>
      <c r="B578" s="12">
        <f>IF(LEFT(H578,5)="VALID",M578,"")</f>
        <v>52</v>
      </c>
      <c r="C578" s="12">
        <f>IF(LEFT(H578,5)="VALID",N578,"")</f>
        <v>18</v>
      </c>
      <c r="D578" s="10" t="s">
        <v>82</v>
      </c>
      <c r="E578" s="10" t="s">
        <v>801</v>
      </c>
      <c r="F578" s="10" t="s">
        <v>147</v>
      </c>
      <c r="G578" s="10" t="s">
        <v>148</v>
      </c>
      <c r="H578" s="11" t="str">
        <f>IF(OR(M578&lt;=0,N578&lt;=0),"SKIPPED - NONPOSITIVE",IF(OR(M578&lt;L578,N578&lt;L578),"SKIPPED - BELOW MIN",IF(OR(M578&gt;J578,N578&gt;K578),"SKIPPED - EXCEEDS BASE",IF(COUNTIFS($M$570:M577,M578,$N$570:N577,N578)&gt;0,"SKIPPED - DUPLICATE","VALID - GENERATED"))))</f>
        <v>VALID - GENERATED</v>
      </c>
      <c r="I578" s="10" t="s">
        <v>802</v>
      </c>
      <c r="J578" s="12">
        <f>'05-ISO Reference'!$B$13</f>
        <v>52</v>
      </c>
      <c r="K578" s="12">
        <f>'05-ISO Reference'!$C$13</f>
        <v>74</v>
      </c>
      <c r="L578" s="12">
        <f>'01-Process Controls'!$G$5</f>
        <v>3</v>
      </c>
      <c r="M578" s="12">
        <f>ROUNDDOWN(J578,0)</f>
        <v>52</v>
      </c>
      <c r="N578" s="12">
        <f>ROUNDDOWN(K578*'04-Variant Rules'!$D$13,0)</f>
        <v>18</v>
      </c>
      <c r="O578" s="9">
        <v>8</v>
      </c>
    </row>
    <row r="579" spans="1:15" ht="21" customHeight="1">
      <c r="A579" s="9" t="s">
        <v>811</v>
      </c>
      <c r="B579" s="12">
        <f>IF(LEFT(H579,5)="VALID",M579,"")</f>
        <v>52</v>
      </c>
      <c r="C579" s="12">
        <f>IF(LEFT(H579,5)="VALID",N579,"")</f>
        <v>49</v>
      </c>
      <c r="D579" s="10" t="s">
        <v>82</v>
      </c>
      <c r="E579" s="10" t="s">
        <v>801</v>
      </c>
      <c r="F579" s="10" t="s">
        <v>150</v>
      </c>
      <c r="G579" s="10" t="s">
        <v>151</v>
      </c>
      <c r="H579" s="11" t="str">
        <f>IF(OR(M579&lt;=0,N579&lt;=0),"SKIPPED - NONPOSITIVE",IF(OR(M579&lt;L579,N579&lt;L579),"SKIPPED - BELOW MIN",IF(OR(M579&gt;J579,N579&gt;K579),"SKIPPED - EXCEEDS BASE",IF(COUNTIFS($M$570:M578,M579,$N$570:N578,N579)&gt;0,"SKIPPED - DUPLICATE","VALID - GENERATED"))))</f>
        <v>VALID - GENERATED</v>
      </c>
      <c r="I579" s="10" t="s">
        <v>802</v>
      </c>
      <c r="J579" s="12">
        <f>'05-ISO Reference'!$B$13</f>
        <v>52</v>
      </c>
      <c r="K579" s="12">
        <f>'05-ISO Reference'!$C$13</f>
        <v>74</v>
      </c>
      <c r="L579" s="12">
        <f>'01-Process Controls'!$G$5</f>
        <v>3</v>
      </c>
      <c r="M579" s="12">
        <f>ROUNDDOWN(J579,0)</f>
        <v>52</v>
      </c>
      <c r="N579" s="12">
        <f>ROUNDDOWN(K579*'04-Variant Rules'!$D$14,0)</f>
        <v>49</v>
      </c>
      <c r="O579" s="9">
        <v>9</v>
      </c>
    </row>
    <row r="580" spans="1:15" ht="21" customHeight="1">
      <c r="A580" s="9" t="s">
        <v>812</v>
      </c>
      <c r="B580" s="12">
        <f>IF(LEFT(H580,5)="VALID",M580,"")</f>
        <v>52</v>
      </c>
      <c r="C580" s="12">
        <f>IF(LEFT(H580,5)="VALID",N580,"")</f>
        <v>55</v>
      </c>
      <c r="D580" s="10" t="s">
        <v>82</v>
      </c>
      <c r="E580" s="10" t="s">
        <v>801</v>
      </c>
      <c r="F580" s="10" t="s">
        <v>153</v>
      </c>
      <c r="G580" s="10" t="s">
        <v>154</v>
      </c>
      <c r="H580" s="11" t="str">
        <f>IF(OR(M580&lt;=0,N580&lt;=0),"SKIPPED - NONPOSITIVE",IF(OR(M580&lt;L580,N580&lt;L580),"SKIPPED - BELOW MIN",IF(OR(M580&gt;J580,N580&gt;K580),"SKIPPED - EXCEEDS BASE",IF(COUNTIFS($M$570:M579,M580,$N$570:N579,N580)&gt;0,"SKIPPED - DUPLICATE","VALID - GENERATED"))))</f>
        <v>VALID - GENERATED</v>
      </c>
      <c r="I580" s="10" t="s">
        <v>802</v>
      </c>
      <c r="J580" s="12">
        <f>'05-ISO Reference'!$B$13</f>
        <v>52</v>
      </c>
      <c r="K580" s="12">
        <f>'05-ISO Reference'!$C$13</f>
        <v>74</v>
      </c>
      <c r="L580" s="12">
        <f>'01-Process Controls'!$G$5</f>
        <v>3</v>
      </c>
      <c r="M580" s="12">
        <f>ROUNDDOWN(J580,0)</f>
        <v>52</v>
      </c>
      <c r="N580" s="12">
        <f>ROUNDDOWN(K580*'04-Variant Rules'!$D$15,0)</f>
        <v>55</v>
      </c>
      <c r="O580" s="9">
        <v>10</v>
      </c>
    </row>
    <row r="581" spans="1:15" ht="21" customHeight="1">
      <c r="A581" s="9" t="s">
        <v>813</v>
      </c>
      <c r="B581" s="12">
        <f>IF(LEFT(H581,5)="VALID",M581,"")</f>
        <v>26</v>
      </c>
      <c r="C581" s="12">
        <f>IF(LEFT(H581,5)="VALID",N581,"")</f>
        <v>37</v>
      </c>
      <c r="D581" s="10" t="s">
        <v>82</v>
      </c>
      <c r="E581" s="10" t="s">
        <v>801</v>
      </c>
      <c r="F581" s="10" t="s">
        <v>156</v>
      </c>
      <c r="G581" s="10" t="s">
        <v>157</v>
      </c>
      <c r="H581" s="11" t="str">
        <f>IF(OR(M581&lt;=0,N581&lt;=0),"SKIPPED - NONPOSITIVE",IF(OR(M581&lt;L581,N581&lt;L581),"SKIPPED - BELOW MIN",IF(OR(M581&gt;J581,N581&gt;K581),"SKIPPED - EXCEEDS BASE",IF(COUNTIFS($M$570:M580,M581,$N$570:N580,N581)&gt;0,"SKIPPED - DUPLICATE","VALID - GENERATED"))))</f>
        <v>VALID - GENERATED</v>
      </c>
      <c r="I581" s="10" t="s">
        <v>802</v>
      </c>
      <c r="J581" s="12">
        <f>'05-ISO Reference'!$B$13</f>
        <v>52</v>
      </c>
      <c r="K581" s="12">
        <f>'05-ISO Reference'!$C$13</f>
        <v>74</v>
      </c>
      <c r="L581" s="12">
        <f>'01-Process Controls'!$G$5</f>
        <v>3</v>
      </c>
      <c r="M581" s="12">
        <f>ROUNDDOWN(J581*'04-Variant Rules'!$D$16,0)</f>
        <v>26</v>
      </c>
      <c r="N581" s="12">
        <f>ROUNDDOWN(K581*'04-Variant Rules'!$E$16,0)</f>
        <v>37</v>
      </c>
      <c r="O581" s="9">
        <v>11</v>
      </c>
    </row>
    <row r="582" spans="1:15" ht="21" customHeight="1">
      <c r="A582" s="9" t="s">
        <v>814</v>
      </c>
      <c r="B582" s="12">
        <f>IF(LEFT(H582,5)="VALID",M582,"")</f>
        <v>17</v>
      </c>
      <c r="C582" s="12">
        <f>IF(LEFT(H582,5)="VALID",N582,"")</f>
        <v>24</v>
      </c>
      <c r="D582" s="10" t="s">
        <v>82</v>
      </c>
      <c r="E582" s="10" t="s">
        <v>801</v>
      </c>
      <c r="F582" s="10" t="s">
        <v>159</v>
      </c>
      <c r="G582" s="10" t="s">
        <v>160</v>
      </c>
      <c r="H582" s="11" t="str">
        <f>IF(OR(M582&lt;=0,N582&lt;=0),"SKIPPED - NONPOSITIVE",IF(OR(M582&lt;L582,N582&lt;L582),"SKIPPED - BELOW MIN",IF(OR(M582&gt;J582,N582&gt;K582),"SKIPPED - EXCEEDS BASE",IF(COUNTIFS($M$570:M581,M582,$N$570:N581,N582)&gt;0,"SKIPPED - DUPLICATE","VALID - GENERATED"))))</f>
        <v>VALID - GENERATED</v>
      </c>
      <c r="I582" s="10" t="s">
        <v>802</v>
      </c>
      <c r="J582" s="12">
        <f>'05-ISO Reference'!$B$13</f>
        <v>52</v>
      </c>
      <c r="K582" s="12">
        <f>'05-ISO Reference'!$C$13</f>
        <v>74</v>
      </c>
      <c r="L582" s="12">
        <f>'01-Process Controls'!$G$5</f>
        <v>3</v>
      </c>
      <c r="M582" s="12">
        <f>ROUNDDOWN(J582*'04-Variant Rules'!$D$17,0)</f>
        <v>17</v>
      </c>
      <c r="N582" s="12">
        <f>ROUNDDOWN(K582*'04-Variant Rules'!$E$17,0)</f>
        <v>24</v>
      </c>
      <c r="O582" s="9">
        <v>12</v>
      </c>
    </row>
    <row r="583" spans="1:15" ht="21" customHeight="1">
      <c r="A583" s="9" t="s">
        <v>815</v>
      </c>
      <c r="B583" s="12">
        <f>IF(LEFT(H583,5)="VALID",M583,"")</f>
        <v>13</v>
      </c>
      <c r="C583" s="12">
        <f>IF(LEFT(H583,5)="VALID",N583,"")</f>
        <v>18</v>
      </c>
      <c r="D583" s="10" t="s">
        <v>82</v>
      </c>
      <c r="E583" s="10" t="s">
        <v>801</v>
      </c>
      <c r="F583" s="10" t="s">
        <v>162</v>
      </c>
      <c r="G583" s="10" t="s">
        <v>163</v>
      </c>
      <c r="H583" s="11" t="str">
        <f>IF(OR(M583&lt;=0,N583&lt;=0),"SKIPPED - NONPOSITIVE",IF(OR(M583&lt;L583,N583&lt;L583),"SKIPPED - BELOW MIN",IF(OR(M583&gt;J583,N583&gt;K583),"SKIPPED - EXCEEDS BASE",IF(COUNTIFS($M$570:M582,M583,$N$570:N582,N583)&gt;0,"SKIPPED - DUPLICATE","VALID - GENERATED"))))</f>
        <v>VALID - GENERATED</v>
      </c>
      <c r="I583" s="10" t="s">
        <v>802</v>
      </c>
      <c r="J583" s="12">
        <f>'05-ISO Reference'!$B$13</f>
        <v>52</v>
      </c>
      <c r="K583" s="12">
        <f>'05-ISO Reference'!$C$13</f>
        <v>74</v>
      </c>
      <c r="L583" s="12">
        <f>'01-Process Controls'!$G$5</f>
        <v>3</v>
      </c>
      <c r="M583" s="12">
        <f>ROUNDDOWN(J583*'04-Variant Rules'!$D$18,0)</f>
        <v>13</v>
      </c>
      <c r="N583" s="12">
        <f>ROUNDDOWN(K583*'04-Variant Rules'!$E$18,0)</f>
        <v>18</v>
      </c>
      <c r="O583" s="9">
        <v>13</v>
      </c>
    </row>
    <row r="584" spans="1:15" ht="21" customHeight="1">
      <c r="A584" s="9" t="s">
        <v>816</v>
      </c>
      <c r="B584" s="12">
        <f>IF(LEFT(H584,5)="VALID",M584,"")</f>
        <v>26</v>
      </c>
      <c r="C584" s="12">
        <f>IF(LEFT(H584,5)="VALID",N584,"")</f>
        <v>24</v>
      </c>
      <c r="D584" s="10" t="s">
        <v>82</v>
      </c>
      <c r="E584" s="10" t="s">
        <v>801</v>
      </c>
      <c r="F584" s="10" t="s">
        <v>165</v>
      </c>
      <c r="G584" s="10" t="s">
        <v>166</v>
      </c>
      <c r="H584" s="11" t="str">
        <f>IF(OR(M584&lt;=0,N584&lt;=0),"SKIPPED - NONPOSITIVE",IF(OR(M584&lt;L584,N584&lt;L584),"SKIPPED - BELOW MIN",IF(OR(M584&gt;J584,N584&gt;K584),"SKIPPED - EXCEEDS BASE",IF(COUNTIFS($M$570:M583,M584,$N$570:N583,N584)&gt;0,"SKIPPED - DUPLICATE","VALID - GENERATED"))))</f>
        <v>VALID - GENERATED</v>
      </c>
      <c r="I584" s="10" t="s">
        <v>802</v>
      </c>
      <c r="J584" s="12">
        <f>'05-ISO Reference'!$B$13</f>
        <v>52</v>
      </c>
      <c r="K584" s="12">
        <f>'05-ISO Reference'!$C$13</f>
        <v>74</v>
      </c>
      <c r="L584" s="12">
        <f>'01-Process Controls'!$G$5</f>
        <v>3</v>
      </c>
      <c r="M584" s="12">
        <f>ROUNDDOWN(J584*'04-Variant Rules'!$D$19,0)</f>
        <v>26</v>
      </c>
      <c r="N584" s="12">
        <f>ROUNDDOWN(K584*'04-Variant Rules'!$E$19,0)</f>
        <v>24</v>
      </c>
      <c r="O584" s="9">
        <v>14</v>
      </c>
    </row>
    <row r="585" spans="1:15" ht="21" customHeight="1">
      <c r="A585" s="9" t="s">
        <v>817</v>
      </c>
      <c r="B585" s="12">
        <f>IF(LEFT(H585,5)="VALID",M585,"")</f>
        <v>17</v>
      </c>
      <c r="C585" s="12">
        <f>IF(LEFT(H585,5)="VALID",N585,"")</f>
        <v>37</v>
      </c>
      <c r="D585" s="10" t="s">
        <v>82</v>
      </c>
      <c r="E585" s="10" t="s">
        <v>801</v>
      </c>
      <c r="F585" s="10" t="s">
        <v>168</v>
      </c>
      <c r="G585" s="10" t="s">
        <v>166</v>
      </c>
      <c r="H585" s="11" t="str">
        <f>IF(OR(M585&lt;=0,N585&lt;=0),"SKIPPED - NONPOSITIVE",IF(OR(M585&lt;L585,N585&lt;L585),"SKIPPED - BELOW MIN",IF(OR(M585&gt;J585,N585&gt;K585),"SKIPPED - EXCEEDS BASE",IF(COUNTIFS($M$570:M584,M585,$N$570:N584,N585)&gt;0,"SKIPPED - DUPLICATE","VALID - GENERATED"))))</f>
        <v>VALID - GENERATED</v>
      </c>
      <c r="I585" s="10" t="s">
        <v>802</v>
      </c>
      <c r="J585" s="12">
        <f>'05-ISO Reference'!$B$13</f>
        <v>52</v>
      </c>
      <c r="K585" s="12">
        <f>'05-ISO Reference'!$C$13</f>
        <v>74</v>
      </c>
      <c r="L585" s="12">
        <f>'01-Process Controls'!$G$5</f>
        <v>3</v>
      </c>
      <c r="M585" s="12">
        <f>ROUNDDOWN(J585*'04-Variant Rules'!$D$20,0)</f>
        <v>17</v>
      </c>
      <c r="N585" s="12">
        <f>ROUNDDOWN(K585*'04-Variant Rules'!$E$20,0)</f>
        <v>37</v>
      </c>
      <c r="O585" s="9">
        <v>15</v>
      </c>
    </row>
    <row r="586" spans="1:15" ht="21" customHeight="1">
      <c r="A586" s="9" t="s">
        <v>818</v>
      </c>
      <c r="B586" s="12">
        <f>IF(LEFT(H586,5)="VALID",M586,"")</f>
        <v>26</v>
      </c>
      <c r="C586" s="12">
        <f>IF(LEFT(H586,5)="VALID",N586,"")</f>
        <v>18</v>
      </c>
      <c r="D586" s="10" t="s">
        <v>82</v>
      </c>
      <c r="E586" s="10" t="s">
        <v>801</v>
      </c>
      <c r="F586" s="10" t="s">
        <v>170</v>
      </c>
      <c r="G586" s="10" t="s">
        <v>166</v>
      </c>
      <c r="H586" s="11" t="str">
        <f>IF(OR(M586&lt;=0,N586&lt;=0),"SKIPPED - NONPOSITIVE",IF(OR(M586&lt;L586,N586&lt;L586),"SKIPPED - BELOW MIN",IF(OR(M586&gt;J586,N586&gt;K586),"SKIPPED - EXCEEDS BASE",IF(COUNTIFS($M$570:M585,M586,$N$570:N585,N586)&gt;0,"SKIPPED - DUPLICATE","VALID - GENERATED"))))</f>
        <v>VALID - GENERATED</v>
      </c>
      <c r="I586" s="10" t="s">
        <v>802</v>
      </c>
      <c r="J586" s="12">
        <f>'05-ISO Reference'!$B$13</f>
        <v>52</v>
      </c>
      <c r="K586" s="12">
        <f>'05-ISO Reference'!$C$13</f>
        <v>74</v>
      </c>
      <c r="L586" s="12">
        <f>'01-Process Controls'!$G$5</f>
        <v>3</v>
      </c>
      <c r="M586" s="12">
        <f>ROUNDDOWN(J586*'04-Variant Rules'!$D$21,0)</f>
        <v>26</v>
      </c>
      <c r="N586" s="12">
        <f>ROUNDDOWN(K586*'04-Variant Rules'!$E$21,0)</f>
        <v>18</v>
      </c>
      <c r="O586" s="9">
        <v>16</v>
      </c>
    </row>
    <row r="587" spans="1:15" ht="21" customHeight="1">
      <c r="A587" s="9" t="s">
        <v>819</v>
      </c>
      <c r="B587" s="12">
        <f>IF(LEFT(H587,5)="VALID",M587,"")</f>
        <v>13</v>
      </c>
      <c r="C587" s="12">
        <f>IF(LEFT(H587,5)="VALID",N587,"")</f>
        <v>37</v>
      </c>
      <c r="D587" s="10" t="s">
        <v>82</v>
      </c>
      <c r="E587" s="10" t="s">
        <v>801</v>
      </c>
      <c r="F587" s="10" t="s">
        <v>172</v>
      </c>
      <c r="G587" s="10" t="s">
        <v>166</v>
      </c>
      <c r="H587" s="11" t="str">
        <f>IF(OR(M587&lt;=0,N587&lt;=0),"SKIPPED - NONPOSITIVE",IF(OR(M587&lt;L587,N587&lt;L587),"SKIPPED - BELOW MIN",IF(OR(M587&gt;J587,N587&gt;K587),"SKIPPED - EXCEEDS BASE",IF(COUNTIFS($M$570:M586,M587,$N$570:N586,N587)&gt;0,"SKIPPED - DUPLICATE","VALID - GENERATED"))))</f>
        <v>VALID - GENERATED</v>
      </c>
      <c r="I587" s="10" t="s">
        <v>802</v>
      </c>
      <c r="J587" s="12">
        <f>'05-ISO Reference'!$B$13</f>
        <v>52</v>
      </c>
      <c r="K587" s="12">
        <f>'05-ISO Reference'!$C$13</f>
        <v>74</v>
      </c>
      <c r="L587" s="12">
        <f>'01-Process Controls'!$G$5</f>
        <v>3</v>
      </c>
      <c r="M587" s="12">
        <f>ROUNDDOWN(J587*'04-Variant Rules'!$D$22,0)</f>
        <v>13</v>
      </c>
      <c r="N587" s="12">
        <f>ROUNDDOWN(K587*'04-Variant Rules'!$E$22,0)</f>
        <v>37</v>
      </c>
      <c r="O587" s="9">
        <v>17</v>
      </c>
    </row>
    <row r="588" spans="1:15" ht="21" customHeight="1">
      <c r="A588" s="9" t="s">
        <v>820</v>
      </c>
      <c r="B588" s="12">
        <f>IF(LEFT(H588,5)="VALID",M588,"")</f>
        <v>34</v>
      </c>
      <c r="C588" s="12">
        <f>IF(LEFT(H588,5)="VALID",N588,"")</f>
        <v>37</v>
      </c>
      <c r="D588" s="10" t="s">
        <v>82</v>
      </c>
      <c r="E588" s="10" t="s">
        <v>801</v>
      </c>
      <c r="F588" s="10" t="s">
        <v>174</v>
      </c>
      <c r="G588" s="10" t="s">
        <v>166</v>
      </c>
      <c r="H588" s="11" t="str">
        <f>IF(OR(M588&lt;=0,N588&lt;=0),"SKIPPED - NONPOSITIVE",IF(OR(M588&lt;L588,N588&lt;L588),"SKIPPED - BELOW MIN",IF(OR(M588&gt;J588,N588&gt;K588),"SKIPPED - EXCEEDS BASE",IF(COUNTIFS($M$570:M587,M588,$N$570:N587,N588)&gt;0,"SKIPPED - DUPLICATE","VALID - GENERATED"))))</f>
        <v>VALID - GENERATED</v>
      </c>
      <c r="I588" s="10" t="s">
        <v>802</v>
      </c>
      <c r="J588" s="12">
        <f>'05-ISO Reference'!$B$13</f>
        <v>52</v>
      </c>
      <c r="K588" s="12">
        <f>'05-ISO Reference'!$C$13</f>
        <v>74</v>
      </c>
      <c r="L588" s="12">
        <f>'01-Process Controls'!$G$5</f>
        <v>3</v>
      </c>
      <c r="M588" s="12">
        <f>ROUNDDOWN(J588*'04-Variant Rules'!$D$23,0)</f>
        <v>34</v>
      </c>
      <c r="N588" s="12">
        <f>ROUNDDOWN(K588*'04-Variant Rules'!$E$23,0)</f>
        <v>37</v>
      </c>
      <c r="O588" s="9">
        <v>18</v>
      </c>
    </row>
    <row r="589" spans="1:15" ht="21" customHeight="1">
      <c r="A589" s="9" t="s">
        <v>821</v>
      </c>
      <c r="B589" s="12">
        <f>IF(LEFT(H589,5)="VALID",M589,"")</f>
        <v>26</v>
      </c>
      <c r="C589" s="12">
        <f>IF(LEFT(H589,5)="VALID",N589,"")</f>
        <v>49</v>
      </c>
      <c r="D589" s="10" t="s">
        <v>82</v>
      </c>
      <c r="E589" s="10" t="s">
        <v>801</v>
      </c>
      <c r="F589" s="10" t="s">
        <v>176</v>
      </c>
      <c r="G589" s="10" t="s">
        <v>166</v>
      </c>
      <c r="H589" s="11" t="str">
        <f>IF(OR(M589&lt;=0,N589&lt;=0),"SKIPPED - NONPOSITIVE",IF(OR(M589&lt;L589,N589&lt;L589),"SKIPPED - BELOW MIN",IF(OR(M589&gt;J589,N589&gt;K589),"SKIPPED - EXCEEDS BASE",IF(COUNTIFS($M$570:M588,M589,$N$570:N588,N589)&gt;0,"SKIPPED - DUPLICATE","VALID - GENERATED"))))</f>
        <v>VALID - GENERATED</v>
      </c>
      <c r="I589" s="10" t="s">
        <v>802</v>
      </c>
      <c r="J589" s="12">
        <f>'05-ISO Reference'!$B$13</f>
        <v>52</v>
      </c>
      <c r="K589" s="12">
        <f>'05-ISO Reference'!$C$13</f>
        <v>74</v>
      </c>
      <c r="L589" s="12">
        <f>'01-Process Controls'!$G$5</f>
        <v>3</v>
      </c>
      <c r="M589" s="12">
        <f>ROUNDDOWN(J589*'04-Variant Rules'!$D$24,0)</f>
        <v>26</v>
      </c>
      <c r="N589" s="12">
        <f>ROUNDDOWN(K589*'04-Variant Rules'!$E$24,0)</f>
        <v>49</v>
      </c>
      <c r="O589" s="9">
        <v>19</v>
      </c>
    </row>
    <row r="590" spans="1:15" ht="21" customHeight="1">
      <c r="A590" s="9" t="s">
        <v>822</v>
      </c>
      <c r="B590" s="12">
        <f>IF(LEFT(H590,5)="VALID",M590,"")</f>
        <v>39</v>
      </c>
      <c r="C590" s="12">
        <f>IF(LEFT(H590,5)="VALID",N590,"")</f>
        <v>37</v>
      </c>
      <c r="D590" s="10" t="s">
        <v>82</v>
      </c>
      <c r="E590" s="10" t="s">
        <v>801</v>
      </c>
      <c r="F590" s="10" t="s">
        <v>178</v>
      </c>
      <c r="G590" s="10" t="s">
        <v>166</v>
      </c>
      <c r="H590" s="11" t="str">
        <f>IF(OR(M590&lt;=0,N590&lt;=0),"SKIPPED - NONPOSITIVE",IF(OR(M590&lt;L590,N590&lt;L590),"SKIPPED - BELOW MIN",IF(OR(M590&gt;J590,N590&gt;K590),"SKIPPED - EXCEEDS BASE",IF(COUNTIFS($M$570:M589,M590,$N$570:N589,N590)&gt;0,"SKIPPED - DUPLICATE","VALID - GENERATED"))))</f>
        <v>VALID - GENERATED</v>
      </c>
      <c r="I590" s="10" t="s">
        <v>802</v>
      </c>
      <c r="J590" s="12">
        <f>'05-ISO Reference'!$B$13</f>
        <v>52</v>
      </c>
      <c r="K590" s="12">
        <f>'05-ISO Reference'!$C$13</f>
        <v>74</v>
      </c>
      <c r="L590" s="12">
        <f>'01-Process Controls'!$G$5</f>
        <v>3</v>
      </c>
      <c r="M590" s="12">
        <f>ROUNDDOWN(J590*'04-Variant Rules'!$D$25,0)</f>
        <v>39</v>
      </c>
      <c r="N590" s="12">
        <f>ROUNDDOWN(K590*'04-Variant Rules'!$E$25,0)</f>
        <v>37</v>
      </c>
      <c r="O590" s="9">
        <v>20</v>
      </c>
    </row>
    <row r="591" spans="1:15" ht="21" customHeight="1">
      <c r="A591" s="9" t="s">
        <v>823</v>
      </c>
      <c r="B591" s="12">
        <f>IF(LEFT(H591,5)="VALID",M591,"")</f>
        <v>26</v>
      </c>
      <c r="C591" s="12">
        <f>IF(LEFT(H591,5)="VALID",N591,"")</f>
        <v>55</v>
      </c>
      <c r="D591" s="10" t="s">
        <v>82</v>
      </c>
      <c r="E591" s="10" t="s">
        <v>801</v>
      </c>
      <c r="F591" s="10" t="s">
        <v>180</v>
      </c>
      <c r="G591" s="10" t="s">
        <v>166</v>
      </c>
      <c r="H591" s="11" t="str">
        <f>IF(OR(M591&lt;=0,N591&lt;=0),"SKIPPED - NONPOSITIVE",IF(OR(M591&lt;L591,N591&lt;L591),"SKIPPED - BELOW MIN",IF(OR(M591&gt;J591,N591&gt;K591),"SKIPPED - EXCEEDS BASE",IF(COUNTIFS($M$570:M590,M591,$N$570:N590,N591)&gt;0,"SKIPPED - DUPLICATE","VALID - GENERATED"))))</f>
        <v>VALID - GENERATED</v>
      </c>
      <c r="I591" s="10" t="s">
        <v>802</v>
      </c>
      <c r="J591" s="12">
        <f>'05-ISO Reference'!$B$13</f>
        <v>52</v>
      </c>
      <c r="K591" s="12">
        <f>'05-ISO Reference'!$C$13</f>
        <v>74</v>
      </c>
      <c r="L591" s="12">
        <f>'01-Process Controls'!$G$5</f>
        <v>3</v>
      </c>
      <c r="M591" s="12">
        <f>ROUNDDOWN(J591*'04-Variant Rules'!$D$26,0)</f>
        <v>26</v>
      </c>
      <c r="N591" s="12">
        <f>ROUNDDOWN(K591*'04-Variant Rules'!$E$26,0)</f>
        <v>55</v>
      </c>
      <c r="O591" s="9">
        <v>21</v>
      </c>
    </row>
    <row r="592" spans="1:15" ht="21" customHeight="1">
      <c r="A592" s="9" t="s">
        <v>824</v>
      </c>
      <c r="B592" s="12">
        <f>IF(LEFT(H592,5)="VALID",M592,"")</f>
        <v>49</v>
      </c>
      <c r="C592" s="12">
        <f>IF(LEFT(H592,5)="VALID",N592,"")</f>
        <v>70</v>
      </c>
      <c r="D592" s="10" t="s">
        <v>82</v>
      </c>
      <c r="E592" s="10" t="s">
        <v>801</v>
      </c>
      <c r="F592" s="10" t="s">
        <v>182</v>
      </c>
      <c r="G592" s="10" t="s">
        <v>183</v>
      </c>
      <c r="H592" s="11" t="str">
        <f>IF(OR(M592&lt;=0,N592&lt;=0),"SKIPPED - NONPOSITIVE",IF(OR(M592&lt;L592,N592&lt;L592),"SKIPPED - BELOW MIN",IF(OR(M592&gt;J592,N592&gt;K592),"SKIPPED - EXCEEDS BASE",IF(COUNTIFS($M$570:M591,M592,$N$570:N591,N592)&gt;0,"SKIPPED - DUPLICATE","VALID - GENERATED"))))</f>
        <v>VALID - GENERATED</v>
      </c>
      <c r="I592" s="10" t="s">
        <v>802</v>
      </c>
      <c r="J592" s="12">
        <f>'05-ISO Reference'!$B$13</f>
        <v>52</v>
      </c>
      <c r="K592" s="12">
        <f>'05-ISO Reference'!$C$13</f>
        <v>74</v>
      </c>
      <c r="L592" s="12">
        <f>'01-Process Controls'!$G$5</f>
        <v>3</v>
      </c>
      <c r="M592" s="12">
        <f>ROUNDDOWN(J592*'04-Variant Rules'!$D$27,0)</f>
        <v>49</v>
      </c>
      <c r="N592" s="12">
        <f>ROUNDDOWN(K592*'04-Variant Rules'!$E$27,0)</f>
        <v>70</v>
      </c>
      <c r="O592" s="9">
        <v>22</v>
      </c>
    </row>
    <row r="593" spans="1:15" ht="21" customHeight="1">
      <c r="A593" s="9" t="s">
        <v>825</v>
      </c>
      <c r="B593" s="12">
        <f>IF(LEFT(H593,5)="VALID",M593,"")</f>
        <v>46</v>
      </c>
      <c r="C593" s="12">
        <f>IF(LEFT(H593,5)="VALID",N593,"")</f>
        <v>66</v>
      </c>
      <c r="D593" s="10" t="s">
        <v>82</v>
      </c>
      <c r="E593" s="10" t="s">
        <v>801</v>
      </c>
      <c r="F593" s="10" t="s">
        <v>185</v>
      </c>
      <c r="G593" s="10" t="s">
        <v>186</v>
      </c>
      <c r="H593" s="11" t="str">
        <f>IF(OR(M593&lt;=0,N593&lt;=0),"SKIPPED - NONPOSITIVE",IF(OR(M593&lt;L593,N593&lt;L593),"SKIPPED - BELOW MIN",IF(OR(M593&gt;J593,N593&gt;K593),"SKIPPED - EXCEEDS BASE",IF(COUNTIFS($M$570:M592,M593,$N$570:N592,N593)&gt;0,"SKIPPED - DUPLICATE","VALID - GENERATED"))))</f>
        <v>VALID - GENERATED</v>
      </c>
      <c r="I593" s="10" t="s">
        <v>802</v>
      </c>
      <c r="J593" s="12">
        <f>'05-ISO Reference'!$B$13</f>
        <v>52</v>
      </c>
      <c r="K593" s="12">
        <f>'05-ISO Reference'!$C$13</f>
        <v>74</v>
      </c>
      <c r="L593" s="12">
        <f>'01-Process Controls'!$G$5</f>
        <v>3</v>
      </c>
      <c r="M593" s="12">
        <f>ROUNDDOWN(J593*'04-Variant Rules'!$D$28,0)</f>
        <v>46</v>
      </c>
      <c r="N593" s="12">
        <f>ROUNDDOWN(K593*'04-Variant Rules'!$E$28,0)</f>
        <v>66</v>
      </c>
      <c r="O593" s="9">
        <v>23</v>
      </c>
    </row>
    <row r="594" spans="1:15" ht="21" customHeight="1">
      <c r="A594" s="9" t="s">
        <v>826</v>
      </c>
      <c r="B594" s="12">
        <f>IF(LEFT(H594,5)="VALID",M594,"")</f>
        <v>44</v>
      </c>
      <c r="C594" s="12">
        <f>IF(LEFT(H594,5)="VALID",N594,"")</f>
        <v>62</v>
      </c>
      <c r="D594" s="10" t="s">
        <v>82</v>
      </c>
      <c r="E594" s="10" t="s">
        <v>801</v>
      </c>
      <c r="F594" s="10" t="s">
        <v>188</v>
      </c>
      <c r="G594" s="10" t="s">
        <v>186</v>
      </c>
      <c r="H594" s="11" t="str">
        <f>IF(OR(M594&lt;=0,N594&lt;=0),"SKIPPED - NONPOSITIVE",IF(OR(M594&lt;L594,N594&lt;L594),"SKIPPED - BELOW MIN",IF(OR(M594&gt;J594,N594&gt;K594),"SKIPPED - EXCEEDS BASE",IF(COUNTIFS($M$570:M593,M594,$N$570:N593,N594)&gt;0,"SKIPPED - DUPLICATE","VALID - GENERATED"))))</f>
        <v>VALID - GENERATED</v>
      </c>
      <c r="I594" s="10" t="s">
        <v>802</v>
      </c>
      <c r="J594" s="12">
        <f>'05-ISO Reference'!$B$13</f>
        <v>52</v>
      </c>
      <c r="K594" s="12">
        <f>'05-ISO Reference'!$C$13</f>
        <v>74</v>
      </c>
      <c r="L594" s="12">
        <f>'01-Process Controls'!$G$5</f>
        <v>3</v>
      </c>
      <c r="M594" s="12">
        <f>ROUNDDOWN(J594*'04-Variant Rules'!$D$29,0)</f>
        <v>44</v>
      </c>
      <c r="N594" s="12">
        <f>ROUNDDOWN(K594*'04-Variant Rules'!$E$29,0)</f>
        <v>62</v>
      </c>
      <c r="O594" s="9">
        <v>24</v>
      </c>
    </row>
    <row r="595" spans="1:15" ht="21" customHeight="1">
      <c r="A595" s="9" t="s">
        <v>827</v>
      </c>
      <c r="B595" s="12">
        <f>IF(LEFT(H595,5)="VALID",M595,"")</f>
        <v>41</v>
      </c>
      <c r="C595" s="12">
        <f>IF(LEFT(H595,5)="VALID",N595,"")</f>
        <v>59</v>
      </c>
      <c r="D595" s="10" t="s">
        <v>82</v>
      </c>
      <c r="E595" s="10" t="s">
        <v>801</v>
      </c>
      <c r="F595" s="10" t="s">
        <v>190</v>
      </c>
      <c r="G595" s="10" t="s">
        <v>186</v>
      </c>
      <c r="H595" s="11" t="str">
        <f>IF(OR(M595&lt;=0,N595&lt;=0),"SKIPPED - NONPOSITIVE",IF(OR(M595&lt;L595,N595&lt;L595),"SKIPPED - BELOW MIN",IF(OR(M595&gt;J595,N595&gt;K595),"SKIPPED - EXCEEDS BASE",IF(COUNTIFS($M$570:M594,M595,$N$570:N594,N595)&gt;0,"SKIPPED - DUPLICATE","VALID - GENERATED"))))</f>
        <v>VALID - GENERATED</v>
      </c>
      <c r="I595" s="10" t="s">
        <v>802</v>
      </c>
      <c r="J595" s="12">
        <f>'05-ISO Reference'!$B$13</f>
        <v>52</v>
      </c>
      <c r="K595" s="12">
        <f>'05-ISO Reference'!$C$13</f>
        <v>74</v>
      </c>
      <c r="L595" s="12">
        <f>'01-Process Controls'!$G$5</f>
        <v>3</v>
      </c>
      <c r="M595" s="12">
        <f>ROUNDDOWN(J595*'04-Variant Rules'!$D$30,0)</f>
        <v>41</v>
      </c>
      <c r="N595" s="12">
        <f>ROUNDDOWN(K595*'04-Variant Rules'!$E$30,0)</f>
        <v>59</v>
      </c>
      <c r="O595" s="9">
        <v>25</v>
      </c>
    </row>
    <row r="596" spans="1:15" ht="21" customHeight="1">
      <c r="A596" s="9" t="s">
        <v>828</v>
      </c>
      <c r="B596" s="12">
        <f>IF(LEFT(H596,5)="VALID",M596,"")</f>
        <v>39</v>
      </c>
      <c r="C596" s="12">
        <f>IF(LEFT(H596,5)="VALID",N596,"")</f>
        <v>55</v>
      </c>
      <c r="D596" s="10" t="s">
        <v>82</v>
      </c>
      <c r="E596" s="10" t="s">
        <v>801</v>
      </c>
      <c r="F596" s="10" t="s">
        <v>192</v>
      </c>
      <c r="G596" s="10" t="s">
        <v>186</v>
      </c>
      <c r="H596" s="11" t="str">
        <f>IF(OR(M596&lt;=0,N596&lt;=0),"SKIPPED - NONPOSITIVE",IF(OR(M596&lt;L596,N596&lt;L596),"SKIPPED - BELOW MIN",IF(OR(M596&gt;J596,N596&gt;K596),"SKIPPED - EXCEEDS BASE",IF(COUNTIFS($M$570:M595,M596,$N$570:N595,N596)&gt;0,"SKIPPED - DUPLICATE","VALID - GENERATED"))))</f>
        <v>VALID - GENERATED</v>
      </c>
      <c r="I596" s="10" t="s">
        <v>802</v>
      </c>
      <c r="J596" s="12">
        <f>'05-ISO Reference'!$B$13</f>
        <v>52</v>
      </c>
      <c r="K596" s="12">
        <f>'05-ISO Reference'!$C$13</f>
        <v>74</v>
      </c>
      <c r="L596" s="12">
        <f>'01-Process Controls'!$G$5</f>
        <v>3</v>
      </c>
      <c r="M596" s="12">
        <f>ROUNDDOWN(J596*'04-Variant Rules'!$D$31,0)</f>
        <v>39</v>
      </c>
      <c r="N596" s="12">
        <f>ROUNDDOWN(K596*'04-Variant Rules'!$E$31,0)</f>
        <v>55</v>
      </c>
      <c r="O596" s="9">
        <v>26</v>
      </c>
    </row>
    <row r="597" spans="1:15" ht="21" customHeight="1">
      <c r="A597" s="9" t="s">
        <v>829</v>
      </c>
      <c r="B597" s="12">
        <f>IF(LEFT(H597,5)="VALID",M597,"")</f>
        <v>36</v>
      </c>
      <c r="C597" s="12">
        <f>IF(LEFT(H597,5)="VALID",N597,"")</f>
        <v>51</v>
      </c>
      <c r="D597" s="10" t="s">
        <v>82</v>
      </c>
      <c r="E597" s="10" t="s">
        <v>801</v>
      </c>
      <c r="F597" s="10" t="s">
        <v>194</v>
      </c>
      <c r="G597" s="10" t="s">
        <v>186</v>
      </c>
      <c r="H597" s="11" t="str">
        <f>IF(OR(M597&lt;=0,N597&lt;=0),"SKIPPED - NONPOSITIVE",IF(OR(M597&lt;L597,N597&lt;L597),"SKIPPED - BELOW MIN",IF(OR(M597&gt;J597,N597&gt;K597),"SKIPPED - EXCEEDS BASE",IF(COUNTIFS($M$570:M596,M597,$N$570:N596,N597)&gt;0,"SKIPPED - DUPLICATE","VALID - GENERATED"))))</f>
        <v>VALID - GENERATED</v>
      </c>
      <c r="I597" s="10" t="s">
        <v>802</v>
      </c>
      <c r="J597" s="12">
        <f>'05-ISO Reference'!$B$13</f>
        <v>52</v>
      </c>
      <c r="K597" s="12">
        <f>'05-ISO Reference'!$C$13</f>
        <v>74</v>
      </c>
      <c r="L597" s="12">
        <f>'01-Process Controls'!$G$5</f>
        <v>3</v>
      </c>
      <c r="M597" s="12">
        <f>ROUNDDOWN(J597*'04-Variant Rules'!$D$32,0)</f>
        <v>36</v>
      </c>
      <c r="N597" s="12">
        <f>ROUNDDOWN(K597*'04-Variant Rules'!$E$32,0)</f>
        <v>51</v>
      </c>
      <c r="O597" s="9">
        <v>27</v>
      </c>
    </row>
    <row r="598" spans="1:15" ht="21" customHeight="1">
      <c r="A598" s="9" t="s">
        <v>830</v>
      </c>
      <c r="B598" s="12">
        <f>IF(LEFT(H598,5)="VALID",M598,"")</f>
        <v>34</v>
      </c>
      <c r="C598" s="12">
        <f>IF(LEFT(H598,5)="VALID",N598,"")</f>
        <v>49</v>
      </c>
      <c r="D598" s="10" t="s">
        <v>82</v>
      </c>
      <c r="E598" s="10" t="s">
        <v>801</v>
      </c>
      <c r="F598" s="10" t="s">
        <v>196</v>
      </c>
      <c r="G598" s="10" t="s">
        <v>186</v>
      </c>
      <c r="H598" s="11" t="str">
        <f>IF(OR(M598&lt;=0,N598&lt;=0),"SKIPPED - NONPOSITIVE",IF(OR(M598&lt;L598,N598&lt;L598),"SKIPPED - BELOW MIN",IF(OR(M598&gt;J598,N598&gt;K598),"SKIPPED - EXCEEDS BASE",IF(COUNTIFS($M$570:M597,M598,$N$570:N597,N598)&gt;0,"SKIPPED - DUPLICATE","VALID - GENERATED"))))</f>
        <v>VALID - GENERATED</v>
      </c>
      <c r="I598" s="10" t="s">
        <v>802</v>
      </c>
      <c r="J598" s="12">
        <f>'05-ISO Reference'!$B$13</f>
        <v>52</v>
      </c>
      <c r="K598" s="12">
        <f>'05-ISO Reference'!$C$13</f>
        <v>74</v>
      </c>
      <c r="L598" s="12">
        <f>'01-Process Controls'!$G$5</f>
        <v>3</v>
      </c>
      <c r="M598" s="12">
        <f>ROUNDDOWN(J598*'04-Variant Rules'!$D$33,0)</f>
        <v>34</v>
      </c>
      <c r="N598" s="12">
        <f>ROUNDDOWN(K598*'04-Variant Rules'!$E$33,0)</f>
        <v>49</v>
      </c>
      <c r="O598" s="9">
        <v>28</v>
      </c>
    </row>
    <row r="599" spans="1:15" ht="21" customHeight="1">
      <c r="A599" s="9" t="s">
        <v>831</v>
      </c>
      <c r="B599" s="12">
        <f>IF(LEFT(H599,5)="VALID",M599,"")</f>
        <v>31</v>
      </c>
      <c r="C599" s="12">
        <f>IF(LEFT(H599,5)="VALID",N599,"")</f>
        <v>44</v>
      </c>
      <c r="D599" s="10" t="s">
        <v>82</v>
      </c>
      <c r="E599" s="10" t="s">
        <v>801</v>
      </c>
      <c r="F599" s="10" t="s">
        <v>198</v>
      </c>
      <c r="G599" s="10" t="s">
        <v>186</v>
      </c>
      <c r="H599" s="11" t="str">
        <f>IF(OR(M599&lt;=0,N599&lt;=0),"SKIPPED - NONPOSITIVE",IF(OR(M599&lt;L599,N599&lt;L599),"SKIPPED - BELOW MIN",IF(OR(M599&gt;J599,N599&gt;K599),"SKIPPED - EXCEEDS BASE",IF(COUNTIFS($M$570:M598,M599,$N$570:N598,N599)&gt;0,"SKIPPED - DUPLICATE","VALID - GENERATED"))))</f>
        <v>VALID - GENERATED</v>
      </c>
      <c r="I599" s="10" t="s">
        <v>802</v>
      </c>
      <c r="J599" s="12">
        <f>'05-ISO Reference'!$B$13</f>
        <v>52</v>
      </c>
      <c r="K599" s="12">
        <f>'05-ISO Reference'!$C$13</f>
        <v>74</v>
      </c>
      <c r="L599" s="12">
        <f>'01-Process Controls'!$G$5</f>
        <v>3</v>
      </c>
      <c r="M599" s="12">
        <f>ROUNDDOWN(J599*'04-Variant Rules'!$D$34,0)</f>
        <v>31</v>
      </c>
      <c r="N599" s="12">
        <f>ROUNDDOWN(K599*'04-Variant Rules'!$E$34,0)</f>
        <v>44</v>
      </c>
      <c r="O599" s="9">
        <v>29</v>
      </c>
    </row>
    <row r="600" spans="1:15" ht="21" customHeight="1">
      <c r="A600" s="9" t="s">
        <v>832</v>
      </c>
      <c r="B600" s="12">
        <f>IF(LEFT(H600,5)="VALID",M600,"")</f>
        <v>28</v>
      </c>
      <c r="C600" s="12">
        <f>IF(LEFT(H600,5)="VALID",N600,"")</f>
        <v>40</v>
      </c>
      <c r="D600" s="10" t="s">
        <v>82</v>
      </c>
      <c r="E600" s="10" t="s">
        <v>801</v>
      </c>
      <c r="F600" s="10" t="s">
        <v>200</v>
      </c>
      <c r="G600" s="10" t="s">
        <v>186</v>
      </c>
      <c r="H600" s="11" t="str">
        <f>IF(OR(M600&lt;=0,N600&lt;=0),"SKIPPED - NONPOSITIVE",IF(OR(M600&lt;L600,N600&lt;L600),"SKIPPED - BELOW MIN",IF(OR(M600&gt;J600,N600&gt;K600),"SKIPPED - EXCEEDS BASE",IF(COUNTIFS($M$570:M599,M600,$N$570:N599,N600)&gt;0,"SKIPPED - DUPLICATE","VALID - GENERATED"))))</f>
        <v>VALID - GENERATED</v>
      </c>
      <c r="I600" s="10" t="s">
        <v>802</v>
      </c>
      <c r="J600" s="12">
        <f>'05-ISO Reference'!$B$13</f>
        <v>52</v>
      </c>
      <c r="K600" s="12">
        <f>'05-ISO Reference'!$C$13</f>
        <v>74</v>
      </c>
      <c r="L600" s="12">
        <f>'01-Process Controls'!$G$5</f>
        <v>3</v>
      </c>
      <c r="M600" s="12">
        <f>ROUNDDOWN(J600*'04-Variant Rules'!$D$35,0)</f>
        <v>28</v>
      </c>
      <c r="N600" s="12">
        <f>ROUNDDOWN(K600*'04-Variant Rules'!$E$35,0)</f>
        <v>40</v>
      </c>
      <c r="O600" s="9">
        <v>30</v>
      </c>
    </row>
    <row r="601" spans="1:15" ht="21" customHeight="1">
      <c r="A601" s="9" t="s">
        <v>833</v>
      </c>
      <c r="B601" s="12">
        <f>IF(LEFT(H601,5)="VALID",M601,"")</f>
        <v>23</v>
      </c>
      <c r="C601" s="12">
        <f>IF(LEFT(H601,5)="VALID",N601,"")</f>
        <v>33</v>
      </c>
      <c r="D601" s="10" t="s">
        <v>82</v>
      </c>
      <c r="E601" s="10" t="s">
        <v>801</v>
      </c>
      <c r="F601" s="10" t="s">
        <v>202</v>
      </c>
      <c r="G601" s="10" t="s">
        <v>186</v>
      </c>
      <c r="H601" s="11" t="str">
        <f>IF(OR(M601&lt;=0,N601&lt;=0),"SKIPPED - NONPOSITIVE",IF(OR(M601&lt;L601,N601&lt;L601),"SKIPPED - BELOW MIN",IF(OR(M601&gt;J601,N601&gt;K601),"SKIPPED - EXCEEDS BASE",IF(COUNTIFS($M$570:M600,M601,$N$570:N600,N601)&gt;0,"SKIPPED - DUPLICATE","VALID - GENERATED"))))</f>
        <v>VALID - GENERATED</v>
      </c>
      <c r="I601" s="10" t="s">
        <v>802</v>
      </c>
      <c r="J601" s="12">
        <f>'05-ISO Reference'!$B$13</f>
        <v>52</v>
      </c>
      <c r="K601" s="12">
        <f>'05-ISO Reference'!$C$13</f>
        <v>74</v>
      </c>
      <c r="L601" s="12">
        <f>'01-Process Controls'!$G$5</f>
        <v>3</v>
      </c>
      <c r="M601" s="12">
        <f>ROUNDDOWN(J601*'04-Variant Rules'!$D$36,0)</f>
        <v>23</v>
      </c>
      <c r="N601" s="12">
        <f>ROUNDDOWN(K601*'04-Variant Rules'!$E$36,0)</f>
        <v>33</v>
      </c>
      <c r="O601" s="9">
        <v>31</v>
      </c>
    </row>
    <row r="602" spans="1:15" ht="21" customHeight="1">
      <c r="A602" s="9" t="s">
        <v>834</v>
      </c>
      <c r="B602" s="12">
        <f>IF(LEFT(H602,5)="VALID",M602,"")</f>
        <v>20</v>
      </c>
      <c r="C602" s="12">
        <f>IF(LEFT(H602,5)="VALID",N602,"")</f>
        <v>29</v>
      </c>
      <c r="D602" s="10" t="s">
        <v>82</v>
      </c>
      <c r="E602" s="10" t="s">
        <v>801</v>
      </c>
      <c r="F602" s="10" t="s">
        <v>204</v>
      </c>
      <c r="G602" s="10" t="s">
        <v>186</v>
      </c>
      <c r="H602" s="11" t="str">
        <f>IF(OR(M602&lt;=0,N602&lt;=0),"SKIPPED - NONPOSITIVE",IF(OR(M602&lt;L602,N602&lt;L602),"SKIPPED - BELOW MIN",IF(OR(M602&gt;J602,N602&gt;K602),"SKIPPED - EXCEEDS BASE",IF(COUNTIFS($M$570:M601,M602,$N$570:N601,N602)&gt;0,"SKIPPED - DUPLICATE","VALID - GENERATED"))))</f>
        <v>VALID - GENERATED</v>
      </c>
      <c r="I602" s="10" t="s">
        <v>802</v>
      </c>
      <c r="J602" s="12">
        <f>'05-ISO Reference'!$B$13</f>
        <v>52</v>
      </c>
      <c r="K602" s="12">
        <f>'05-ISO Reference'!$C$13</f>
        <v>74</v>
      </c>
      <c r="L602" s="12">
        <f>'01-Process Controls'!$G$5</f>
        <v>3</v>
      </c>
      <c r="M602" s="12">
        <f>ROUNDDOWN(J602*'04-Variant Rules'!$D$37,0)</f>
        <v>20</v>
      </c>
      <c r="N602" s="12">
        <f>ROUNDDOWN(K602*'04-Variant Rules'!$E$37,0)</f>
        <v>29</v>
      </c>
      <c r="O602" s="9">
        <v>32</v>
      </c>
    </row>
    <row r="603" spans="1:15" ht="21" customHeight="1">
      <c r="A603" s="9" t="s">
        <v>835</v>
      </c>
      <c r="B603" s="12">
        <f>IF(LEFT(H603,5)="VALID",M603,"")</f>
        <v>18</v>
      </c>
      <c r="C603" s="12">
        <f>IF(LEFT(H603,5)="VALID",N603,"")</f>
        <v>25</v>
      </c>
      <c r="D603" s="10" t="s">
        <v>82</v>
      </c>
      <c r="E603" s="10" t="s">
        <v>801</v>
      </c>
      <c r="F603" s="10" t="s">
        <v>206</v>
      </c>
      <c r="G603" s="10" t="s">
        <v>186</v>
      </c>
      <c r="H603" s="11" t="str">
        <f>IF(OR(M603&lt;=0,N603&lt;=0),"SKIPPED - NONPOSITIVE",IF(OR(M603&lt;L603,N603&lt;L603),"SKIPPED - BELOW MIN",IF(OR(M603&gt;J603,N603&gt;K603),"SKIPPED - EXCEEDS BASE",IF(COUNTIFS($M$570:M602,M603,$N$570:N602,N603)&gt;0,"SKIPPED - DUPLICATE","VALID - GENERATED"))))</f>
        <v>VALID - GENERATED</v>
      </c>
      <c r="I603" s="10" t="s">
        <v>802</v>
      </c>
      <c r="J603" s="12">
        <f>'05-ISO Reference'!$B$13</f>
        <v>52</v>
      </c>
      <c r="K603" s="12">
        <f>'05-ISO Reference'!$C$13</f>
        <v>74</v>
      </c>
      <c r="L603" s="12">
        <f>'01-Process Controls'!$G$5</f>
        <v>3</v>
      </c>
      <c r="M603" s="12">
        <f>ROUNDDOWN(J603*'04-Variant Rules'!$D$38,0)</f>
        <v>18</v>
      </c>
      <c r="N603" s="12">
        <f>ROUNDDOWN(K603*'04-Variant Rules'!$E$38,0)</f>
        <v>25</v>
      </c>
      <c r="O603" s="9">
        <v>33</v>
      </c>
    </row>
    <row r="604" spans="1:15" ht="21" customHeight="1">
      <c r="A604" s="9" t="s">
        <v>836</v>
      </c>
      <c r="B604" s="12">
        <f>IF(LEFT(H604,5)="VALID",M604,"")</f>
        <v>15</v>
      </c>
      <c r="C604" s="12">
        <f>IF(LEFT(H604,5)="VALID",N604,"")</f>
        <v>22</v>
      </c>
      <c r="D604" s="10" t="s">
        <v>82</v>
      </c>
      <c r="E604" s="10" t="s">
        <v>801</v>
      </c>
      <c r="F604" s="10" t="s">
        <v>208</v>
      </c>
      <c r="G604" s="10" t="s">
        <v>186</v>
      </c>
      <c r="H604" s="11" t="str">
        <f>IF(OR(M604&lt;=0,N604&lt;=0),"SKIPPED - NONPOSITIVE",IF(OR(M604&lt;L604,N604&lt;L604),"SKIPPED - BELOW MIN",IF(OR(M604&gt;J604,N604&gt;K604),"SKIPPED - EXCEEDS BASE",IF(COUNTIFS($M$570:M603,M604,$N$570:N603,N604)&gt;0,"SKIPPED - DUPLICATE","VALID - GENERATED"))))</f>
        <v>VALID - GENERATED</v>
      </c>
      <c r="I604" s="10" t="s">
        <v>802</v>
      </c>
      <c r="J604" s="12">
        <f>'05-ISO Reference'!$B$13</f>
        <v>52</v>
      </c>
      <c r="K604" s="12">
        <f>'05-ISO Reference'!$C$13</f>
        <v>74</v>
      </c>
      <c r="L604" s="12">
        <f>'01-Process Controls'!$G$5</f>
        <v>3</v>
      </c>
      <c r="M604" s="12">
        <f>ROUNDDOWN(J604*'04-Variant Rules'!$D$39,0)</f>
        <v>15</v>
      </c>
      <c r="N604" s="12">
        <f>ROUNDDOWN(K604*'04-Variant Rules'!$E$39,0)</f>
        <v>22</v>
      </c>
      <c r="O604" s="9">
        <v>34</v>
      </c>
    </row>
    <row r="605" spans="1:15" ht="21" customHeight="1">
      <c r="A605" s="9" t="s">
        <v>837</v>
      </c>
      <c r="B605" s="12">
        <f>IF(LEFT(H605,5)="VALID",M605,"")</f>
        <v>10</v>
      </c>
      <c r="C605" s="12">
        <f>IF(LEFT(H605,5)="VALID",N605,"")</f>
        <v>14</v>
      </c>
      <c r="D605" s="10" t="s">
        <v>82</v>
      </c>
      <c r="E605" s="10" t="s">
        <v>801</v>
      </c>
      <c r="F605" s="10" t="s">
        <v>210</v>
      </c>
      <c r="G605" s="10" t="s">
        <v>186</v>
      </c>
      <c r="H605" s="11" t="str">
        <f>IF(OR(M605&lt;=0,N605&lt;=0),"SKIPPED - NONPOSITIVE",IF(OR(M605&lt;L605,N605&lt;L605),"SKIPPED - BELOW MIN",IF(OR(M605&gt;J605,N605&gt;K605),"SKIPPED - EXCEEDS BASE",IF(COUNTIFS($M$570:M604,M605,$N$570:N604,N605)&gt;0,"SKIPPED - DUPLICATE","VALID - GENERATED"))))</f>
        <v>VALID - GENERATED</v>
      </c>
      <c r="I605" s="10" t="s">
        <v>802</v>
      </c>
      <c r="J605" s="12">
        <f>'05-ISO Reference'!$B$13</f>
        <v>52</v>
      </c>
      <c r="K605" s="12">
        <f>'05-ISO Reference'!$C$13</f>
        <v>74</v>
      </c>
      <c r="L605" s="12">
        <f>'01-Process Controls'!$G$5</f>
        <v>3</v>
      </c>
      <c r="M605" s="12">
        <f>ROUNDDOWN(J605*'04-Variant Rules'!$D$40,0)</f>
        <v>10</v>
      </c>
      <c r="N605" s="12">
        <f>ROUNDDOWN(K605*'04-Variant Rules'!$E$40,0)</f>
        <v>14</v>
      </c>
      <c r="O605" s="9">
        <v>35</v>
      </c>
    </row>
    <row r="606" spans="1:15" ht="21" customHeight="1">
      <c r="A606" s="9" t="s">
        <v>838</v>
      </c>
      <c r="B606" s="12">
        <f>IF(LEFT(H606,5)="VALID",M606,"")</f>
        <v>7</v>
      </c>
      <c r="C606" s="12">
        <f>IF(LEFT(H606,5)="VALID",N606,"")</f>
        <v>11</v>
      </c>
      <c r="D606" s="10" t="s">
        <v>82</v>
      </c>
      <c r="E606" s="10" t="s">
        <v>801</v>
      </c>
      <c r="F606" s="10" t="s">
        <v>212</v>
      </c>
      <c r="G606" s="10" t="s">
        <v>213</v>
      </c>
      <c r="H606" s="11" t="str">
        <f>IF(OR(M606&lt;=0,N606&lt;=0),"SKIPPED - NONPOSITIVE",IF(OR(M606&lt;L606,N606&lt;L606),"SKIPPED - BELOW MIN",IF(OR(M606&gt;J606,N606&gt;K606),"SKIPPED - EXCEEDS BASE",IF(COUNTIFS($M$570:M605,M606,$N$570:N605,N606)&gt;0,"SKIPPED - DUPLICATE","VALID - GENERATED"))))</f>
        <v>VALID - GENERATED</v>
      </c>
      <c r="I606" s="10" t="s">
        <v>802</v>
      </c>
      <c r="J606" s="12">
        <f>'05-ISO Reference'!$B$13</f>
        <v>52</v>
      </c>
      <c r="K606" s="12">
        <f>'05-ISO Reference'!$C$13</f>
        <v>74</v>
      </c>
      <c r="L606" s="12">
        <f>'01-Process Controls'!$G$5</f>
        <v>3</v>
      </c>
      <c r="M606" s="12">
        <f>ROUNDDOWN(J606*'04-Variant Rules'!$D$41,0)</f>
        <v>7</v>
      </c>
      <c r="N606" s="12">
        <f>ROUNDDOWN(K606*'04-Variant Rules'!$E$41,0)</f>
        <v>11</v>
      </c>
      <c r="O606" s="9">
        <v>36</v>
      </c>
    </row>
    <row r="607" spans="1:15" ht="21" customHeight="1">
      <c r="A607" s="9" t="s">
        <v>839</v>
      </c>
      <c r="B607" s="12">
        <f>IF(LEFT(H607,5)="VALID",M607,"")</f>
        <v>52</v>
      </c>
      <c r="C607" s="12">
        <f>IF(LEFT(H607,5)="VALID",N607,"")</f>
        <v>52</v>
      </c>
      <c r="D607" s="10" t="s">
        <v>82</v>
      </c>
      <c r="E607" s="10" t="s">
        <v>801</v>
      </c>
      <c r="F607" s="10" t="s">
        <v>215</v>
      </c>
      <c r="G607" s="10" t="s">
        <v>216</v>
      </c>
      <c r="H607" s="11" t="str">
        <f>IF(OR(M607&lt;=0,N607&lt;=0),"SKIPPED - NONPOSITIVE",IF(OR(M607&lt;L607,N607&lt;L607),"SKIPPED - BELOW MIN",IF(OR(M607&gt;J607,N607&gt;K607),"SKIPPED - EXCEEDS BASE",IF(COUNTIFS($M$570:M606,M607,$N$570:N606,N607)&gt;0,"SKIPPED - DUPLICATE","VALID - GENERATED"))))</f>
        <v>VALID - GENERATED</v>
      </c>
      <c r="I607" s="10" t="s">
        <v>802</v>
      </c>
      <c r="J607" s="12">
        <f>'05-ISO Reference'!$B$13</f>
        <v>52</v>
      </c>
      <c r="K607" s="12">
        <f>'05-ISO Reference'!$C$13</f>
        <v>74</v>
      </c>
      <c r="L607" s="12">
        <f>'01-Process Controls'!$G$5</f>
        <v>3</v>
      </c>
      <c r="M607" s="12">
        <f>ROUNDDOWN(MIN(J607,K607)*'04-Variant Rules'!$D$42,0)</f>
        <v>52</v>
      </c>
      <c r="N607" s="12">
        <f>ROUNDDOWN(MIN(J607,K607)*'04-Variant Rules'!$D$42,0)</f>
        <v>52</v>
      </c>
      <c r="O607" s="9">
        <v>37</v>
      </c>
    </row>
    <row r="608" spans="1:15" ht="21" customHeight="1">
      <c r="A608" s="9" t="s">
        <v>840</v>
      </c>
      <c r="B608" s="12">
        <f>IF(LEFT(H608,5)="VALID",M608,"")</f>
        <v>46</v>
      </c>
      <c r="C608" s="12">
        <f>IF(LEFT(H608,5)="VALID",N608,"")</f>
        <v>46</v>
      </c>
      <c r="D608" s="10" t="s">
        <v>82</v>
      </c>
      <c r="E608" s="10" t="s">
        <v>801</v>
      </c>
      <c r="F608" s="10" t="s">
        <v>218</v>
      </c>
      <c r="G608" s="10" t="s">
        <v>219</v>
      </c>
      <c r="H608" s="11" t="str">
        <f>IF(OR(M608&lt;=0,N608&lt;=0),"SKIPPED - NONPOSITIVE",IF(OR(M608&lt;L608,N608&lt;L608),"SKIPPED - BELOW MIN",IF(OR(M608&gt;J608,N608&gt;K608),"SKIPPED - EXCEEDS BASE",IF(COUNTIFS($M$570:M607,M608,$N$570:N607,N608)&gt;0,"SKIPPED - DUPLICATE","VALID - GENERATED"))))</f>
        <v>VALID - GENERATED</v>
      </c>
      <c r="I608" s="10" t="s">
        <v>802</v>
      </c>
      <c r="J608" s="12">
        <f>'05-ISO Reference'!$B$13</f>
        <v>52</v>
      </c>
      <c r="K608" s="12">
        <f>'05-ISO Reference'!$C$13</f>
        <v>74</v>
      </c>
      <c r="L608" s="12">
        <f>'01-Process Controls'!$G$5</f>
        <v>3</v>
      </c>
      <c r="M608" s="12">
        <f>ROUNDDOWN(MIN(J608,K608)*'04-Variant Rules'!$D$43,0)</f>
        <v>46</v>
      </c>
      <c r="N608" s="12">
        <f>ROUNDDOWN(MIN(J608,K608)*'04-Variant Rules'!$D$43,0)</f>
        <v>46</v>
      </c>
      <c r="O608" s="9">
        <v>38</v>
      </c>
    </row>
    <row r="609" spans="1:15" ht="21" customHeight="1">
      <c r="A609" s="9" t="s">
        <v>841</v>
      </c>
      <c r="B609" s="12">
        <f>IF(LEFT(H609,5)="VALID",M609,"")</f>
        <v>41</v>
      </c>
      <c r="C609" s="12">
        <f>IF(LEFT(H609,5)="VALID",N609,"")</f>
        <v>41</v>
      </c>
      <c r="D609" s="10" t="s">
        <v>82</v>
      </c>
      <c r="E609" s="10" t="s">
        <v>801</v>
      </c>
      <c r="F609" s="10" t="s">
        <v>221</v>
      </c>
      <c r="G609" s="10" t="s">
        <v>219</v>
      </c>
      <c r="H609" s="11" t="str">
        <f>IF(OR(M609&lt;=0,N609&lt;=0),"SKIPPED - NONPOSITIVE",IF(OR(M609&lt;L609,N609&lt;L609),"SKIPPED - BELOW MIN",IF(OR(M609&gt;J609,N609&gt;K609),"SKIPPED - EXCEEDS BASE",IF(COUNTIFS($M$570:M608,M609,$N$570:N608,N609)&gt;0,"SKIPPED - DUPLICATE","VALID - GENERATED"))))</f>
        <v>VALID - GENERATED</v>
      </c>
      <c r="I609" s="10" t="s">
        <v>802</v>
      </c>
      <c r="J609" s="12">
        <f>'05-ISO Reference'!$B$13</f>
        <v>52</v>
      </c>
      <c r="K609" s="12">
        <f>'05-ISO Reference'!$C$13</f>
        <v>74</v>
      </c>
      <c r="L609" s="12">
        <f>'01-Process Controls'!$G$5</f>
        <v>3</v>
      </c>
      <c r="M609" s="12">
        <f>ROUNDDOWN(MIN(J609,K609)*'04-Variant Rules'!$D$44,0)</f>
        <v>41</v>
      </c>
      <c r="N609" s="12">
        <f>ROUNDDOWN(MIN(J609,K609)*'04-Variant Rules'!$D$44,0)</f>
        <v>41</v>
      </c>
      <c r="O609" s="9">
        <v>39</v>
      </c>
    </row>
    <row r="610" spans="1:15" ht="21" customHeight="1">
      <c r="A610" s="9" t="s">
        <v>842</v>
      </c>
      <c r="B610" s="12">
        <f>IF(LEFT(H610,5)="VALID",M610,"")</f>
        <v>39</v>
      </c>
      <c r="C610" s="12">
        <f>IF(LEFT(H610,5)="VALID",N610,"")</f>
        <v>39</v>
      </c>
      <c r="D610" s="10" t="s">
        <v>82</v>
      </c>
      <c r="E610" s="10" t="s">
        <v>801</v>
      </c>
      <c r="F610" s="10" t="s">
        <v>223</v>
      </c>
      <c r="G610" s="10" t="s">
        <v>219</v>
      </c>
      <c r="H610" s="11" t="str">
        <f>IF(OR(M610&lt;=0,N610&lt;=0),"SKIPPED - NONPOSITIVE",IF(OR(M610&lt;L610,N610&lt;L610),"SKIPPED - BELOW MIN",IF(OR(M610&gt;J610,N610&gt;K610),"SKIPPED - EXCEEDS BASE",IF(COUNTIFS($M$570:M609,M610,$N$570:N609,N610)&gt;0,"SKIPPED - DUPLICATE","VALID - GENERATED"))))</f>
        <v>VALID - GENERATED</v>
      </c>
      <c r="I610" s="10" t="s">
        <v>802</v>
      </c>
      <c r="J610" s="12">
        <f>'05-ISO Reference'!$B$13</f>
        <v>52</v>
      </c>
      <c r="K610" s="12">
        <f>'05-ISO Reference'!$C$13</f>
        <v>74</v>
      </c>
      <c r="L610" s="12">
        <f>'01-Process Controls'!$G$5</f>
        <v>3</v>
      </c>
      <c r="M610" s="12">
        <f>ROUNDDOWN(MIN(J610,K610)*'04-Variant Rules'!$D$45,0)</f>
        <v>39</v>
      </c>
      <c r="N610" s="12">
        <f>ROUNDDOWN(MIN(J610,K610)*'04-Variant Rules'!$D$45,0)</f>
        <v>39</v>
      </c>
      <c r="O610" s="9">
        <v>40</v>
      </c>
    </row>
    <row r="611" spans="1:15" ht="21" customHeight="1">
      <c r="A611" s="9" t="s">
        <v>843</v>
      </c>
      <c r="B611" s="12">
        <f>IF(LEFT(H611,5)="VALID",M611,"")</f>
        <v>34</v>
      </c>
      <c r="C611" s="12">
        <f>IF(LEFT(H611,5)="VALID",N611,"")</f>
        <v>34</v>
      </c>
      <c r="D611" s="10" t="s">
        <v>82</v>
      </c>
      <c r="E611" s="10" t="s">
        <v>801</v>
      </c>
      <c r="F611" s="10" t="s">
        <v>225</v>
      </c>
      <c r="G611" s="10" t="s">
        <v>219</v>
      </c>
      <c r="H611" s="11" t="str">
        <f>IF(OR(M611&lt;=0,N611&lt;=0),"SKIPPED - NONPOSITIVE",IF(OR(M611&lt;L611,N611&lt;L611),"SKIPPED - BELOW MIN",IF(OR(M611&gt;J611,N611&gt;K611),"SKIPPED - EXCEEDS BASE",IF(COUNTIFS($M$570:M610,M611,$N$570:N610,N611)&gt;0,"SKIPPED - DUPLICATE","VALID - GENERATED"))))</f>
        <v>VALID - GENERATED</v>
      </c>
      <c r="I611" s="10" t="s">
        <v>802</v>
      </c>
      <c r="J611" s="12">
        <f>'05-ISO Reference'!$B$13</f>
        <v>52</v>
      </c>
      <c r="K611" s="12">
        <f>'05-ISO Reference'!$C$13</f>
        <v>74</v>
      </c>
      <c r="L611" s="12">
        <f>'01-Process Controls'!$G$5</f>
        <v>3</v>
      </c>
      <c r="M611" s="12">
        <f>ROUNDDOWN(MIN(J611,K611)*'04-Variant Rules'!$D$46,0)</f>
        <v>34</v>
      </c>
      <c r="N611" s="12">
        <f>ROUNDDOWN(MIN(J611,K611)*'04-Variant Rules'!$D$46,0)</f>
        <v>34</v>
      </c>
      <c r="O611" s="9">
        <v>41</v>
      </c>
    </row>
    <row r="612" spans="1:15" ht="21" customHeight="1">
      <c r="A612" s="9" t="s">
        <v>844</v>
      </c>
      <c r="B612" s="12">
        <f>IF(LEFT(H612,5)="VALID",M612,"")</f>
        <v>31</v>
      </c>
      <c r="C612" s="12">
        <f>IF(LEFT(H612,5)="VALID",N612,"")</f>
        <v>31</v>
      </c>
      <c r="D612" s="10" t="s">
        <v>82</v>
      </c>
      <c r="E612" s="10" t="s">
        <v>801</v>
      </c>
      <c r="F612" s="10" t="s">
        <v>227</v>
      </c>
      <c r="G612" s="10" t="s">
        <v>219</v>
      </c>
      <c r="H612" s="11" t="str">
        <f>IF(OR(M612&lt;=0,N612&lt;=0),"SKIPPED - NONPOSITIVE",IF(OR(M612&lt;L612,N612&lt;L612),"SKIPPED - BELOW MIN",IF(OR(M612&gt;J612,N612&gt;K612),"SKIPPED - EXCEEDS BASE",IF(COUNTIFS($M$570:M611,M612,$N$570:N611,N612)&gt;0,"SKIPPED - DUPLICATE","VALID - GENERATED"))))</f>
        <v>VALID - GENERATED</v>
      </c>
      <c r="I612" s="10" t="s">
        <v>802</v>
      </c>
      <c r="J612" s="12">
        <f>'05-ISO Reference'!$B$13</f>
        <v>52</v>
      </c>
      <c r="K612" s="12">
        <f>'05-ISO Reference'!$C$13</f>
        <v>74</v>
      </c>
      <c r="L612" s="12">
        <f>'01-Process Controls'!$G$5</f>
        <v>3</v>
      </c>
      <c r="M612" s="12">
        <f>ROUNDDOWN(MIN(J612,K612)*'04-Variant Rules'!$D$47,0)</f>
        <v>31</v>
      </c>
      <c r="N612" s="12">
        <f>ROUNDDOWN(MIN(J612,K612)*'04-Variant Rules'!$D$47,0)</f>
        <v>31</v>
      </c>
      <c r="O612" s="9">
        <v>42</v>
      </c>
    </row>
    <row r="613" spans="1:15" ht="21" customHeight="1">
      <c r="A613" s="9" t="s">
        <v>845</v>
      </c>
      <c r="B613" s="12">
        <f>IF(LEFT(H613,5)="VALID",M613,"")</f>
        <v>26</v>
      </c>
      <c r="C613" s="12">
        <f>IF(LEFT(H613,5)="VALID",N613,"")</f>
        <v>26</v>
      </c>
      <c r="D613" s="10" t="s">
        <v>82</v>
      </c>
      <c r="E613" s="10" t="s">
        <v>801</v>
      </c>
      <c r="F613" s="10" t="s">
        <v>229</v>
      </c>
      <c r="G613" s="10" t="s">
        <v>219</v>
      </c>
      <c r="H613" s="11" t="str">
        <f>IF(OR(M613&lt;=0,N613&lt;=0),"SKIPPED - NONPOSITIVE",IF(OR(M613&lt;L613,N613&lt;L613),"SKIPPED - BELOW MIN",IF(OR(M613&gt;J613,N613&gt;K613),"SKIPPED - EXCEEDS BASE",IF(COUNTIFS($M$570:M612,M613,$N$570:N612,N613)&gt;0,"SKIPPED - DUPLICATE","VALID - GENERATED"))))</f>
        <v>VALID - GENERATED</v>
      </c>
      <c r="I613" s="10" t="s">
        <v>802</v>
      </c>
      <c r="J613" s="12">
        <f>'05-ISO Reference'!$B$13</f>
        <v>52</v>
      </c>
      <c r="K613" s="12">
        <f>'05-ISO Reference'!$C$13</f>
        <v>74</v>
      </c>
      <c r="L613" s="12">
        <f>'01-Process Controls'!$G$5</f>
        <v>3</v>
      </c>
      <c r="M613" s="12">
        <f>ROUNDDOWN(MIN(J613,K613)*'04-Variant Rules'!$D$48,0)</f>
        <v>26</v>
      </c>
      <c r="N613" s="12">
        <f>ROUNDDOWN(MIN(J613,K613)*'04-Variant Rules'!$D$48,0)</f>
        <v>26</v>
      </c>
      <c r="O613" s="9">
        <v>43</v>
      </c>
    </row>
    <row r="614" spans="1:15" ht="21" customHeight="1">
      <c r="A614" s="9" t="s">
        <v>846</v>
      </c>
      <c r="B614" s="12">
        <f>IF(LEFT(H614,5)="VALID",M614,"")</f>
        <v>20</v>
      </c>
      <c r="C614" s="12">
        <f>IF(LEFT(H614,5)="VALID",N614,"")</f>
        <v>20</v>
      </c>
      <c r="D614" s="10" t="s">
        <v>82</v>
      </c>
      <c r="E614" s="10" t="s">
        <v>801</v>
      </c>
      <c r="F614" s="10" t="s">
        <v>231</v>
      </c>
      <c r="G614" s="10" t="s">
        <v>219</v>
      </c>
      <c r="H614" s="11" t="str">
        <f>IF(OR(M614&lt;=0,N614&lt;=0),"SKIPPED - NONPOSITIVE",IF(OR(M614&lt;L614,N614&lt;L614),"SKIPPED - BELOW MIN",IF(OR(M614&gt;J614,N614&gt;K614),"SKIPPED - EXCEEDS BASE",IF(COUNTIFS($M$570:M613,M614,$N$570:N613,N614)&gt;0,"SKIPPED - DUPLICATE","VALID - GENERATED"))))</f>
        <v>VALID - GENERATED</v>
      </c>
      <c r="I614" s="10" t="s">
        <v>802</v>
      </c>
      <c r="J614" s="12">
        <f>'05-ISO Reference'!$B$13</f>
        <v>52</v>
      </c>
      <c r="K614" s="12">
        <f>'05-ISO Reference'!$C$13</f>
        <v>74</v>
      </c>
      <c r="L614" s="12">
        <f>'01-Process Controls'!$G$5</f>
        <v>3</v>
      </c>
      <c r="M614" s="12">
        <f>ROUNDDOWN(MIN(J614,K614)*'04-Variant Rules'!$D$49,0)</f>
        <v>20</v>
      </c>
      <c r="N614" s="12">
        <f>ROUNDDOWN(MIN(J614,K614)*'04-Variant Rules'!$D$49,0)</f>
        <v>20</v>
      </c>
      <c r="O614" s="9">
        <v>44</v>
      </c>
    </row>
    <row r="615" spans="1:15" ht="21" customHeight="1">
      <c r="A615" s="9" t="s">
        <v>847</v>
      </c>
      <c r="B615" s="12">
        <f>IF(LEFT(H615,5)="VALID",M615,"")</f>
        <v>17</v>
      </c>
      <c r="C615" s="12">
        <f>IF(LEFT(H615,5)="VALID",N615,"")</f>
        <v>17</v>
      </c>
      <c r="D615" s="10" t="s">
        <v>82</v>
      </c>
      <c r="E615" s="10" t="s">
        <v>801</v>
      </c>
      <c r="F615" s="10" t="s">
        <v>233</v>
      </c>
      <c r="G615" s="10" t="s">
        <v>219</v>
      </c>
      <c r="H615" s="11" t="str">
        <f>IF(OR(M615&lt;=0,N615&lt;=0),"SKIPPED - NONPOSITIVE",IF(OR(M615&lt;L615,N615&lt;L615),"SKIPPED - BELOW MIN",IF(OR(M615&gt;J615,N615&gt;K615),"SKIPPED - EXCEEDS BASE",IF(COUNTIFS($M$570:M614,M615,$N$570:N614,N615)&gt;0,"SKIPPED - DUPLICATE","VALID - GENERATED"))))</f>
        <v>VALID - GENERATED</v>
      </c>
      <c r="I615" s="10" t="s">
        <v>802</v>
      </c>
      <c r="J615" s="12">
        <f>'05-ISO Reference'!$B$13</f>
        <v>52</v>
      </c>
      <c r="K615" s="12">
        <f>'05-ISO Reference'!$C$13</f>
        <v>74</v>
      </c>
      <c r="L615" s="12">
        <f>'01-Process Controls'!$G$5</f>
        <v>3</v>
      </c>
      <c r="M615" s="12">
        <f>ROUNDDOWN(MIN(J615,K615)*'04-Variant Rules'!$D$50,0)</f>
        <v>17</v>
      </c>
      <c r="N615" s="12">
        <f>ROUNDDOWN(MIN(J615,K615)*'04-Variant Rules'!$D$50,0)</f>
        <v>17</v>
      </c>
      <c r="O615" s="9">
        <v>45</v>
      </c>
    </row>
    <row r="616" spans="1:15" ht="21" customHeight="1">
      <c r="A616" s="9" t="s">
        <v>848</v>
      </c>
      <c r="B616" s="12">
        <f>IF(LEFT(H616,5)="VALID",M616,"")</f>
        <v>13</v>
      </c>
      <c r="C616" s="12">
        <f>IF(LEFT(H616,5)="VALID",N616,"")</f>
        <v>13</v>
      </c>
      <c r="D616" s="10" t="s">
        <v>82</v>
      </c>
      <c r="E616" s="10" t="s">
        <v>801</v>
      </c>
      <c r="F616" s="10" t="s">
        <v>235</v>
      </c>
      <c r="G616" s="10" t="s">
        <v>219</v>
      </c>
      <c r="H616" s="11" t="str">
        <f>IF(OR(M616&lt;=0,N616&lt;=0),"SKIPPED - NONPOSITIVE",IF(OR(M616&lt;L616,N616&lt;L616),"SKIPPED - BELOW MIN",IF(OR(M616&gt;J616,N616&gt;K616),"SKIPPED - EXCEEDS BASE",IF(COUNTIFS($M$570:M615,M616,$N$570:N615,N616)&gt;0,"SKIPPED - DUPLICATE","VALID - GENERATED"))))</f>
        <v>VALID - GENERATED</v>
      </c>
      <c r="I616" s="10" t="s">
        <v>802</v>
      </c>
      <c r="J616" s="12">
        <f>'05-ISO Reference'!$B$13</f>
        <v>52</v>
      </c>
      <c r="K616" s="12">
        <f>'05-ISO Reference'!$C$13</f>
        <v>74</v>
      </c>
      <c r="L616" s="12">
        <f>'01-Process Controls'!$G$5</f>
        <v>3</v>
      </c>
      <c r="M616" s="12">
        <f>ROUNDDOWN(MIN(J616,K616)*'04-Variant Rules'!$D$51,0)</f>
        <v>13</v>
      </c>
      <c r="N616" s="12">
        <f>ROUNDDOWN(MIN(J616,K616)*'04-Variant Rules'!$D$51,0)</f>
        <v>13</v>
      </c>
      <c r="O616" s="9">
        <v>46</v>
      </c>
    </row>
    <row r="617" spans="1:15" ht="21" customHeight="1">
      <c r="A617" s="9" t="s">
        <v>849</v>
      </c>
      <c r="B617" s="12">
        <f>IF(LEFT(H617,5)="VALID",M617,"")</f>
        <v>10</v>
      </c>
      <c r="C617" s="12">
        <f>IF(LEFT(H617,5)="VALID",N617,"")</f>
        <v>10</v>
      </c>
      <c r="D617" s="10" t="s">
        <v>82</v>
      </c>
      <c r="E617" s="10" t="s">
        <v>801</v>
      </c>
      <c r="F617" s="10" t="s">
        <v>237</v>
      </c>
      <c r="G617" s="10" t="s">
        <v>219</v>
      </c>
      <c r="H617" s="11" t="str">
        <f>IF(OR(M617&lt;=0,N617&lt;=0),"SKIPPED - NONPOSITIVE",IF(OR(M617&lt;L617,N617&lt;L617),"SKIPPED - BELOW MIN",IF(OR(M617&gt;J617,N617&gt;K617),"SKIPPED - EXCEEDS BASE",IF(COUNTIFS($M$570:M616,M617,$N$570:N616,N617)&gt;0,"SKIPPED - DUPLICATE","VALID - GENERATED"))))</f>
        <v>VALID - GENERATED</v>
      </c>
      <c r="I617" s="10" t="s">
        <v>802</v>
      </c>
      <c r="J617" s="12">
        <f>'05-ISO Reference'!$B$13</f>
        <v>52</v>
      </c>
      <c r="K617" s="12">
        <f>'05-ISO Reference'!$C$13</f>
        <v>74</v>
      </c>
      <c r="L617" s="12">
        <f>'01-Process Controls'!$G$5</f>
        <v>3</v>
      </c>
      <c r="M617" s="12">
        <f>ROUNDDOWN(MIN(J617,K617)*'04-Variant Rules'!$D$52,0)</f>
        <v>10</v>
      </c>
      <c r="N617" s="12">
        <f>ROUNDDOWN(MIN(J617,K617)*'04-Variant Rules'!$D$52,0)</f>
        <v>10</v>
      </c>
      <c r="O617" s="9">
        <v>47</v>
      </c>
    </row>
    <row r="618" spans="1:15" ht="21" customHeight="1">
      <c r="A618" s="9" t="s">
        <v>850</v>
      </c>
      <c r="B618" s="12">
        <f>IF(LEFT(H618,5)="VALID",M618,"")</f>
        <v>52</v>
      </c>
      <c r="C618" s="12">
        <f>IF(LEFT(H618,5)="VALID",N618,"")</f>
        <v>39</v>
      </c>
      <c r="D618" s="10" t="s">
        <v>82</v>
      </c>
      <c r="E618" s="10" t="s">
        <v>801</v>
      </c>
      <c r="F618" s="10" t="s">
        <v>239</v>
      </c>
      <c r="G618" s="10" t="s">
        <v>240</v>
      </c>
      <c r="H618" s="11" t="str">
        <f>IF(OR(M618&lt;=0,N618&lt;=0),"SKIPPED - NONPOSITIVE",IF(OR(M618&lt;L618,N618&lt;L618),"SKIPPED - BELOW MIN",IF(OR(M618&gt;J618,N618&gt;K618),"SKIPPED - EXCEEDS BASE",IF(COUNTIFS($M$570:M617,M618,$N$570:N617,N618)&gt;0,"SKIPPED - DUPLICATE","VALID - GENERATED"))))</f>
        <v>VALID - GENERATED</v>
      </c>
      <c r="I618" s="10" t="s">
        <v>802</v>
      </c>
      <c r="J618" s="12">
        <f>'05-ISO Reference'!$B$13</f>
        <v>52</v>
      </c>
      <c r="K618" s="12">
        <f>'05-ISO Reference'!$C$13</f>
        <v>74</v>
      </c>
      <c r="L618" s="12">
        <f>'01-Process Controls'!$G$5</f>
        <v>3</v>
      </c>
      <c r="M618" s="12">
        <f>ROUNDDOWN(MIN(J618,K618*'04-Variant Rules'!$D$53),0)</f>
        <v>52</v>
      </c>
      <c r="N618" s="12">
        <f>ROUNDDOWN(M618/'04-Variant Rules'!$D$53,0)</f>
        <v>39</v>
      </c>
      <c r="O618" s="9">
        <v>48</v>
      </c>
    </row>
    <row r="619" spans="1:15" ht="21" customHeight="1">
      <c r="A619" s="9" t="s">
        <v>851</v>
      </c>
      <c r="B619" s="12">
        <f>IF(LEFT(H619,5)="VALID",M619,"")</f>
        <v>52</v>
      </c>
      <c r="C619" s="12">
        <f>IF(LEFT(H619,5)="VALID",N619,"")</f>
        <v>69</v>
      </c>
      <c r="D619" s="10" t="s">
        <v>82</v>
      </c>
      <c r="E619" s="10" t="s">
        <v>801</v>
      </c>
      <c r="F619" s="10" t="s">
        <v>242</v>
      </c>
      <c r="G619" s="10" t="s">
        <v>243</v>
      </c>
      <c r="H619" s="11" t="str">
        <f>IF(OR(M619&lt;=0,N619&lt;=0),"SKIPPED - NONPOSITIVE",IF(OR(M619&lt;L619,N619&lt;L619),"SKIPPED - BELOW MIN",IF(OR(M619&gt;J619,N619&gt;K619),"SKIPPED - EXCEEDS BASE",IF(COUNTIFS($M$570:M618,M619,$N$570:N618,N619)&gt;0,"SKIPPED - DUPLICATE","VALID - GENERATED"))))</f>
        <v>VALID - GENERATED</v>
      </c>
      <c r="I619" s="10" t="s">
        <v>802</v>
      </c>
      <c r="J619" s="12">
        <f>'05-ISO Reference'!$B$13</f>
        <v>52</v>
      </c>
      <c r="K619" s="12">
        <f>'05-ISO Reference'!$C$13</f>
        <v>74</v>
      </c>
      <c r="L619" s="12">
        <f>'01-Process Controls'!$G$5</f>
        <v>3</v>
      </c>
      <c r="M619" s="12">
        <f>ROUNDDOWN(MIN(J619,K619*'04-Variant Rules'!$D$54),0)</f>
        <v>52</v>
      </c>
      <c r="N619" s="12">
        <f>ROUNDDOWN(M619/'04-Variant Rules'!$D$54,0)</f>
        <v>69</v>
      </c>
      <c r="O619" s="9">
        <v>49</v>
      </c>
    </row>
    <row r="620" spans="1:15" ht="21" customHeight="1">
      <c r="A620" s="9" t="s">
        <v>852</v>
      </c>
      <c r="B620" s="12">
        <f>IF(LEFT(H620,5)="VALID",M620,"")</f>
        <v>52</v>
      </c>
      <c r="C620" s="12">
        <f>IF(LEFT(H620,5)="VALID",N620,"")</f>
        <v>34</v>
      </c>
      <c r="D620" s="10" t="s">
        <v>82</v>
      </c>
      <c r="E620" s="10" t="s">
        <v>801</v>
      </c>
      <c r="F620" s="10" t="s">
        <v>245</v>
      </c>
      <c r="G620" s="10" t="s">
        <v>246</v>
      </c>
      <c r="H620" s="11" t="str">
        <f>IF(OR(M620&lt;=0,N620&lt;=0),"SKIPPED - NONPOSITIVE",IF(OR(M620&lt;L620,N620&lt;L620),"SKIPPED - BELOW MIN",IF(OR(M620&gt;J620,N620&gt;K620),"SKIPPED - EXCEEDS BASE",IF(COUNTIFS($M$570:M619,M620,$N$570:N619,N620)&gt;0,"SKIPPED - DUPLICATE","VALID - GENERATED"))))</f>
        <v>VALID - GENERATED</v>
      </c>
      <c r="I620" s="10" t="s">
        <v>802</v>
      </c>
      <c r="J620" s="12">
        <f>'05-ISO Reference'!$B$13</f>
        <v>52</v>
      </c>
      <c r="K620" s="12">
        <f>'05-ISO Reference'!$C$13</f>
        <v>74</v>
      </c>
      <c r="L620" s="12">
        <f>'01-Process Controls'!$G$5</f>
        <v>3</v>
      </c>
      <c r="M620" s="12">
        <f>ROUNDDOWN(MIN(J620,K620*'04-Variant Rules'!$D$55),0)</f>
        <v>52</v>
      </c>
      <c r="N620" s="12">
        <f>ROUNDDOWN(M620/'04-Variant Rules'!$D$55,0)</f>
        <v>34</v>
      </c>
      <c r="O620" s="9">
        <v>50</v>
      </c>
    </row>
    <row r="621" spans="1:15" ht="21" customHeight="1">
      <c r="A621" s="9" t="s">
        <v>853</v>
      </c>
      <c r="B621" s="12">
        <f>IF(LEFT(H621,5)="VALID",M621,"")</f>
        <v>49</v>
      </c>
      <c r="C621" s="12">
        <f>IF(LEFT(H621,5)="VALID",N621,"")</f>
        <v>73</v>
      </c>
      <c r="D621" s="10" t="s">
        <v>82</v>
      </c>
      <c r="E621" s="10" t="s">
        <v>801</v>
      </c>
      <c r="F621" s="10" t="s">
        <v>248</v>
      </c>
      <c r="G621" s="10" t="s">
        <v>249</v>
      </c>
      <c r="H621" s="11" t="str">
        <f>IF(OR(M621&lt;=0,N621&lt;=0),"SKIPPED - NONPOSITIVE",IF(OR(M621&lt;L621,N621&lt;L621),"SKIPPED - BELOW MIN",IF(OR(M621&gt;J621,N621&gt;K621),"SKIPPED - EXCEEDS BASE",IF(COUNTIFS($M$570:M620,M621,$N$570:N620,N621)&gt;0,"SKIPPED - DUPLICATE","VALID - GENERATED"))))</f>
        <v>VALID - GENERATED</v>
      </c>
      <c r="I621" s="10" t="s">
        <v>802</v>
      </c>
      <c r="J621" s="12">
        <f>'05-ISO Reference'!$B$13</f>
        <v>52</v>
      </c>
      <c r="K621" s="12">
        <f>'05-ISO Reference'!$C$13</f>
        <v>74</v>
      </c>
      <c r="L621" s="12">
        <f>'01-Process Controls'!$G$5</f>
        <v>3</v>
      </c>
      <c r="M621" s="12">
        <f>ROUNDDOWN(MIN(J621,K621*'04-Variant Rules'!$D$56),0)</f>
        <v>49</v>
      </c>
      <c r="N621" s="12">
        <f>ROUNDDOWN(M621/'04-Variant Rules'!$D$56,0)</f>
        <v>73</v>
      </c>
      <c r="O621" s="9">
        <v>51</v>
      </c>
    </row>
    <row r="622" spans="1:15" ht="21" customHeight="1">
      <c r="A622" s="9" t="s">
        <v>854</v>
      </c>
      <c r="B622" s="12">
        <f>IF(LEFT(H622,5)="VALID",M622,"")</f>
        <v>52</v>
      </c>
      <c r="C622" s="12">
        <f>IF(LEFT(H622,5)="VALID",N622,"")</f>
        <v>29</v>
      </c>
      <c r="D622" s="10" t="s">
        <v>82</v>
      </c>
      <c r="E622" s="10" t="s">
        <v>801</v>
      </c>
      <c r="F622" s="10" t="s">
        <v>251</v>
      </c>
      <c r="G622" s="10" t="s">
        <v>252</v>
      </c>
      <c r="H622" s="11" t="str">
        <f>IF(OR(M622&lt;=0,N622&lt;=0),"SKIPPED - NONPOSITIVE",IF(OR(M622&lt;L622,N622&lt;L622),"SKIPPED - BELOW MIN",IF(OR(M622&gt;J622,N622&gt;K622),"SKIPPED - EXCEEDS BASE",IF(COUNTIFS($M$570:M621,M622,$N$570:N621,N622)&gt;0,"SKIPPED - DUPLICATE","VALID - GENERATED"))))</f>
        <v>VALID - GENERATED</v>
      </c>
      <c r="I622" s="10" t="s">
        <v>802</v>
      </c>
      <c r="J622" s="12">
        <f>'05-ISO Reference'!$B$13</f>
        <v>52</v>
      </c>
      <c r="K622" s="12">
        <f>'05-ISO Reference'!$C$13</f>
        <v>74</v>
      </c>
      <c r="L622" s="12">
        <f>'01-Process Controls'!$G$5</f>
        <v>3</v>
      </c>
      <c r="M622" s="12">
        <f>ROUNDDOWN(MIN(J622,K622*'04-Variant Rules'!$D$57),0)</f>
        <v>52</v>
      </c>
      <c r="N622" s="12">
        <f>ROUNDDOWN(M622/'04-Variant Rules'!$D$57,0)</f>
        <v>29</v>
      </c>
      <c r="O622" s="9">
        <v>52</v>
      </c>
    </row>
    <row r="623" spans="1:15" ht="21" customHeight="1">
      <c r="A623" s="9" t="s">
        <v>855</v>
      </c>
      <c r="B623" s="12">
        <f>IF(LEFT(H623,5)="VALID",M623,"")</f>
        <v>41</v>
      </c>
      <c r="C623" s="12">
        <f>IF(LEFT(H623,5)="VALID",N623,"")</f>
        <v>72</v>
      </c>
      <c r="D623" s="10" t="s">
        <v>82</v>
      </c>
      <c r="E623" s="10" t="s">
        <v>801</v>
      </c>
      <c r="F623" s="10" t="s">
        <v>254</v>
      </c>
      <c r="G623" s="10" t="s">
        <v>255</v>
      </c>
      <c r="H623" s="11" t="str">
        <f>IF(OR(M623&lt;=0,N623&lt;=0),"SKIPPED - NONPOSITIVE",IF(OR(M623&lt;L623,N623&lt;L623),"SKIPPED - BELOW MIN",IF(OR(M623&gt;J623,N623&gt;K623),"SKIPPED - EXCEEDS BASE",IF(COUNTIFS($M$570:M622,M623,$N$570:N622,N623)&gt;0,"SKIPPED - DUPLICATE","VALID - GENERATED"))))</f>
        <v>VALID - GENERATED</v>
      </c>
      <c r="I623" s="10" t="s">
        <v>802</v>
      </c>
      <c r="J623" s="12">
        <f>'05-ISO Reference'!$B$13</f>
        <v>52</v>
      </c>
      <c r="K623" s="12">
        <f>'05-ISO Reference'!$C$13</f>
        <v>74</v>
      </c>
      <c r="L623" s="12">
        <f>'01-Process Controls'!$G$5</f>
        <v>3</v>
      </c>
      <c r="M623" s="12">
        <f>ROUNDDOWN(MIN(J623,K623*'04-Variant Rules'!$D$58),0)</f>
        <v>41</v>
      </c>
      <c r="N623" s="12">
        <f>ROUNDDOWN(M623/'04-Variant Rules'!$D$58,0)</f>
        <v>72</v>
      </c>
      <c r="O623" s="9">
        <v>53</v>
      </c>
    </row>
    <row r="624" spans="1:15" ht="21" customHeight="1">
      <c r="A624" s="9" t="s">
        <v>856</v>
      </c>
      <c r="B624" s="12">
        <f>IF(LEFT(H624,5)="VALID",M624,"")</f>
        <v>52</v>
      </c>
      <c r="C624" s="12">
        <f>IF(LEFT(H624,5)="VALID",N624,"")</f>
        <v>26</v>
      </c>
      <c r="D624" s="10" t="s">
        <v>82</v>
      </c>
      <c r="E624" s="10" t="s">
        <v>801</v>
      </c>
      <c r="F624" s="10" t="s">
        <v>257</v>
      </c>
      <c r="G624" s="10" t="s">
        <v>258</v>
      </c>
      <c r="H624" s="11" t="str">
        <f>IF(OR(M624&lt;=0,N624&lt;=0),"SKIPPED - NONPOSITIVE",IF(OR(M624&lt;L624,N624&lt;L624),"SKIPPED - BELOW MIN",IF(OR(M624&gt;J624,N624&gt;K624),"SKIPPED - EXCEEDS BASE",IF(COUNTIFS($M$570:M623,M624,$N$570:N623,N624)&gt;0,"SKIPPED - DUPLICATE","VALID - GENERATED"))))</f>
        <v>VALID - GENERATED</v>
      </c>
      <c r="I624" s="10" t="s">
        <v>802</v>
      </c>
      <c r="J624" s="12">
        <f>'05-ISO Reference'!$B$13</f>
        <v>52</v>
      </c>
      <c r="K624" s="12">
        <f>'05-ISO Reference'!$C$13</f>
        <v>74</v>
      </c>
      <c r="L624" s="12">
        <f>'01-Process Controls'!$G$5</f>
        <v>3</v>
      </c>
      <c r="M624" s="12">
        <f>ROUNDDOWN(MIN(J624,K624*'04-Variant Rules'!$D$59),0)</f>
        <v>52</v>
      </c>
      <c r="N624" s="12">
        <f>ROUNDDOWN(M624/'04-Variant Rules'!$D$59,0)</f>
        <v>26</v>
      </c>
      <c r="O624" s="9">
        <v>54</v>
      </c>
    </row>
    <row r="625" spans="1:15" ht="21" customHeight="1">
      <c r="A625" s="9" t="s">
        <v>857</v>
      </c>
      <c r="B625" s="12">
        <f>IF(LEFT(H625,5)="VALID",M625,"")</f>
        <v>37</v>
      </c>
      <c r="C625" s="12">
        <f>IF(LEFT(H625,5)="VALID",N625,"")</f>
        <v>74</v>
      </c>
      <c r="D625" s="10" t="s">
        <v>82</v>
      </c>
      <c r="E625" s="10" t="s">
        <v>801</v>
      </c>
      <c r="F625" s="10" t="s">
        <v>260</v>
      </c>
      <c r="G625" s="10" t="s">
        <v>261</v>
      </c>
      <c r="H625" s="11" t="str">
        <f>IF(OR(M625&lt;=0,N625&lt;=0),"SKIPPED - NONPOSITIVE",IF(OR(M625&lt;L625,N625&lt;L625),"SKIPPED - BELOW MIN",IF(OR(M625&gt;J625,N625&gt;K625),"SKIPPED - EXCEEDS BASE",IF(COUNTIFS($M$570:M624,M625,$N$570:N624,N625)&gt;0,"SKIPPED - DUPLICATE","VALID - GENERATED"))))</f>
        <v>VALID - GENERATED</v>
      </c>
      <c r="I625" s="10" t="s">
        <v>802</v>
      </c>
      <c r="J625" s="12">
        <f>'05-ISO Reference'!$B$13</f>
        <v>52</v>
      </c>
      <c r="K625" s="12">
        <f>'05-ISO Reference'!$C$13</f>
        <v>74</v>
      </c>
      <c r="L625" s="12">
        <f>'01-Process Controls'!$G$5</f>
        <v>3</v>
      </c>
      <c r="M625" s="12">
        <f>ROUNDDOWN(MIN(J625,K625*'04-Variant Rules'!$D$60),0)</f>
        <v>37</v>
      </c>
      <c r="N625" s="12">
        <f>ROUNDDOWN(M625/'04-Variant Rules'!$D$60,0)</f>
        <v>74</v>
      </c>
      <c r="O625" s="9">
        <v>55</v>
      </c>
    </row>
    <row r="626" spans="1:15" ht="21" customHeight="1">
      <c r="A626" s="9" t="s">
        <v>858</v>
      </c>
      <c r="B626" s="48"/>
      <c r="C626" s="48"/>
      <c r="D626" s="10" t="s">
        <v>263</v>
      </c>
      <c r="E626" s="10" t="s">
        <v>859</v>
      </c>
      <c r="F626" s="10" t="s">
        <v>265</v>
      </c>
      <c r="G626" s="10" t="s">
        <v>266</v>
      </c>
      <c r="H626" s="11" t="str">
        <f>IF(AND(B626="",C626=""),"CUSTOM BLANK",IF(OR(B626="",C626=""),"ERROR - ENTER BOTH",IF(OR(B626&lt;=0,C626&lt;=0),"ERROR - NONPOSITIVE",IF(OR(B626&lt;L626,C626&lt;L626),"ERROR - BELOW MIN",IF(OR(AND(B626&lt;=J626,C626&lt;=K626),AND(B626&lt;=K626,C626&lt;=J626)),"VALID - CUSTOM","ERROR - EXCEEDS BASE")))))</f>
        <v>CUSTOM BLANK</v>
      </c>
      <c r="I626" s="10" t="s">
        <v>267</v>
      </c>
      <c r="J626" s="12">
        <f>'05-ISO Reference'!$B$13</f>
        <v>52</v>
      </c>
      <c r="K626" s="12">
        <f>'05-ISO Reference'!$C$13</f>
        <v>74</v>
      </c>
      <c r="L626" s="12">
        <f>'01-Process Controls'!$G$5</f>
        <v>3</v>
      </c>
      <c r="M626" s="8"/>
      <c r="N626" s="8"/>
    </row>
    <row r="627" spans="1:15" ht="21" customHeight="1">
      <c r="A627" s="9" t="s">
        <v>860</v>
      </c>
      <c r="B627" s="48"/>
      <c r="C627" s="48"/>
      <c r="D627" s="10" t="s">
        <v>263</v>
      </c>
      <c r="E627" s="10" t="s">
        <v>859</v>
      </c>
      <c r="F627" s="10" t="s">
        <v>265</v>
      </c>
      <c r="G627" s="10" t="s">
        <v>266</v>
      </c>
      <c r="H627" s="11" t="str">
        <f>IF(AND(B627="",C627=""),"CUSTOM BLANK",IF(OR(B627="",C627=""),"ERROR - ENTER BOTH",IF(OR(B627&lt;=0,C627&lt;=0),"ERROR - NONPOSITIVE",IF(OR(B627&lt;L627,C627&lt;L627),"ERROR - BELOW MIN",IF(OR(AND(B627&lt;=J627,C627&lt;=K627),AND(B627&lt;=K627,C627&lt;=J627)),"VALID - CUSTOM","ERROR - EXCEEDS BASE")))))</f>
        <v>CUSTOM BLANK</v>
      </c>
      <c r="I627" s="10" t="s">
        <v>267</v>
      </c>
      <c r="J627" s="12">
        <f>'05-ISO Reference'!$B$13</f>
        <v>52</v>
      </c>
      <c r="K627" s="12">
        <f>'05-ISO Reference'!$C$13</f>
        <v>74</v>
      </c>
      <c r="L627" s="12">
        <f>'01-Process Controls'!$G$5</f>
        <v>3</v>
      </c>
      <c r="M627" s="8"/>
      <c r="N627" s="8"/>
    </row>
    <row r="628" spans="1:15" ht="21" customHeight="1">
      <c r="A628" s="9" t="s">
        <v>861</v>
      </c>
      <c r="B628" s="48"/>
      <c r="C628" s="48"/>
      <c r="D628" s="10" t="s">
        <v>263</v>
      </c>
      <c r="E628" s="10" t="s">
        <v>859</v>
      </c>
      <c r="F628" s="10" t="s">
        <v>265</v>
      </c>
      <c r="G628" s="10" t="s">
        <v>266</v>
      </c>
      <c r="H628" s="11" t="str">
        <f>IF(AND(B628="",C628=""),"CUSTOM BLANK",IF(OR(B628="",C628=""),"ERROR - ENTER BOTH",IF(OR(B628&lt;=0,C628&lt;=0),"ERROR - NONPOSITIVE",IF(OR(B628&lt;L628,C628&lt;L628),"ERROR - BELOW MIN",IF(OR(AND(B628&lt;=J628,C628&lt;=K628),AND(B628&lt;=K628,C628&lt;=J628)),"VALID - CUSTOM","ERROR - EXCEEDS BASE")))))</f>
        <v>CUSTOM BLANK</v>
      </c>
      <c r="I628" s="10" t="s">
        <v>267</v>
      </c>
      <c r="J628" s="12">
        <f>'05-ISO Reference'!$B$13</f>
        <v>52</v>
      </c>
      <c r="K628" s="12">
        <f>'05-ISO Reference'!$C$13</f>
        <v>74</v>
      </c>
      <c r="L628" s="12">
        <f>'01-Process Controls'!$G$5</f>
        <v>3</v>
      </c>
      <c r="M628" s="8"/>
      <c r="N628" s="8"/>
    </row>
    <row r="629" spans="1:15" ht="21" customHeight="1">
      <c r="A629" s="9" t="s">
        <v>862</v>
      </c>
      <c r="B629" s="48"/>
      <c r="C629" s="48"/>
      <c r="D629" s="10" t="s">
        <v>263</v>
      </c>
      <c r="E629" s="10" t="s">
        <v>859</v>
      </c>
      <c r="F629" s="10" t="s">
        <v>265</v>
      </c>
      <c r="G629" s="10" t="s">
        <v>266</v>
      </c>
      <c r="H629" s="11" t="str">
        <f>IF(AND(B629="",C629=""),"CUSTOM BLANK",IF(OR(B629="",C629=""),"ERROR - ENTER BOTH",IF(OR(B629&lt;=0,C629&lt;=0),"ERROR - NONPOSITIVE",IF(OR(B629&lt;L629,C629&lt;L629),"ERROR - BELOW MIN",IF(OR(AND(B629&lt;=J629,C629&lt;=K629),AND(B629&lt;=K629,C629&lt;=J629)),"VALID - CUSTOM","ERROR - EXCEEDS BASE")))))</f>
        <v>CUSTOM BLANK</v>
      </c>
      <c r="I629" s="10" t="s">
        <v>267</v>
      </c>
      <c r="J629" s="12">
        <f>'05-ISO Reference'!$B$13</f>
        <v>52</v>
      </c>
      <c r="K629" s="12">
        <f>'05-ISO Reference'!$C$13</f>
        <v>74</v>
      </c>
      <c r="L629" s="12">
        <f>'01-Process Controls'!$G$5</f>
        <v>3</v>
      </c>
      <c r="M629" s="8"/>
      <c r="N629" s="8"/>
    </row>
    <row r="630" spans="1:15" ht="21" customHeight="1">
      <c r="A630" s="9" t="s">
        <v>863</v>
      </c>
      <c r="B630" s="48"/>
      <c r="C630" s="48"/>
      <c r="D630" s="10" t="s">
        <v>263</v>
      </c>
      <c r="E630" s="10" t="s">
        <v>859</v>
      </c>
      <c r="F630" s="10" t="s">
        <v>265</v>
      </c>
      <c r="G630" s="10" t="s">
        <v>266</v>
      </c>
      <c r="H630" s="11" t="str">
        <f>IF(AND(B630="",C630=""),"CUSTOM BLANK",IF(OR(B630="",C630=""),"ERROR - ENTER BOTH",IF(OR(B630&lt;=0,C630&lt;=0),"ERROR - NONPOSITIVE",IF(OR(B630&lt;L630,C630&lt;L630),"ERROR - BELOW MIN",IF(OR(AND(B630&lt;=J630,C630&lt;=K630),AND(B630&lt;=K630,C630&lt;=J630)),"VALID - CUSTOM","ERROR - EXCEEDS BASE")))))</f>
        <v>CUSTOM BLANK</v>
      </c>
      <c r="I630" s="10" t="s">
        <v>267</v>
      </c>
      <c r="J630" s="12">
        <f>'05-ISO Reference'!$B$13</f>
        <v>52</v>
      </c>
      <c r="K630" s="12">
        <f>'05-ISO Reference'!$C$13</f>
        <v>74</v>
      </c>
      <c r="L630" s="12">
        <f>'01-Process Controls'!$G$5</f>
        <v>3</v>
      </c>
      <c r="M630" s="8"/>
      <c r="N630" s="8"/>
    </row>
    <row r="631" spans="1:15" ht="21" customHeight="1">
      <c r="A631" s="9" t="s">
        <v>864</v>
      </c>
      <c r="B631" s="48"/>
      <c r="C631" s="48"/>
      <c r="D631" s="10" t="s">
        <v>263</v>
      </c>
      <c r="E631" s="10" t="s">
        <v>859</v>
      </c>
      <c r="F631" s="10" t="s">
        <v>265</v>
      </c>
      <c r="G631" s="10" t="s">
        <v>266</v>
      </c>
      <c r="H631" s="11" t="str">
        <f>IF(AND(B631="",C631=""),"CUSTOM BLANK",IF(OR(B631="",C631=""),"ERROR - ENTER BOTH",IF(OR(B631&lt;=0,C631&lt;=0),"ERROR - NONPOSITIVE",IF(OR(B631&lt;L631,C631&lt;L631),"ERROR - BELOW MIN",IF(OR(AND(B631&lt;=J631,C631&lt;=K631),AND(B631&lt;=K631,C631&lt;=J631)),"VALID - CUSTOM","ERROR - EXCEEDS BASE")))))</f>
        <v>CUSTOM BLANK</v>
      </c>
      <c r="I631" s="10" t="s">
        <v>267</v>
      </c>
      <c r="J631" s="12">
        <f>'05-ISO Reference'!$B$13</f>
        <v>52</v>
      </c>
      <c r="K631" s="12">
        <f>'05-ISO Reference'!$C$13</f>
        <v>74</v>
      </c>
      <c r="L631" s="12">
        <f>'01-Process Controls'!$G$5</f>
        <v>3</v>
      </c>
      <c r="M631" s="8"/>
      <c r="N631" s="8"/>
    </row>
    <row r="632" spans="1:15" ht="21" customHeight="1">
      <c r="A632" s="9" t="s">
        <v>865</v>
      </c>
      <c r="B632" s="48"/>
      <c r="C632" s="48"/>
      <c r="D632" s="10" t="s">
        <v>263</v>
      </c>
      <c r="E632" s="10" t="s">
        <v>859</v>
      </c>
      <c r="F632" s="10" t="s">
        <v>265</v>
      </c>
      <c r="G632" s="10" t="s">
        <v>266</v>
      </c>
      <c r="H632" s="11" t="str">
        <f>IF(AND(B632="",C632=""),"CUSTOM BLANK",IF(OR(B632="",C632=""),"ERROR - ENTER BOTH",IF(OR(B632&lt;=0,C632&lt;=0),"ERROR - NONPOSITIVE",IF(OR(B632&lt;L632,C632&lt;L632),"ERROR - BELOW MIN",IF(OR(AND(B632&lt;=J632,C632&lt;=K632),AND(B632&lt;=K632,C632&lt;=J632)),"VALID - CUSTOM","ERROR - EXCEEDS BASE")))))</f>
        <v>CUSTOM BLANK</v>
      </c>
      <c r="I632" s="10" t="s">
        <v>267</v>
      </c>
      <c r="J632" s="12">
        <f>'05-ISO Reference'!$B$13</f>
        <v>52</v>
      </c>
      <c r="K632" s="12">
        <f>'05-ISO Reference'!$C$13</f>
        <v>74</v>
      </c>
      <c r="L632" s="12">
        <f>'01-Process Controls'!$G$5</f>
        <v>3</v>
      </c>
      <c r="M632" s="8"/>
      <c r="N632" s="8"/>
    </row>
    <row r="633" spans="1:15" ht="21" customHeight="1">
      <c r="A633" s="9" t="s">
        <v>866</v>
      </c>
      <c r="B633" s="48"/>
      <c r="C633" s="48"/>
      <c r="D633" s="10" t="s">
        <v>263</v>
      </c>
      <c r="E633" s="10" t="s">
        <v>859</v>
      </c>
      <c r="F633" s="10" t="s">
        <v>265</v>
      </c>
      <c r="G633" s="10" t="s">
        <v>266</v>
      </c>
      <c r="H633" s="11" t="str">
        <f>IF(AND(B633="",C633=""),"CUSTOM BLANK",IF(OR(B633="",C633=""),"ERROR - ENTER BOTH",IF(OR(B633&lt;=0,C633&lt;=0),"ERROR - NONPOSITIVE",IF(OR(B633&lt;L633,C633&lt;L633),"ERROR - BELOW MIN",IF(OR(AND(B633&lt;=J633,C633&lt;=K633),AND(B633&lt;=K633,C633&lt;=J633)),"VALID - CUSTOM","ERROR - EXCEEDS BASE")))))</f>
        <v>CUSTOM BLANK</v>
      </c>
      <c r="I633" s="10" t="s">
        <v>267</v>
      </c>
      <c r="J633" s="12">
        <f>'05-ISO Reference'!$B$13</f>
        <v>52</v>
      </c>
      <c r="K633" s="12">
        <f>'05-ISO Reference'!$C$13</f>
        <v>74</v>
      </c>
      <c r="L633" s="12">
        <f>'01-Process Controls'!$G$5</f>
        <v>3</v>
      </c>
      <c r="M633" s="8"/>
      <c r="N633" s="8"/>
    </row>
    <row r="634" spans="1:15" ht="21" customHeight="1">
      <c r="A634" s="9" t="s">
        <v>867</v>
      </c>
      <c r="B634" s="48"/>
      <c r="C634" s="48"/>
      <c r="D634" s="10" t="s">
        <v>263</v>
      </c>
      <c r="E634" s="10" t="s">
        <v>859</v>
      </c>
      <c r="F634" s="10" t="s">
        <v>265</v>
      </c>
      <c r="G634" s="10" t="s">
        <v>266</v>
      </c>
      <c r="H634" s="11" t="str">
        <f>IF(AND(B634="",C634=""),"CUSTOM BLANK",IF(OR(B634="",C634=""),"ERROR - ENTER BOTH",IF(OR(B634&lt;=0,C634&lt;=0),"ERROR - NONPOSITIVE",IF(OR(B634&lt;L634,C634&lt;L634),"ERROR - BELOW MIN",IF(OR(AND(B634&lt;=J634,C634&lt;=K634),AND(B634&lt;=K634,C634&lt;=J634)),"VALID - CUSTOM","ERROR - EXCEEDS BASE")))))</f>
        <v>CUSTOM BLANK</v>
      </c>
      <c r="I634" s="10" t="s">
        <v>267</v>
      </c>
      <c r="J634" s="12">
        <f>'05-ISO Reference'!$B$13</f>
        <v>52</v>
      </c>
      <c r="K634" s="12">
        <f>'05-ISO Reference'!$C$13</f>
        <v>74</v>
      </c>
      <c r="L634" s="12">
        <f>'01-Process Controls'!$G$5</f>
        <v>3</v>
      </c>
      <c r="M634" s="8"/>
      <c r="N634" s="8"/>
    </row>
    <row r="635" spans="1:15" ht="21" customHeight="1">
      <c r="A635" s="9" t="s">
        <v>868</v>
      </c>
      <c r="B635" s="48"/>
      <c r="C635" s="48"/>
      <c r="D635" s="10" t="s">
        <v>263</v>
      </c>
      <c r="E635" s="10" t="s">
        <v>859</v>
      </c>
      <c r="F635" s="10" t="s">
        <v>265</v>
      </c>
      <c r="G635" s="10" t="s">
        <v>266</v>
      </c>
      <c r="H635" s="11" t="str">
        <f>IF(AND(B635="",C635=""),"CUSTOM BLANK",IF(OR(B635="",C635=""),"ERROR - ENTER BOTH",IF(OR(B635&lt;=0,C635&lt;=0),"ERROR - NONPOSITIVE",IF(OR(B635&lt;L635,C635&lt;L635),"ERROR - BELOW MIN",IF(OR(AND(B635&lt;=J635,C635&lt;=K635),AND(B635&lt;=K635,C635&lt;=J635)),"VALID - CUSTOM","ERROR - EXCEEDS BASE")))))</f>
        <v>CUSTOM BLANK</v>
      </c>
      <c r="I635" s="10" t="s">
        <v>267</v>
      </c>
      <c r="J635" s="12">
        <f>'05-ISO Reference'!$B$13</f>
        <v>52</v>
      </c>
      <c r="K635" s="12">
        <f>'05-ISO Reference'!$C$13</f>
        <v>74</v>
      </c>
      <c r="L635" s="12">
        <f>'01-Process Controls'!$G$5</f>
        <v>3</v>
      </c>
      <c r="M635" s="8"/>
      <c r="N635" s="8"/>
    </row>
    <row r="636" spans="1:15" ht="21" customHeight="1">
      <c r="A636" s="9" t="s">
        <v>869</v>
      </c>
      <c r="B636" s="48"/>
      <c r="C636" s="48"/>
      <c r="D636" s="10" t="s">
        <v>263</v>
      </c>
      <c r="E636" s="10" t="s">
        <v>859</v>
      </c>
      <c r="F636" s="10" t="s">
        <v>265</v>
      </c>
      <c r="G636" s="10" t="s">
        <v>266</v>
      </c>
      <c r="H636" s="11" t="str">
        <f>IF(AND(B636="",C636=""),"CUSTOM BLANK",IF(OR(B636="",C636=""),"ERROR - ENTER BOTH",IF(OR(B636&lt;=0,C636&lt;=0),"ERROR - NONPOSITIVE",IF(OR(B636&lt;L636,C636&lt;L636),"ERROR - BELOW MIN",IF(OR(AND(B636&lt;=J636,C636&lt;=K636),AND(B636&lt;=K636,C636&lt;=J636)),"VALID - CUSTOM","ERROR - EXCEEDS BASE")))))</f>
        <v>CUSTOM BLANK</v>
      </c>
      <c r="I636" s="10" t="s">
        <v>267</v>
      </c>
      <c r="J636" s="12">
        <f>'05-ISO Reference'!$B$13</f>
        <v>52</v>
      </c>
      <c r="K636" s="12">
        <f>'05-ISO Reference'!$C$13</f>
        <v>74</v>
      </c>
      <c r="L636" s="12">
        <f>'01-Process Controls'!$G$5</f>
        <v>3</v>
      </c>
      <c r="M636" s="8"/>
      <c r="N636" s="8"/>
    </row>
    <row r="637" spans="1:15" ht="21" customHeight="1">
      <c r="A637" s="9" t="s">
        <v>870</v>
      </c>
      <c r="B637" s="48"/>
      <c r="C637" s="48"/>
      <c r="D637" s="10" t="s">
        <v>263</v>
      </c>
      <c r="E637" s="10" t="s">
        <v>859</v>
      </c>
      <c r="F637" s="10" t="s">
        <v>265</v>
      </c>
      <c r="G637" s="10" t="s">
        <v>266</v>
      </c>
      <c r="H637" s="11" t="str">
        <f>IF(AND(B637="",C637=""),"CUSTOM BLANK",IF(OR(B637="",C637=""),"ERROR - ENTER BOTH",IF(OR(B637&lt;=0,C637&lt;=0),"ERROR - NONPOSITIVE",IF(OR(B637&lt;L637,C637&lt;L637),"ERROR - BELOW MIN",IF(OR(AND(B637&lt;=J637,C637&lt;=K637),AND(B637&lt;=K637,C637&lt;=J637)),"VALID - CUSTOM","ERROR - EXCEEDS BASE")))))</f>
        <v>CUSTOM BLANK</v>
      </c>
      <c r="I637" s="10" t="s">
        <v>267</v>
      </c>
      <c r="J637" s="12">
        <f>'05-ISO Reference'!$B$13</f>
        <v>52</v>
      </c>
      <c r="K637" s="12">
        <f>'05-ISO Reference'!$C$13</f>
        <v>74</v>
      </c>
      <c r="L637" s="12">
        <f>'01-Process Controls'!$G$5</f>
        <v>3</v>
      </c>
      <c r="M637" s="8"/>
      <c r="N637" s="8"/>
    </row>
    <row r="638" spans="1:15" ht="21" customHeight="1">
      <c r="A638" s="9" t="s">
        <v>871</v>
      </c>
      <c r="B638" s="48"/>
      <c r="C638" s="48"/>
      <c r="D638" s="10" t="s">
        <v>263</v>
      </c>
      <c r="E638" s="10" t="s">
        <v>859</v>
      </c>
      <c r="F638" s="10" t="s">
        <v>265</v>
      </c>
      <c r="G638" s="10" t="s">
        <v>266</v>
      </c>
      <c r="H638" s="11" t="str">
        <f>IF(AND(B638="",C638=""),"CUSTOM BLANK",IF(OR(B638="",C638=""),"ERROR - ENTER BOTH",IF(OR(B638&lt;=0,C638&lt;=0),"ERROR - NONPOSITIVE",IF(OR(B638&lt;L638,C638&lt;L638),"ERROR - BELOW MIN",IF(OR(AND(B638&lt;=J638,C638&lt;=K638),AND(B638&lt;=K638,C638&lt;=J638)),"VALID - CUSTOM","ERROR - EXCEEDS BASE")))))</f>
        <v>CUSTOM BLANK</v>
      </c>
      <c r="I638" s="10" t="s">
        <v>267</v>
      </c>
      <c r="J638" s="12">
        <f>'05-ISO Reference'!$B$13</f>
        <v>52</v>
      </c>
      <c r="K638" s="12">
        <f>'05-ISO Reference'!$C$13</f>
        <v>74</v>
      </c>
      <c r="L638" s="12">
        <f>'01-Process Controls'!$G$5</f>
        <v>3</v>
      </c>
      <c r="M638" s="8"/>
      <c r="N638" s="8"/>
    </row>
    <row r="639" spans="1:15" ht="21" customHeight="1">
      <c r="A639" s="9" t="s">
        <v>872</v>
      </c>
      <c r="B639" s="48"/>
      <c r="C639" s="48"/>
      <c r="D639" s="10" t="s">
        <v>263</v>
      </c>
      <c r="E639" s="10" t="s">
        <v>859</v>
      </c>
      <c r="F639" s="10" t="s">
        <v>265</v>
      </c>
      <c r="G639" s="10" t="s">
        <v>266</v>
      </c>
      <c r="H639" s="11" t="str">
        <f>IF(AND(B639="",C639=""),"CUSTOM BLANK",IF(OR(B639="",C639=""),"ERROR - ENTER BOTH",IF(OR(B639&lt;=0,C639&lt;=0),"ERROR - NONPOSITIVE",IF(OR(B639&lt;L639,C639&lt;L639),"ERROR - BELOW MIN",IF(OR(AND(B639&lt;=J639,C639&lt;=K639),AND(B639&lt;=K639,C639&lt;=J639)),"VALID - CUSTOM","ERROR - EXCEEDS BASE")))))</f>
        <v>CUSTOM BLANK</v>
      </c>
      <c r="I639" s="10" t="s">
        <v>267</v>
      </c>
      <c r="J639" s="12">
        <f>'05-ISO Reference'!$B$13</f>
        <v>52</v>
      </c>
      <c r="K639" s="12">
        <f>'05-ISO Reference'!$C$13</f>
        <v>74</v>
      </c>
      <c r="L639" s="12">
        <f>'01-Process Controls'!$G$5</f>
        <v>3</v>
      </c>
      <c r="M639" s="8"/>
      <c r="N639" s="8"/>
    </row>
    <row r="640" spans="1:15" ht="21" customHeight="1">
      <c r="A640" s="9" t="s">
        <v>873</v>
      </c>
      <c r="B640" s="48"/>
      <c r="C640" s="48"/>
      <c r="D640" s="10" t="s">
        <v>263</v>
      </c>
      <c r="E640" s="10" t="s">
        <v>859</v>
      </c>
      <c r="F640" s="10" t="s">
        <v>265</v>
      </c>
      <c r="G640" s="10" t="s">
        <v>266</v>
      </c>
      <c r="H640" s="11" t="str">
        <f>IF(AND(B640="",C640=""),"CUSTOM BLANK",IF(OR(B640="",C640=""),"ERROR - ENTER BOTH",IF(OR(B640&lt;=0,C640&lt;=0),"ERROR - NONPOSITIVE",IF(OR(B640&lt;L640,C640&lt;L640),"ERROR - BELOW MIN",IF(OR(AND(B640&lt;=J640,C640&lt;=K640),AND(B640&lt;=K640,C640&lt;=J640)),"VALID - CUSTOM","ERROR - EXCEEDS BASE")))))</f>
        <v>CUSTOM BLANK</v>
      </c>
      <c r="I640" s="10" t="s">
        <v>267</v>
      </c>
      <c r="J640" s="12">
        <f>'05-ISO Reference'!$B$13</f>
        <v>52</v>
      </c>
      <c r="K640" s="12">
        <f>'05-ISO Reference'!$C$13</f>
        <v>74</v>
      </c>
      <c r="L640" s="12">
        <f>'01-Process Controls'!$G$5</f>
        <v>3</v>
      </c>
      <c r="M640" s="8"/>
      <c r="N640" s="8"/>
    </row>
    <row r="641" spans="1:15" ht="21" customHeight="1">
      <c r="A641" s="44" t="s">
        <v>874</v>
      </c>
      <c r="B641" s="45">
        <f>IF(LEFT(H641,5)="VALID",M641,"")</f>
        <v>37</v>
      </c>
      <c r="C641" s="45">
        <f>IF(LEFT(H641,5)="VALID",N641,"")</f>
        <v>52</v>
      </c>
      <c r="D641" s="46" t="s">
        <v>82</v>
      </c>
      <c r="E641" s="46" t="s">
        <v>875</v>
      </c>
      <c r="F641" s="46" t="s">
        <v>122</v>
      </c>
      <c r="G641" s="46" t="s">
        <v>123</v>
      </c>
      <c r="H641" s="47" t="str">
        <f>"VALID - BASE"</f>
        <v>VALID - BASE</v>
      </c>
      <c r="I641" s="46" t="s">
        <v>876</v>
      </c>
      <c r="J641" s="12">
        <f>'05-ISO Reference'!$B$14</f>
        <v>37</v>
      </c>
      <c r="K641" s="12">
        <f>'05-ISO Reference'!$C$14</f>
        <v>52</v>
      </c>
      <c r="L641" s="12">
        <f>'01-Process Controls'!$G$5</f>
        <v>3</v>
      </c>
      <c r="M641" s="12">
        <f>ROUNDDOWN(J641,0)</f>
        <v>37</v>
      </c>
      <c r="N641" s="12">
        <f>ROUNDDOWN(K641,0)</f>
        <v>52</v>
      </c>
      <c r="O641" s="9">
        <v>0</v>
      </c>
    </row>
    <row r="642" spans="1:15" ht="21" customHeight="1">
      <c r="A642" s="9" t="s">
        <v>877</v>
      </c>
      <c r="B642" s="12">
        <f>IF(LEFT(H642,5)="VALID",M642,"")</f>
        <v>18</v>
      </c>
      <c r="C642" s="12">
        <f>IF(LEFT(H642,5)="VALID",N642,"")</f>
        <v>52</v>
      </c>
      <c r="D642" s="10" t="s">
        <v>82</v>
      </c>
      <c r="E642" s="10" t="s">
        <v>875</v>
      </c>
      <c r="F642" s="10" t="s">
        <v>126</v>
      </c>
      <c r="G642" s="10" t="s">
        <v>127</v>
      </c>
      <c r="H642" s="11" t="str">
        <f>IF(OR(M642&lt;=0,N642&lt;=0),"SKIPPED - NONPOSITIVE",IF(OR(M642&lt;L642,N642&lt;L642),"SKIPPED - BELOW MIN",IF(OR(M642&gt;J642,N642&gt;K642),"SKIPPED - EXCEEDS BASE",IF(COUNTIFS($M$641:M641,M642,$N$641:N641,N642)&gt;0,"SKIPPED - DUPLICATE","VALID - GENERATED"))))</f>
        <v>VALID - GENERATED</v>
      </c>
      <c r="I642" s="10" t="s">
        <v>876</v>
      </c>
      <c r="J642" s="12">
        <f>'05-ISO Reference'!$B$14</f>
        <v>37</v>
      </c>
      <c r="K642" s="12">
        <f>'05-ISO Reference'!$C$14</f>
        <v>52</v>
      </c>
      <c r="L642" s="12">
        <f>'01-Process Controls'!$G$5</f>
        <v>3</v>
      </c>
      <c r="M642" s="12">
        <f>ROUNDDOWN(J642*'04-Variant Rules'!$D$6,0)</f>
        <v>18</v>
      </c>
      <c r="N642" s="12">
        <f>ROUNDDOWN(K642,0)</f>
        <v>52</v>
      </c>
      <c r="O642" s="9">
        <v>1</v>
      </c>
    </row>
    <row r="643" spans="1:15" ht="21" customHeight="1">
      <c r="A643" s="9" t="s">
        <v>878</v>
      </c>
      <c r="B643" s="12">
        <f>IF(LEFT(H643,5)="VALID",M643,"")</f>
        <v>12</v>
      </c>
      <c r="C643" s="12">
        <f>IF(LEFT(H643,5)="VALID",N643,"")</f>
        <v>52</v>
      </c>
      <c r="D643" s="10" t="s">
        <v>82</v>
      </c>
      <c r="E643" s="10" t="s">
        <v>875</v>
      </c>
      <c r="F643" s="10" t="s">
        <v>129</v>
      </c>
      <c r="G643" s="10" t="s">
        <v>130</v>
      </c>
      <c r="H643" s="11" t="str">
        <f>IF(OR(M643&lt;=0,N643&lt;=0),"SKIPPED - NONPOSITIVE",IF(OR(M643&lt;L643,N643&lt;L643),"SKIPPED - BELOW MIN",IF(OR(M643&gt;J643,N643&gt;K643),"SKIPPED - EXCEEDS BASE",IF(COUNTIFS($M$641:M642,M643,$N$641:N642,N643)&gt;0,"SKIPPED - DUPLICATE","VALID - GENERATED"))))</f>
        <v>VALID - GENERATED</v>
      </c>
      <c r="I643" s="10" t="s">
        <v>876</v>
      </c>
      <c r="J643" s="12">
        <f>'05-ISO Reference'!$B$14</f>
        <v>37</v>
      </c>
      <c r="K643" s="12">
        <f>'05-ISO Reference'!$C$14</f>
        <v>52</v>
      </c>
      <c r="L643" s="12">
        <f>'01-Process Controls'!$G$5</f>
        <v>3</v>
      </c>
      <c r="M643" s="12">
        <f>ROUNDDOWN(J643*'04-Variant Rules'!$D$7,0)</f>
        <v>12</v>
      </c>
      <c r="N643" s="12">
        <f>ROUNDDOWN(K643,0)</f>
        <v>52</v>
      </c>
      <c r="O643" s="9">
        <v>2</v>
      </c>
    </row>
    <row r="644" spans="1:15" ht="21" customHeight="1">
      <c r="A644" s="9" t="s">
        <v>879</v>
      </c>
      <c r="B644" s="12">
        <f>IF(LEFT(H644,5)="VALID",M644,"")</f>
        <v>9</v>
      </c>
      <c r="C644" s="12">
        <f>IF(LEFT(H644,5)="VALID",N644,"")</f>
        <v>52</v>
      </c>
      <c r="D644" s="10" t="s">
        <v>82</v>
      </c>
      <c r="E644" s="10" t="s">
        <v>875</v>
      </c>
      <c r="F644" s="10" t="s">
        <v>132</v>
      </c>
      <c r="G644" s="10" t="s">
        <v>133</v>
      </c>
      <c r="H644" s="11" t="str">
        <f>IF(OR(M644&lt;=0,N644&lt;=0),"SKIPPED - NONPOSITIVE",IF(OR(M644&lt;L644,N644&lt;L644),"SKIPPED - BELOW MIN",IF(OR(M644&gt;J644,N644&gt;K644),"SKIPPED - EXCEEDS BASE",IF(COUNTIFS($M$641:M643,M644,$N$641:N643,N644)&gt;0,"SKIPPED - DUPLICATE","VALID - GENERATED"))))</f>
        <v>VALID - GENERATED</v>
      </c>
      <c r="I644" s="10" t="s">
        <v>876</v>
      </c>
      <c r="J644" s="12">
        <f>'05-ISO Reference'!$B$14</f>
        <v>37</v>
      </c>
      <c r="K644" s="12">
        <f>'05-ISO Reference'!$C$14</f>
        <v>52</v>
      </c>
      <c r="L644" s="12">
        <f>'01-Process Controls'!$G$5</f>
        <v>3</v>
      </c>
      <c r="M644" s="12">
        <f>ROUNDDOWN(J644*'04-Variant Rules'!$D$8,0)</f>
        <v>9</v>
      </c>
      <c r="N644" s="12">
        <f>ROUNDDOWN(K644,0)</f>
        <v>52</v>
      </c>
      <c r="O644" s="9">
        <v>3</v>
      </c>
    </row>
    <row r="645" spans="1:15" ht="21" customHeight="1">
      <c r="A645" s="9" t="s">
        <v>880</v>
      </c>
      <c r="B645" s="12">
        <f>IF(LEFT(H645,5)="VALID",M645,"")</f>
        <v>24</v>
      </c>
      <c r="C645" s="12">
        <f>IF(LEFT(H645,5)="VALID",N645,"")</f>
        <v>52</v>
      </c>
      <c r="D645" s="10" t="s">
        <v>82</v>
      </c>
      <c r="E645" s="10" t="s">
        <v>875</v>
      </c>
      <c r="F645" s="10" t="s">
        <v>135</v>
      </c>
      <c r="G645" s="10" t="s">
        <v>136</v>
      </c>
      <c r="H645" s="11" t="str">
        <f>IF(OR(M645&lt;=0,N645&lt;=0),"SKIPPED - NONPOSITIVE",IF(OR(M645&lt;L645,N645&lt;L645),"SKIPPED - BELOW MIN",IF(OR(M645&gt;J645,N645&gt;K645),"SKIPPED - EXCEEDS BASE",IF(COUNTIFS($M$641:M644,M645,$N$641:N644,N645)&gt;0,"SKIPPED - DUPLICATE","VALID - GENERATED"))))</f>
        <v>VALID - GENERATED</v>
      </c>
      <c r="I645" s="10" t="s">
        <v>876</v>
      </c>
      <c r="J645" s="12">
        <f>'05-ISO Reference'!$B$14</f>
        <v>37</v>
      </c>
      <c r="K645" s="12">
        <f>'05-ISO Reference'!$C$14</f>
        <v>52</v>
      </c>
      <c r="L645" s="12">
        <f>'01-Process Controls'!$G$5</f>
        <v>3</v>
      </c>
      <c r="M645" s="12">
        <f>ROUNDDOWN(J645*'04-Variant Rules'!$D$9,0)</f>
        <v>24</v>
      </c>
      <c r="N645" s="12">
        <f>ROUNDDOWN(K645,0)</f>
        <v>52</v>
      </c>
      <c r="O645" s="9">
        <v>4</v>
      </c>
    </row>
    <row r="646" spans="1:15" ht="21" customHeight="1">
      <c r="A646" s="9" t="s">
        <v>881</v>
      </c>
      <c r="B646" s="12">
        <f>IF(LEFT(H646,5)="VALID",M646,"")</f>
        <v>27</v>
      </c>
      <c r="C646" s="12">
        <f>IF(LEFT(H646,5)="VALID",N646,"")</f>
        <v>52</v>
      </c>
      <c r="D646" s="10" t="s">
        <v>82</v>
      </c>
      <c r="E646" s="10" t="s">
        <v>875</v>
      </c>
      <c r="F646" s="10" t="s">
        <v>138</v>
      </c>
      <c r="G646" s="10" t="s">
        <v>139</v>
      </c>
      <c r="H646" s="11" t="str">
        <f>IF(OR(M646&lt;=0,N646&lt;=0),"SKIPPED - NONPOSITIVE",IF(OR(M646&lt;L646,N646&lt;L646),"SKIPPED - BELOW MIN",IF(OR(M646&gt;J646,N646&gt;K646),"SKIPPED - EXCEEDS BASE",IF(COUNTIFS($M$641:M645,M646,$N$641:N645,N646)&gt;0,"SKIPPED - DUPLICATE","VALID - GENERATED"))))</f>
        <v>VALID - GENERATED</v>
      </c>
      <c r="I646" s="10" t="s">
        <v>876</v>
      </c>
      <c r="J646" s="12">
        <f>'05-ISO Reference'!$B$14</f>
        <v>37</v>
      </c>
      <c r="K646" s="12">
        <f>'05-ISO Reference'!$C$14</f>
        <v>52</v>
      </c>
      <c r="L646" s="12">
        <f>'01-Process Controls'!$G$5</f>
        <v>3</v>
      </c>
      <c r="M646" s="12">
        <f>ROUNDDOWN(J646*'04-Variant Rules'!$D$10,0)</f>
        <v>27</v>
      </c>
      <c r="N646" s="12">
        <f>ROUNDDOWN(K646,0)</f>
        <v>52</v>
      </c>
      <c r="O646" s="9">
        <v>5</v>
      </c>
    </row>
    <row r="647" spans="1:15" ht="21" customHeight="1">
      <c r="A647" s="9" t="s">
        <v>882</v>
      </c>
      <c r="B647" s="12">
        <f>IF(LEFT(H647,5)="VALID",M647,"")</f>
        <v>37</v>
      </c>
      <c r="C647" s="12">
        <f>IF(LEFT(H647,5)="VALID",N647,"")</f>
        <v>26</v>
      </c>
      <c r="D647" s="10" t="s">
        <v>82</v>
      </c>
      <c r="E647" s="10" t="s">
        <v>875</v>
      </c>
      <c r="F647" s="10" t="s">
        <v>141</v>
      </c>
      <c r="G647" s="10" t="s">
        <v>142</v>
      </c>
      <c r="H647" s="11" t="str">
        <f>IF(OR(M647&lt;=0,N647&lt;=0),"SKIPPED - NONPOSITIVE",IF(OR(M647&lt;L647,N647&lt;L647),"SKIPPED - BELOW MIN",IF(OR(M647&gt;J647,N647&gt;K647),"SKIPPED - EXCEEDS BASE",IF(COUNTIFS($M$641:M646,M647,$N$641:N646,N647)&gt;0,"SKIPPED - DUPLICATE","VALID - GENERATED"))))</f>
        <v>VALID - GENERATED</v>
      </c>
      <c r="I647" s="10" t="s">
        <v>876</v>
      </c>
      <c r="J647" s="12">
        <f>'05-ISO Reference'!$B$14</f>
        <v>37</v>
      </c>
      <c r="K647" s="12">
        <f>'05-ISO Reference'!$C$14</f>
        <v>52</v>
      </c>
      <c r="L647" s="12">
        <f>'01-Process Controls'!$G$5</f>
        <v>3</v>
      </c>
      <c r="M647" s="12">
        <f>ROUNDDOWN(J647,0)</f>
        <v>37</v>
      </c>
      <c r="N647" s="12">
        <f>ROUNDDOWN(K647*'04-Variant Rules'!$D$11,0)</f>
        <v>26</v>
      </c>
      <c r="O647" s="9">
        <v>6</v>
      </c>
    </row>
    <row r="648" spans="1:15" ht="21" customHeight="1">
      <c r="A648" s="9" t="s">
        <v>883</v>
      </c>
      <c r="B648" s="12">
        <f>IF(LEFT(H648,5)="VALID",M648,"")</f>
        <v>37</v>
      </c>
      <c r="C648" s="12">
        <f>IF(LEFT(H648,5)="VALID",N648,"")</f>
        <v>17</v>
      </c>
      <c r="D648" s="10" t="s">
        <v>82</v>
      </c>
      <c r="E648" s="10" t="s">
        <v>875</v>
      </c>
      <c r="F648" s="10" t="s">
        <v>144</v>
      </c>
      <c r="G648" s="10" t="s">
        <v>145</v>
      </c>
      <c r="H648" s="11" t="str">
        <f>IF(OR(M648&lt;=0,N648&lt;=0),"SKIPPED - NONPOSITIVE",IF(OR(M648&lt;L648,N648&lt;L648),"SKIPPED - BELOW MIN",IF(OR(M648&gt;J648,N648&gt;K648),"SKIPPED - EXCEEDS BASE",IF(COUNTIFS($M$641:M647,M648,$N$641:N647,N648)&gt;0,"SKIPPED - DUPLICATE","VALID - GENERATED"))))</f>
        <v>VALID - GENERATED</v>
      </c>
      <c r="I648" s="10" t="s">
        <v>876</v>
      </c>
      <c r="J648" s="12">
        <f>'05-ISO Reference'!$B$14</f>
        <v>37</v>
      </c>
      <c r="K648" s="12">
        <f>'05-ISO Reference'!$C$14</f>
        <v>52</v>
      </c>
      <c r="L648" s="12">
        <f>'01-Process Controls'!$G$5</f>
        <v>3</v>
      </c>
      <c r="M648" s="12">
        <f>ROUNDDOWN(J648,0)</f>
        <v>37</v>
      </c>
      <c r="N648" s="12">
        <f>ROUNDDOWN(K648*'04-Variant Rules'!$D$12,0)</f>
        <v>17</v>
      </c>
      <c r="O648" s="9">
        <v>7</v>
      </c>
    </row>
    <row r="649" spans="1:15" ht="21" customHeight="1">
      <c r="A649" s="9" t="s">
        <v>884</v>
      </c>
      <c r="B649" s="12">
        <f>IF(LEFT(H649,5)="VALID",M649,"")</f>
        <v>37</v>
      </c>
      <c r="C649" s="12">
        <f>IF(LEFT(H649,5)="VALID",N649,"")</f>
        <v>13</v>
      </c>
      <c r="D649" s="10" t="s">
        <v>82</v>
      </c>
      <c r="E649" s="10" t="s">
        <v>875</v>
      </c>
      <c r="F649" s="10" t="s">
        <v>147</v>
      </c>
      <c r="G649" s="10" t="s">
        <v>148</v>
      </c>
      <c r="H649" s="11" t="str">
        <f>IF(OR(M649&lt;=0,N649&lt;=0),"SKIPPED - NONPOSITIVE",IF(OR(M649&lt;L649,N649&lt;L649),"SKIPPED - BELOW MIN",IF(OR(M649&gt;J649,N649&gt;K649),"SKIPPED - EXCEEDS BASE",IF(COUNTIFS($M$641:M648,M649,$N$641:N648,N649)&gt;0,"SKIPPED - DUPLICATE","VALID - GENERATED"))))</f>
        <v>VALID - GENERATED</v>
      </c>
      <c r="I649" s="10" t="s">
        <v>876</v>
      </c>
      <c r="J649" s="12">
        <f>'05-ISO Reference'!$B$14</f>
        <v>37</v>
      </c>
      <c r="K649" s="12">
        <f>'05-ISO Reference'!$C$14</f>
        <v>52</v>
      </c>
      <c r="L649" s="12">
        <f>'01-Process Controls'!$G$5</f>
        <v>3</v>
      </c>
      <c r="M649" s="12">
        <f>ROUNDDOWN(J649,0)</f>
        <v>37</v>
      </c>
      <c r="N649" s="12">
        <f>ROUNDDOWN(K649*'04-Variant Rules'!$D$13,0)</f>
        <v>13</v>
      </c>
      <c r="O649" s="9">
        <v>8</v>
      </c>
    </row>
    <row r="650" spans="1:15" ht="21" customHeight="1">
      <c r="A650" s="9" t="s">
        <v>885</v>
      </c>
      <c r="B650" s="12">
        <f>IF(LEFT(H650,5)="VALID",M650,"")</f>
        <v>37</v>
      </c>
      <c r="C650" s="12">
        <f>IF(LEFT(H650,5)="VALID",N650,"")</f>
        <v>34</v>
      </c>
      <c r="D650" s="10" t="s">
        <v>82</v>
      </c>
      <c r="E650" s="10" t="s">
        <v>875</v>
      </c>
      <c r="F650" s="10" t="s">
        <v>150</v>
      </c>
      <c r="G650" s="10" t="s">
        <v>151</v>
      </c>
      <c r="H650" s="11" t="str">
        <f>IF(OR(M650&lt;=0,N650&lt;=0),"SKIPPED - NONPOSITIVE",IF(OR(M650&lt;L650,N650&lt;L650),"SKIPPED - BELOW MIN",IF(OR(M650&gt;J650,N650&gt;K650),"SKIPPED - EXCEEDS BASE",IF(COUNTIFS($M$641:M649,M650,$N$641:N649,N650)&gt;0,"SKIPPED - DUPLICATE","VALID - GENERATED"))))</f>
        <v>VALID - GENERATED</v>
      </c>
      <c r="I650" s="10" t="s">
        <v>876</v>
      </c>
      <c r="J650" s="12">
        <f>'05-ISO Reference'!$B$14</f>
        <v>37</v>
      </c>
      <c r="K650" s="12">
        <f>'05-ISO Reference'!$C$14</f>
        <v>52</v>
      </c>
      <c r="L650" s="12">
        <f>'01-Process Controls'!$G$5</f>
        <v>3</v>
      </c>
      <c r="M650" s="12">
        <f>ROUNDDOWN(J650,0)</f>
        <v>37</v>
      </c>
      <c r="N650" s="12">
        <f>ROUNDDOWN(K650*'04-Variant Rules'!$D$14,0)</f>
        <v>34</v>
      </c>
      <c r="O650" s="9">
        <v>9</v>
      </c>
    </row>
    <row r="651" spans="1:15" ht="21" customHeight="1">
      <c r="A651" s="9" t="s">
        <v>886</v>
      </c>
      <c r="B651" s="12">
        <f>IF(LEFT(H651,5)="VALID",M651,"")</f>
        <v>37</v>
      </c>
      <c r="C651" s="12">
        <f>IF(LEFT(H651,5)="VALID",N651,"")</f>
        <v>39</v>
      </c>
      <c r="D651" s="10" t="s">
        <v>82</v>
      </c>
      <c r="E651" s="10" t="s">
        <v>875</v>
      </c>
      <c r="F651" s="10" t="s">
        <v>153</v>
      </c>
      <c r="G651" s="10" t="s">
        <v>154</v>
      </c>
      <c r="H651" s="11" t="str">
        <f>IF(OR(M651&lt;=0,N651&lt;=0),"SKIPPED - NONPOSITIVE",IF(OR(M651&lt;L651,N651&lt;L651),"SKIPPED - BELOW MIN",IF(OR(M651&gt;J651,N651&gt;K651),"SKIPPED - EXCEEDS BASE",IF(COUNTIFS($M$641:M650,M651,$N$641:N650,N651)&gt;0,"SKIPPED - DUPLICATE","VALID - GENERATED"))))</f>
        <v>VALID - GENERATED</v>
      </c>
      <c r="I651" s="10" t="s">
        <v>876</v>
      </c>
      <c r="J651" s="12">
        <f>'05-ISO Reference'!$B$14</f>
        <v>37</v>
      </c>
      <c r="K651" s="12">
        <f>'05-ISO Reference'!$C$14</f>
        <v>52</v>
      </c>
      <c r="L651" s="12">
        <f>'01-Process Controls'!$G$5</f>
        <v>3</v>
      </c>
      <c r="M651" s="12">
        <f>ROUNDDOWN(J651,0)</f>
        <v>37</v>
      </c>
      <c r="N651" s="12">
        <f>ROUNDDOWN(K651*'04-Variant Rules'!$D$15,0)</f>
        <v>39</v>
      </c>
      <c r="O651" s="9">
        <v>10</v>
      </c>
    </row>
    <row r="652" spans="1:15" ht="21" customHeight="1">
      <c r="A652" s="9" t="s">
        <v>887</v>
      </c>
      <c r="B652" s="12">
        <f>IF(LEFT(H652,5)="VALID",M652,"")</f>
        <v>18</v>
      </c>
      <c r="C652" s="12">
        <f>IF(LEFT(H652,5)="VALID",N652,"")</f>
        <v>26</v>
      </c>
      <c r="D652" s="10" t="s">
        <v>82</v>
      </c>
      <c r="E652" s="10" t="s">
        <v>875</v>
      </c>
      <c r="F652" s="10" t="s">
        <v>156</v>
      </c>
      <c r="G652" s="10" t="s">
        <v>157</v>
      </c>
      <c r="H652" s="11" t="str">
        <f>IF(OR(M652&lt;=0,N652&lt;=0),"SKIPPED - NONPOSITIVE",IF(OR(M652&lt;L652,N652&lt;L652),"SKIPPED - BELOW MIN",IF(OR(M652&gt;J652,N652&gt;K652),"SKIPPED - EXCEEDS BASE",IF(COUNTIFS($M$641:M651,M652,$N$641:N651,N652)&gt;0,"SKIPPED - DUPLICATE","VALID - GENERATED"))))</f>
        <v>VALID - GENERATED</v>
      </c>
      <c r="I652" s="10" t="s">
        <v>876</v>
      </c>
      <c r="J652" s="12">
        <f>'05-ISO Reference'!$B$14</f>
        <v>37</v>
      </c>
      <c r="K652" s="12">
        <f>'05-ISO Reference'!$C$14</f>
        <v>52</v>
      </c>
      <c r="L652" s="12">
        <f>'01-Process Controls'!$G$5</f>
        <v>3</v>
      </c>
      <c r="M652" s="12">
        <f>ROUNDDOWN(J652*'04-Variant Rules'!$D$16,0)</f>
        <v>18</v>
      </c>
      <c r="N652" s="12">
        <f>ROUNDDOWN(K652*'04-Variant Rules'!$E$16,0)</f>
        <v>26</v>
      </c>
      <c r="O652" s="9">
        <v>11</v>
      </c>
    </row>
    <row r="653" spans="1:15" ht="21" customHeight="1">
      <c r="A653" s="9" t="s">
        <v>888</v>
      </c>
      <c r="B653" s="12">
        <f>IF(LEFT(H653,5)="VALID",M653,"")</f>
        <v>12</v>
      </c>
      <c r="C653" s="12">
        <f>IF(LEFT(H653,5)="VALID",N653,"")</f>
        <v>17</v>
      </c>
      <c r="D653" s="10" t="s">
        <v>82</v>
      </c>
      <c r="E653" s="10" t="s">
        <v>875</v>
      </c>
      <c r="F653" s="10" t="s">
        <v>159</v>
      </c>
      <c r="G653" s="10" t="s">
        <v>160</v>
      </c>
      <c r="H653" s="11" t="str">
        <f>IF(OR(M653&lt;=0,N653&lt;=0),"SKIPPED - NONPOSITIVE",IF(OR(M653&lt;L653,N653&lt;L653),"SKIPPED - BELOW MIN",IF(OR(M653&gt;J653,N653&gt;K653),"SKIPPED - EXCEEDS BASE",IF(COUNTIFS($M$641:M652,M653,$N$641:N652,N653)&gt;0,"SKIPPED - DUPLICATE","VALID - GENERATED"))))</f>
        <v>VALID - GENERATED</v>
      </c>
      <c r="I653" s="10" t="s">
        <v>876</v>
      </c>
      <c r="J653" s="12">
        <f>'05-ISO Reference'!$B$14</f>
        <v>37</v>
      </c>
      <c r="K653" s="12">
        <f>'05-ISO Reference'!$C$14</f>
        <v>52</v>
      </c>
      <c r="L653" s="12">
        <f>'01-Process Controls'!$G$5</f>
        <v>3</v>
      </c>
      <c r="M653" s="12">
        <f>ROUNDDOWN(J653*'04-Variant Rules'!$D$17,0)</f>
        <v>12</v>
      </c>
      <c r="N653" s="12">
        <f>ROUNDDOWN(K653*'04-Variant Rules'!$E$17,0)</f>
        <v>17</v>
      </c>
      <c r="O653" s="9">
        <v>12</v>
      </c>
    </row>
    <row r="654" spans="1:15" ht="21" customHeight="1">
      <c r="A654" s="9" t="s">
        <v>889</v>
      </c>
      <c r="B654" s="12">
        <f>IF(LEFT(H654,5)="VALID",M654,"")</f>
        <v>9</v>
      </c>
      <c r="C654" s="12">
        <f>IF(LEFT(H654,5)="VALID",N654,"")</f>
        <v>13</v>
      </c>
      <c r="D654" s="10" t="s">
        <v>82</v>
      </c>
      <c r="E654" s="10" t="s">
        <v>875</v>
      </c>
      <c r="F654" s="10" t="s">
        <v>162</v>
      </c>
      <c r="G654" s="10" t="s">
        <v>163</v>
      </c>
      <c r="H654" s="11" t="str">
        <f>IF(OR(M654&lt;=0,N654&lt;=0),"SKIPPED - NONPOSITIVE",IF(OR(M654&lt;L654,N654&lt;L654),"SKIPPED - BELOW MIN",IF(OR(M654&gt;J654,N654&gt;K654),"SKIPPED - EXCEEDS BASE",IF(COUNTIFS($M$641:M653,M654,$N$641:N653,N654)&gt;0,"SKIPPED - DUPLICATE","VALID - GENERATED"))))</f>
        <v>VALID - GENERATED</v>
      </c>
      <c r="I654" s="10" t="s">
        <v>876</v>
      </c>
      <c r="J654" s="12">
        <f>'05-ISO Reference'!$B$14</f>
        <v>37</v>
      </c>
      <c r="K654" s="12">
        <f>'05-ISO Reference'!$C$14</f>
        <v>52</v>
      </c>
      <c r="L654" s="12">
        <f>'01-Process Controls'!$G$5</f>
        <v>3</v>
      </c>
      <c r="M654" s="12">
        <f>ROUNDDOWN(J654*'04-Variant Rules'!$D$18,0)</f>
        <v>9</v>
      </c>
      <c r="N654" s="12">
        <f>ROUNDDOWN(K654*'04-Variant Rules'!$E$18,0)</f>
        <v>13</v>
      </c>
      <c r="O654" s="9">
        <v>13</v>
      </c>
    </row>
    <row r="655" spans="1:15" ht="21" customHeight="1">
      <c r="A655" s="9" t="s">
        <v>890</v>
      </c>
      <c r="B655" s="12">
        <f>IF(LEFT(H655,5)="VALID",M655,"")</f>
        <v>18</v>
      </c>
      <c r="C655" s="12">
        <f>IF(LEFT(H655,5)="VALID",N655,"")</f>
        <v>17</v>
      </c>
      <c r="D655" s="10" t="s">
        <v>82</v>
      </c>
      <c r="E655" s="10" t="s">
        <v>875</v>
      </c>
      <c r="F655" s="10" t="s">
        <v>165</v>
      </c>
      <c r="G655" s="10" t="s">
        <v>166</v>
      </c>
      <c r="H655" s="11" t="str">
        <f>IF(OR(M655&lt;=0,N655&lt;=0),"SKIPPED - NONPOSITIVE",IF(OR(M655&lt;L655,N655&lt;L655),"SKIPPED - BELOW MIN",IF(OR(M655&gt;J655,N655&gt;K655),"SKIPPED - EXCEEDS BASE",IF(COUNTIFS($M$641:M654,M655,$N$641:N654,N655)&gt;0,"SKIPPED - DUPLICATE","VALID - GENERATED"))))</f>
        <v>VALID - GENERATED</v>
      </c>
      <c r="I655" s="10" t="s">
        <v>876</v>
      </c>
      <c r="J655" s="12">
        <f>'05-ISO Reference'!$B$14</f>
        <v>37</v>
      </c>
      <c r="K655" s="12">
        <f>'05-ISO Reference'!$C$14</f>
        <v>52</v>
      </c>
      <c r="L655" s="12">
        <f>'01-Process Controls'!$G$5</f>
        <v>3</v>
      </c>
      <c r="M655" s="12">
        <f>ROUNDDOWN(J655*'04-Variant Rules'!$D$19,0)</f>
        <v>18</v>
      </c>
      <c r="N655" s="12">
        <f>ROUNDDOWN(K655*'04-Variant Rules'!$E$19,0)</f>
        <v>17</v>
      </c>
      <c r="O655" s="9">
        <v>14</v>
      </c>
    </row>
    <row r="656" spans="1:15" ht="21" customHeight="1">
      <c r="A656" s="9" t="s">
        <v>891</v>
      </c>
      <c r="B656" s="12">
        <f>IF(LEFT(H656,5)="VALID",M656,"")</f>
        <v>12</v>
      </c>
      <c r="C656" s="12">
        <f>IF(LEFT(H656,5)="VALID",N656,"")</f>
        <v>26</v>
      </c>
      <c r="D656" s="10" t="s">
        <v>82</v>
      </c>
      <c r="E656" s="10" t="s">
        <v>875</v>
      </c>
      <c r="F656" s="10" t="s">
        <v>168</v>
      </c>
      <c r="G656" s="10" t="s">
        <v>166</v>
      </c>
      <c r="H656" s="11" t="str">
        <f>IF(OR(M656&lt;=0,N656&lt;=0),"SKIPPED - NONPOSITIVE",IF(OR(M656&lt;L656,N656&lt;L656),"SKIPPED - BELOW MIN",IF(OR(M656&gt;J656,N656&gt;K656),"SKIPPED - EXCEEDS BASE",IF(COUNTIFS($M$641:M655,M656,$N$641:N655,N656)&gt;0,"SKIPPED - DUPLICATE","VALID - GENERATED"))))</f>
        <v>VALID - GENERATED</v>
      </c>
      <c r="I656" s="10" t="s">
        <v>876</v>
      </c>
      <c r="J656" s="12">
        <f>'05-ISO Reference'!$B$14</f>
        <v>37</v>
      </c>
      <c r="K656" s="12">
        <f>'05-ISO Reference'!$C$14</f>
        <v>52</v>
      </c>
      <c r="L656" s="12">
        <f>'01-Process Controls'!$G$5</f>
        <v>3</v>
      </c>
      <c r="M656" s="12">
        <f>ROUNDDOWN(J656*'04-Variant Rules'!$D$20,0)</f>
        <v>12</v>
      </c>
      <c r="N656" s="12">
        <f>ROUNDDOWN(K656*'04-Variant Rules'!$E$20,0)</f>
        <v>26</v>
      </c>
      <c r="O656" s="9">
        <v>15</v>
      </c>
    </row>
    <row r="657" spans="1:15" ht="21" customHeight="1">
      <c r="A657" s="9" t="s">
        <v>892</v>
      </c>
      <c r="B657" s="12">
        <f>IF(LEFT(H657,5)="VALID",M657,"")</f>
        <v>18</v>
      </c>
      <c r="C657" s="12">
        <f>IF(LEFT(H657,5)="VALID",N657,"")</f>
        <v>13</v>
      </c>
      <c r="D657" s="10" t="s">
        <v>82</v>
      </c>
      <c r="E657" s="10" t="s">
        <v>875</v>
      </c>
      <c r="F657" s="10" t="s">
        <v>170</v>
      </c>
      <c r="G657" s="10" t="s">
        <v>166</v>
      </c>
      <c r="H657" s="11" t="str">
        <f>IF(OR(M657&lt;=0,N657&lt;=0),"SKIPPED - NONPOSITIVE",IF(OR(M657&lt;L657,N657&lt;L657),"SKIPPED - BELOW MIN",IF(OR(M657&gt;J657,N657&gt;K657),"SKIPPED - EXCEEDS BASE",IF(COUNTIFS($M$641:M656,M657,$N$641:N656,N657)&gt;0,"SKIPPED - DUPLICATE","VALID - GENERATED"))))</f>
        <v>VALID - GENERATED</v>
      </c>
      <c r="I657" s="10" t="s">
        <v>876</v>
      </c>
      <c r="J657" s="12">
        <f>'05-ISO Reference'!$B$14</f>
        <v>37</v>
      </c>
      <c r="K657" s="12">
        <f>'05-ISO Reference'!$C$14</f>
        <v>52</v>
      </c>
      <c r="L657" s="12">
        <f>'01-Process Controls'!$G$5</f>
        <v>3</v>
      </c>
      <c r="M657" s="12">
        <f>ROUNDDOWN(J657*'04-Variant Rules'!$D$21,0)</f>
        <v>18</v>
      </c>
      <c r="N657" s="12">
        <f>ROUNDDOWN(K657*'04-Variant Rules'!$E$21,0)</f>
        <v>13</v>
      </c>
      <c r="O657" s="9">
        <v>16</v>
      </c>
    </row>
    <row r="658" spans="1:15" ht="21" customHeight="1">
      <c r="A658" s="9" t="s">
        <v>893</v>
      </c>
      <c r="B658" s="12">
        <f>IF(LEFT(H658,5)="VALID",M658,"")</f>
        <v>9</v>
      </c>
      <c r="C658" s="12">
        <f>IF(LEFT(H658,5)="VALID",N658,"")</f>
        <v>26</v>
      </c>
      <c r="D658" s="10" t="s">
        <v>82</v>
      </c>
      <c r="E658" s="10" t="s">
        <v>875</v>
      </c>
      <c r="F658" s="10" t="s">
        <v>172</v>
      </c>
      <c r="G658" s="10" t="s">
        <v>166</v>
      </c>
      <c r="H658" s="11" t="str">
        <f>IF(OR(M658&lt;=0,N658&lt;=0),"SKIPPED - NONPOSITIVE",IF(OR(M658&lt;L658,N658&lt;L658),"SKIPPED - BELOW MIN",IF(OR(M658&gt;J658,N658&gt;K658),"SKIPPED - EXCEEDS BASE",IF(COUNTIFS($M$641:M657,M658,$N$641:N657,N658)&gt;0,"SKIPPED - DUPLICATE","VALID - GENERATED"))))</f>
        <v>VALID - GENERATED</v>
      </c>
      <c r="I658" s="10" t="s">
        <v>876</v>
      </c>
      <c r="J658" s="12">
        <f>'05-ISO Reference'!$B$14</f>
        <v>37</v>
      </c>
      <c r="K658" s="12">
        <f>'05-ISO Reference'!$C$14</f>
        <v>52</v>
      </c>
      <c r="L658" s="12">
        <f>'01-Process Controls'!$G$5</f>
        <v>3</v>
      </c>
      <c r="M658" s="12">
        <f>ROUNDDOWN(J658*'04-Variant Rules'!$D$22,0)</f>
        <v>9</v>
      </c>
      <c r="N658" s="12">
        <f>ROUNDDOWN(K658*'04-Variant Rules'!$E$22,0)</f>
        <v>26</v>
      </c>
      <c r="O658" s="9">
        <v>17</v>
      </c>
    </row>
    <row r="659" spans="1:15" ht="21" customHeight="1">
      <c r="A659" s="9" t="s">
        <v>894</v>
      </c>
      <c r="B659" s="12">
        <f>IF(LEFT(H659,5)="VALID",M659,"")</f>
        <v>24</v>
      </c>
      <c r="C659" s="12">
        <f>IF(LEFT(H659,5)="VALID",N659,"")</f>
        <v>26</v>
      </c>
      <c r="D659" s="10" t="s">
        <v>82</v>
      </c>
      <c r="E659" s="10" t="s">
        <v>875</v>
      </c>
      <c r="F659" s="10" t="s">
        <v>174</v>
      </c>
      <c r="G659" s="10" t="s">
        <v>166</v>
      </c>
      <c r="H659" s="11" t="str">
        <f>IF(OR(M659&lt;=0,N659&lt;=0),"SKIPPED - NONPOSITIVE",IF(OR(M659&lt;L659,N659&lt;L659),"SKIPPED - BELOW MIN",IF(OR(M659&gt;J659,N659&gt;K659),"SKIPPED - EXCEEDS BASE",IF(COUNTIFS($M$641:M658,M659,$N$641:N658,N659)&gt;0,"SKIPPED - DUPLICATE","VALID - GENERATED"))))</f>
        <v>VALID - GENERATED</v>
      </c>
      <c r="I659" s="10" t="s">
        <v>876</v>
      </c>
      <c r="J659" s="12">
        <f>'05-ISO Reference'!$B$14</f>
        <v>37</v>
      </c>
      <c r="K659" s="12">
        <f>'05-ISO Reference'!$C$14</f>
        <v>52</v>
      </c>
      <c r="L659" s="12">
        <f>'01-Process Controls'!$G$5</f>
        <v>3</v>
      </c>
      <c r="M659" s="12">
        <f>ROUNDDOWN(J659*'04-Variant Rules'!$D$23,0)</f>
        <v>24</v>
      </c>
      <c r="N659" s="12">
        <f>ROUNDDOWN(K659*'04-Variant Rules'!$E$23,0)</f>
        <v>26</v>
      </c>
      <c r="O659" s="9">
        <v>18</v>
      </c>
    </row>
    <row r="660" spans="1:15" ht="21" customHeight="1">
      <c r="A660" s="9" t="s">
        <v>895</v>
      </c>
      <c r="B660" s="12">
        <f>IF(LEFT(H660,5)="VALID",M660,"")</f>
        <v>18</v>
      </c>
      <c r="C660" s="12">
        <f>IF(LEFT(H660,5)="VALID",N660,"")</f>
        <v>34</v>
      </c>
      <c r="D660" s="10" t="s">
        <v>82</v>
      </c>
      <c r="E660" s="10" t="s">
        <v>875</v>
      </c>
      <c r="F660" s="10" t="s">
        <v>176</v>
      </c>
      <c r="G660" s="10" t="s">
        <v>166</v>
      </c>
      <c r="H660" s="11" t="str">
        <f>IF(OR(M660&lt;=0,N660&lt;=0),"SKIPPED - NONPOSITIVE",IF(OR(M660&lt;L660,N660&lt;L660),"SKIPPED - BELOW MIN",IF(OR(M660&gt;J660,N660&gt;K660),"SKIPPED - EXCEEDS BASE",IF(COUNTIFS($M$641:M659,M660,$N$641:N659,N660)&gt;0,"SKIPPED - DUPLICATE","VALID - GENERATED"))))</f>
        <v>VALID - GENERATED</v>
      </c>
      <c r="I660" s="10" t="s">
        <v>876</v>
      </c>
      <c r="J660" s="12">
        <f>'05-ISO Reference'!$B$14</f>
        <v>37</v>
      </c>
      <c r="K660" s="12">
        <f>'05-ISO Reference'!$C$14</f>
        <v>52</v>
      </c>
      <c r="L660" s="12">
        <f>'01-Process Controls'!$G$5</f>
        <v>3</v>
      </c>
      <c r="M660" s="12">
        <f>ROUNDDOWN(J660*'04-Variant Rules'!$D$24,0)</f>
        <v>18</v>
      </c>
      <c r="N660" s="12">
        <f>ROUNDDOWN(K660*'04-Variant Rules'!$E$24,0)</f>
        <v>34</v>
      </c>
      <c r="O660" s="9">
        <v>19</v>
      </c>
    </row>
    <row r="661" spans="1:15" ht="21" customHeight="1">
      <c r="A661" s="9" t="s">
        <v>896</v>
      </c>
      <c r="B661" s="12">
        <f>IF(LEFT(H661,5)="VALID",M661,"")</f>
        <v>27</v>
      </c>
      <c r="C661" s="12">
        <f>IF(LEFT(H661,5)="VALID",N661,"")</f>
        <v>26</v>
      </c>
      <c r="D661" s="10" t="s">
        <v>82</v>
      </c>
      <c r="E661" s="10" t="s">
        <v>875</v>
      </c>
      <c r="F661" s="10" t="s">
        <v>178</v>
      </c>
      <c r="G661" s="10" t="s">
        <v>166</v>
      </c>
      <c r="H661" s="11" t="str">
        <f>IF(OR(M661&lt;=0,N661&lt;=0),"SKIPPED - NONPOSITIVE",IF(OR(M661&lt;L661,N661&lt;L661),"SKIPPED - BELOW MIN",IF(OR(M661&gt;J661,N661&gt;K661),"SKIPPED - EXCEEDS BASE",IF(COUNTIFS($M$641:M660,M661,$N$641:N660,N661)&gt;0,"SKIPPED - DUPLICATE","VALID - GENERATED"))))</f>
        <v>VALID - GENERATED</v>
      </c>
      <c r="I661" s="10" t="s">
        <v>876</v>
      </c>
      <c r="J661" s="12">
        <f>'05-ISO Reference'!$B$14</f>
        <v>37</v>
      </c>
      <c r="K661" s="12">
        <f>'05-ISO Reference'!$C$14</f>
        <v>52</v>
      </c>
      <c r="L661" s="12">
        <f>'01-Process Controls'!$G$5</f>
        <v>3</v>
      </c>
      <c r="M661" s="12">
        <f>ROUNDDOWN(J661*'04-Variant Rules'!$D$25,0)</f>
        <v>27</v>
      </c>
      <c r="N661" s="12">
        <f>ROUNDDOWN(K661*'04-Variant Rules'!$E$25,0)</f>
        <v>26</v>
      </c>
      <c r="O661" s="9">
        <v>20</v>
      </c>
    </row>
    <row r="662" spans="1:15" ht="21" customHeight="1">
      <c r="A662" s="9" t="s">
        <v>897</v>
      </c>
      <c r="B662" s="12">
        <f>IF(LEFT(H662,5)="VALID",M662,"")</f>
        <v>18</v>
      </c>
      <c r="C662" s="12">
        <f>IF(LEFT(H662,5)="VALID",N662,"")</f>
        <v>39</v>
      </c>
      <c r="D662" s="10" t="s">
        <v>82</v>
      </c>
      <c r="E662" s="10" t="s">
        <v>875</v>
      </c>
      <c r="F662" s="10" t="s">
        <v>180</v>
      </c>
      <c r="G662" s="10" t="s">
        <v>166</v>
      </c>
      <c r="H662" s="11" t="str">
        <f>IF(OR(M662&lt;=0,N662&lt;=0),"SKIPPED - NONPOSITIVE",IF(OR(M662&lt;L662,N662&lt;L662),"SKIPPED - BELOW MIN",IF(OR(M662&gt;J662,N662&gt;K662),"SKIPPED - EXCEEDS BASE",IF(COUNTIFS($M$641:M661,M662,$N$641:N661,N662)&gt;0,"SKIPPED - DUPLICATE","VALID - GENERATED"))))</f>
        <v>VALID - GENERATED</v>
      </c>
      <c r="I662" s="10" t="s">
        <v>876</v>
      </c>
      <c r="J662" s="12">
        <f>'05-ISO Reference'!$B$14</f>
        <v>37</v>
      </c>
      <c r="K662" s="12">
        <f>'05-ISO Reference'!$C$14</f>
        <v>52</v>
      </c>
      <c r="L662" s="12">
        <f>'01-Process Controls'!$G$5</f>
        <v>3</v>
      </c>
      <c r="M662" s="12">
        <f>ROUNDDOWN(J662*'04-Variant Rules'!$D$26,0)</f>
        <v>18</v>
      </c>
      <c r="N662" s="12">
        <f>ROUNDDOWN(K662*'04-Variant Rules'!$E$26,0)</f>
        <v>39</v>
      </c>
      <c r="O662" s="9">
        <v>21</v>
      </c>
    </row>
    <row r="663" spans="1:15" ht="21" customHeight="1">
      <c r="A663" s="9" t="s">
        <v>898</v>
      </c>
      <c r="B663" s="12">
        <f>IF(LEFT(H663,5)="VALID",M663,"")</f>
        <v>35</v>
      </c>
      <c r="C663" s="12">
        <f>IF(LEFT(H663,5)="VALID",N663,"")</f>
        <v>49</v>
      </c>
      <c r="D663" s="10" t="s">
        <v>82</v>
      </c>
      <c r="E663" s="10" t="s">
        <v>875</v>
      </c>
      <c r="F663" s="10" t="s">
        <v>182</v>
      </c>
      <c r="G663" s="10" t="s">
        <v>183</v>
      </c>
      <c r="H663" s="11" t="str">
        <f>IF(OR(M663&lt;=0,N663&lt;=0),"SKIPPED - NONPOSITIVE",IF(OR(M663&lt;L663,N663&lt;L663),"SKIPPED - BELOW MIN",IF(OR(M663&gt;J663,N663&gt;K663),"SKIPPED - EXCEEDS BASE",IF(COUNTIFS($M$641:M662,M663,$N$641:N662,N663)&gt;0,"SKIPPED - DUPLICATE","VALID - GENERATED"))))</f>
        <v>VALID - GENERATED</v>
      </c>
      <c r="I663" s="10" t="s">
        <v>876</v>
      </c>
      <c r="J663" s="12">
        <f>'05-ISO Reference'!$B$14</f>
        <v>37</v>
      </c>
      <c r="K663" s="12">
        <f>'05-ISO Reference'!$C$14</f>
        <v>52</v>
      </c>
      <c r="L663" s="12">
        <f>'01-Process Controls'!$G$5</f>
        <v>3</v>
      </c>
      <c r="M663" s="12">
        <f>ROUNDDOWN(J663*'04-Variant Rules'!$D$27,0)</f>
        <v>35</v>
      </c>
      <c r="N663" s="12">
        <f>ROUNDDOWN(K663*'04-Variant Rules'!$E$27,0)</f>
        <v>49</v>
      </c>
      <c r="O663" s="9">
        <v>22</v>
      </c>
    </row>
    <row r="664" spans="1:15" ht="21" customHeight="1">
      <c r="A664" s="9" t="s">
        <v>899</v>
      </c>
      <c r="B664" s="12">
        <f>IF(LEFT(H664,5)="VALID",M664,"")</f>
        <v>33</v>
      </c>
      <c r="C664" s="12">
        <f>IF(LEFT(H664,5)="VALID",N664,"")</f>
        <v>46</v>
      </c>
      <c r="D664" s="10" t="s">
        <v>82</v>
      </c>
      <c r="E664" s="10" t="s">
        <v>875</v>
      </c>
      <c r="F664" s="10" t="s">
        <v>185</v>
      </c>
      <c r="G664" s="10" t="s">
        <v>186</v>
      </c>
      <c r="H664" s="11" t="str">
        <f>IF(OR(M664&lt;=0,N664&lt;=0),"SKIPPED - NONPOSITIVE",IF(OR(M664&lt;L664,N664&lt;L664),"SKIPPED - BELOW MIN",IF(OR(M664&gt;J664,N664&gt;K664),"SKIPPED - EXCEEDS BASE",IF(COUNTIFS($M$641:M663,M664,$N$641:N663,N664)&gt;0,"SKIPPED - DUPLICATE","VALID - GENERATED"))))</f>
        <v>VALID - GENERATED</v>
      </c>
      <c r="I664" s="10" t="s">
        <v>876</v>
      </c>
      <c r="J664" s="12">
        <f>'05-ISO Reference'!$B$14</f>
        <v>37</v>
      </c>
      <c r="K664" s="12">
        <f>'05-ISO Reference'!$C$14</f>
        <v>52</v>
      </c>
      <c r="L664" s="12">
        <f>'01-Process Controls'!$G$5</f>
        <v>3</v>
      </c>
      <c r="M664" s="12">
        <f>ROUNDDOWN(J664*'04-Variant Rules'!$D$28,0)</f>
        <v>33</v>
      </c>
      <c r="N664" s="12">
        <f>ROUNDDOWN(K664*'04-Variant Rules'!$E$28,0)</f>
        <v>46</v>
      </c>
      <c r="O664" s="9">
        <v>23</v>
      </c>
    </row>
    <row r="665" spans="1:15" ht="21" customHeight="1">
      <c r="A665" s="9" t="s">
        <v>900</v>
      </c>
      <c r="B665" s="12">
        <f>IF(LEFT(H665,5)="VALID",M665,"")</f>
        <v>31</v>
      </c>
      <c r="C665" s="12">
        <f>IF(LEFT(H665,5)="VALID",N665,"")</f>
        <v>44</v>
      </c>
      <c r="D665" s="10" t="s">
        <v>82</v>
      </c>
      <c r="E665" s="10" t="s">
        <v>875</v>
      </c>
      <c r="F665" s="10" t="s">
        <v>188</v>
      </c>
      <c r="G665" s="10" t="s">
        <v>186</v>
      </c>
      <c r="H665" s="11" t="str">
        <f>IF(OR(M665&lt;=0,N665&lt;=0),"SKIPPED - NONPOSITIVE",IF(OR(M665&lt;L665,N665&lt;L665),"SKIPPED - BELOW MIN",IF(OR(M665&gt;J665,N665&gt;K665),"SKIPPED - EXCEEDS BASE",IF(COUNTIFS($M$641:M664,M665,$N$641:N664,N665)&gt;0,"SKIPPED - DUPLICATE","VALID - GENERATED"))))</f>
        <v>VALID - GENERATED</v>
      </c>
      <c r="I665" s="10" t="s">
        <v>876</v>
      </c>
      <c r="J665" s="12">
        <f>'05-ISO Reference'!$B$14</f>
        <v>37</v>
      </c>
      <c r="K665" s="12">
        <f>'05-ISO Reference'!$C$14</f>
        <v>52</v>
      </c>
      <c r="L665" s="12">
        <f>'01-Process Controls'!$G$5</f>
        <v>3</v>
      </c>
      <c r="M665" s="12">
        <f>ROUNDDOWN(J665*'04-Variant Rules'!$D$29,0)</f>
        <v>31</v>
      </c>
      <c r="N665" s="12">
        <f>ROUNDDOWN(K665*'04-Variant Rules'!$E$29,0)</f>
        <v>44</v>
      </c>
      <c r="O665" s="9">
        <v>24</v>
      </c>
    </row>
    <row r="666" spans="1:15" ht="21" customHeight="1">
      <c r="A666" s="9" t="s">
        <v>901</v>
      </c>
      <c r="B666" s="12">
        <f>IF(LEFT(H666,5)="VALID",M666,"")</f>
        <v>29</v>
      </c>
      <c r="C666" s="12">
        <f>IF(LEFT(H666,5)="VALID",N666,"")</f>
        <v>41</v>
      </c>
      <c r="D666" s="10" t="s">
        <v>82</v>
      </c>
      <c r="E666" s="10" t="s">
        <v>875</v>
      </c>
      <c r="F666" s="10" t="s">
        <v>190</v>
      </c>
      <c r="G666" s="10" t="s">
        <v>186</v>
      </c>
      <c r="H666" s="11" t="str">
        <f>IF(OR(M666&lt;=0,N666&lt;=0),"SKIPPED - NONPOSITIVE",IF(OR(M666&lt;L666,N666&lt;L666),"SKIPPED - BELOW MIN",IF(OR(M666&gt;J666,N666&gt;K666),"SKIPPED - EXCEEDS BASE",IF(COUNTIFS($M$641:M665,M666,$N$641:N665,N666)&gt;0,"SKIPPED - DUPLICATE","VALID - GENERATED"))))</f>
        <v>VALID - GENERATED</v>
      </c>
      <c r="I666" s="10" t="s">
        <v>876</v>
      </c>
      <c r="J666" s="12">
        <f>'05-ISO Reference'!$B$14</f>
        <v>37</v>
      </c>
      <c r="K666" s="12">
        <f>'05-ISO Reference'!$C$14</f>
        <v>52</v>
      </c>
      <c r="L666" s="12">
        <f>'01-Process Controls'!$G$5</f>
        <v>3</v>
      </c>
      <c r="M666" s="12">
        <f>ROUNDDOWN(J666*'04-Variant Rules'!$D$30,0)</f>
        <v>29</v>
      </c>
      <c r="N666" s="12">
        <f>ROUNDDOWN(K666*'04-Variant Rules'!$E$30,0)</f>
        <v>41</v>
      </c>
      <c r="O666" s="9">
        <v>25</v>
      </c>
    </row>
    <row r="667" spans="1:15" ht="21" customHeight="1">
      <c r="A667" s="9" t="s">
        <v>902</v>
      </c>
      <c r="B667" s="12">
        <f>IF(LEFT(H667,5)="VALID",M667,"")</f>
        <v>27</v>
      </c>
      <c r="C667" s="12">
        <f>IF(LEFT(H667,5)="VALID",N667,"")</f>
        <v>39</v>
      </c>
      <c r="D667" s="10" t="s">
        <v>82</v>
      </c>
      <c r="E667" s="10" t="s">
        <v>875</v>
      </c>
      <c r="F667" s="10" t="s">
        <v>192</v>
      </c>
      <c r="G667" s="10" t="s">
        <v>186</v>
      </c>
      <c r="H667" s="11" t="str">
        <f>IF(OR(M667&lt;=0,N667&lt;=0),"SKIPPED - NONPOSITIVE",IF(OR(M667&lt;L667,N667&lt;L667),"SKIPPED - BELOW MIN",IF(OR(M667&gt;J667,N667&gt;K667),"SKIPPED - EXCEEDS BASE",IF(COUNTIFS($M$641:M666,M667,$N$641:N666,N667)&gt;0,"SKIPPED - DUPLICATE","VALID - GENERATED"))))</f>
        <v>VALID - GENERATED</v>
      </c>
      <c r="I667" s="10" t="s">
        <v>876</v>
      </c>
      <c r="J667" s="12">
        <f>'05-ISO Reference'!$B$14</f>
        <v>37</v>
      </c>
      <c r="K667" s="12">
        <f>'05-ISO Reference'!$C$14</f>
        <v>52</v>
      </c>
      <c r="L667" s="12">
        <f>'01-Process Controls'!$G$5</f>
        <v>3</v>
      </c>
      <c r="M667" s="12">
        <f>ROUNDDOWN(J667*'04-Variant Rules'!$D$31,0)</f>
        <v>27</v>
      </c>
      <c r="N667" s="12">
        <f>ROUNDDOWN(K667*'04-Variant Rules'!$E$31,0)</f>
        <v>39</v>
      </c>
      <c r="O667" s="9">
        <v>26</v>
      </c>
    </row>
    <row r="668" spans="1:15" ht="21" customHeight="1">
      <c r="A668" s="9" t="s">
        <v>903</v>
      </c>
      <c r="B668" s="12">
        <f>IF(LEFT(H668,5)="VALID",M668,"")</f>
        <v>25</v>
      </c>
      <c r="C668" s="12">
        <f>IF(LEFT(H668,5)="VALID",N668,"")</f>
        <v>36</v>
      </c>
      <c r="D668" s="10" t="s">
        <v>82</v>
      </c>
      <c r="E668" s="10" t="s">
        <v>875</v>
      </c>
      <c r="F668" s="10" t="s">
        <v>194</v>
      </c>
      <c r="G668" s="10" t="s">
        <v>186</v>
      </c>
      <c r="H668" s="11" t="str">
        <f>IF(OR(M668&lt;=0,N668&lt;=0),"SKIPPED - NONPOSITIVE",IF(OR(M668&lt;L668,N668&lt;L668),"SKIPPED - BELOW MIN",IF(OR(M668&gt;J668,N668&gt;K668),"SKIPPED - EXCEEDS BASE",IF(COUNTIFS($M$641:M667,M668,$N$641:N667,N668)&gt;0,"SKIPPED - DUPLICATE","VALID - GENERATED"))))</f>
        <v>VALID - GENERATED</v>
      </c>
      <c r="I668" s="10" t="s">
        <v>876</v>
      </c>
      <c r="J668" s="12">
        <f>'05-ISO Reference'!$B$14</f>
        <v>37</v>
      </c>
      <c r="K668" s="12">
        <f>'05-ISO Reference'!$C$14</f>
        <v>52</v>
      </c>
      <c r="L668" s="12">
        <f>'01-Process Controls'!$G$5</f>
        <v>3</v>
      </c>
      <c r="M668" s="12">
        <f>ROUNDDOWN(J668*'04-Variant Rules'!$D$32,0)</f>
        <v>25</v>
      </c>
      <c r="N668" s="12">
        <f>ROUNDDOWN(K668*'04-Variant Rules'!$E$32,0)</f>
        <v>36</v>
      </c>
      <c r="O668" s="9">
        <v>27</v>
      </c>
    </row>
    <row r="669" spans="1:15" ht="21" customHeight="1">
      <c r="A669" s="9" t="s">
        <v>904</v>
      </c>
      <c r="B669" s="12">
        <f>IF(LEFT(H669,5)="VALID",M669,"")</f>
        <v>24</v>
      </c>
      <c r="C669" s="12">
        <f>IF(LEFT(H669,5)="VALID",N669,"")</f>
        <v>34</v>
      </c>
      <c r="D669" s="10" t="s">
        <v>82</v>
      </c>
      <c r="E669" s="10" t="s">
        <v>875</v>
      </c>
      <c r="F669" s="10" t="s">
        <v>196</v>
      </c>
      <c r="G669" s="10" t="s">
        <v>186</v>
      </c>
      <c r="H669" s="11" t="str">
        <f>IF(OR(M669&lt;=0,N669&lt;=0),"SKIPPED - NONPOSITIVE",IF(OR(M669&lt;L669,N669&lt;L669),"SKIPPED - BELOW MIN",IF(OR(M669&gt;J669,N669&gt;K669),"SKIPPED - EXCEEDS BASE",IF(COUNTIFS($M$641:M668,M669,$N$641:N668,N669)&gt;0,"SKIPPED - DUPLICATE","VALID - GENERATED"))))</f>
        <v>VALID - GENERATED</v>
      </c>
      <c r="I669" s="10" t="s">
        <v>876</v>
      </c>
      <c r="J669" s="12">
        <f>'05-ISO Reference'!$B$14</f>
        <v>37</v>
      </c>
      <c r="K669" s="12">
        <f>'05-ISO Reference'!$C$14</f>
        <v>52</v>
      </c>
      <c r="L669" s="12">
        <f>'01-Process Controls'!$G$5</f>
        <v>3</v>
      </c>
      <c r="M669" s="12">
        <f>ROUNDDOWN(J669*'04-Variant Rules'!$D$33,0)</f>
        <v>24</v>
      </c>
      <c r="N669" s="12">
        <f>ROUNDDOWN(K669*'04-Variant Rules'!$E$33,0)</f>
        <v>34</v>
      </c>
      <c r="O669" s="9">
        <v>28</v>
      </c>
    </row>
    <row r="670" spans="1:15" ht="21" customHeight="1">
      <c r="A670" s="9" t="s">
        <v>905</v>
      </c>
      <c r="B670" s="12">
        <f>IF(LEFT(H670,5)="VALID",M670,"")</f>
        <v>22</v>
      </c>
      <c r="C670" s="12">
        <f>IF(LEFT(H670,5)="VALID",N670,"")</f>
        <v>31</v>
      </c>
      <c r="D670" s="10" t="s">
        <v>82</v>
      </c>
      <c r="E670" s="10" t="s">
        <v>875</v>
      </c>
      <c r="F670" s="10" t="s">
        <v>198</v>
      </c>
      <c r="G670" s="10" t="s">
        <v>186</v>
      </c>
      <c r="H670" s="11" t="str">
        <f>IF(OR(M670&lt;=0,N670&lt;=0),"SKIPPED - NONPOSITIVE",IF(OR(M670&lt;L670,N670&lt;L670),"SKIPPED - BELOW MIN",IF(OR(M670&gt;J670,N670&gt;K670),"SKIPPED - EXCEEDS BASE",IF(COUNTIFS($M$641:M669,M670,$N$641:N669,N670)&gt;0,"SKIPPED - DUPLICATE","VALID - GENERATED"))))</f>
        <v>VALID - GENERATED</v>
      </c>
      <c r="I670" s="10" t="s">
        <v>876</v>
      </c>
      <c r="J670" s="12">
        <f>'05-ISO Reference'!$B$14</f>
        <v>37</v>
      </c>
      <c r="K670" s="12">
        <f>'05-ISO Reference'!$C$14</f>
        <v>52</v>
      </c>
      <c r="L670" s="12">
        <f>'01-Process Controls'!$G$5</f>
        <v>3</v>
      </c>
      <c r="M670" s="12">
        <f>ROUNDDOWN(J670*'04-Variant Rules'!$D$34,0)</f>
        <v>22</v>
      </c>
      <c r="N670" s="12">
        <f>ROUNDDOWN(K670*'04-Variant Rules'!$E$34,0)</f>
        <v>31</v>
      </c>
      <c r="O670" s="9">
        <v>29</v>
      </c>
    </row>
    <row r="671" spans="1:15" ht="21" customHeight="1">
      <c r="A671" s="9" t="s">
        <v>906</v>
      </c>
      <c r="B671" s="12">
        <f>IF(LEFT(H671,5)="VALID",M671,"")</f>
        <v>20</v>
      </c>
      <c r="C671" s="12">
        <f>IF(LEFT(H671,5)="VALID",N671,"")</f>
        <v>28</v>
      </c>
      <c r="D671" s="10" t="s">
        <v>82</v>
      </c>
      <c r="E671" s="10" t="s">
        <v>875</v>
      </c>
      <c r="F671" s="10" t="s">
        <v>200</v>
      </c>
      <c r="G671" s="10" t="s">
        <v>186</v>
      </c>
      <c r="H671" s="11" t="str">
        <f>IF(OR(M671&lt;=0,N671&lt;=0),"SKIPPED - NONPOSITIVE",IF(OR(M671&lt;L671,N671&lt;L671),"SKIPPED - BELOW MIN",IF(OR(M671&gt;J671,N671&gt;K671),"SKIPPED - EXCEEDS BASE",IF(COUNTIFS($M$641:M670,M671,$N$641:N670,N671)&gt;0,"SKIPPED - DUPLICATE","VALID - GENERATED"))))</f>
        <v>VALID - GENERATED</v>
      </c>
      <c r="I671" s="10" t="s">
        <v>876</v>
      </c>
      <c r="J671" s="12">
        <f>'05-ISO Reference'!$B$14</f>
        <v>37</v>
      </c>
      <c r="K671" s="12">
        <f>'05-ISO Reference'!$C$14</f>
        <v>52</v>
      </c>
      <c r="L671" s="12">
        <f>'01-Process Controls'!$G$5</f>
        <v>3</v>
      </c>
      <c r="M671" s="12">
        <f>ROUNDDOWN(J671*'04-Variant Rules'!$D$35,0)</f>
        <v>20</v>
      </c>
      <c r="N671" s="12">
        <f>ROUNDDOWN(K671*'04-Variant Rules'!$E$35,0)</f>
        <v>28</v>
      </c>
      <c r="O671" s="9">
        <v>30</v>
      </c>
    </row>
    <row r="672" spans="1:15" ht="21" customHeight="1">
      <c r="A672" s="9" t="s">
        <v>907</v>
      </c>
      <c r="B672" s="12">
        <f>IF(LEFT(H672,5)="VALID",M672,"")</f>
        <v>16</v>
      </c>
      <c r="C672" s="12">
        <f>IF(LEFT(H672,5)="VALID",N672,"")</f>
        <v>23</v>
      </c>
      <c r="D672" s="10" t="s">
        <v>82</v>
      </c>
      <c r="E672" s="10" t="s">
        <v>875</v>
      </c>
      <c r="F672" s="10" t="s">
        <v>202</v>
      </c>
      <c r="G672" s="10" t="s">
        <v>186</v>
      </c>
      <c r="H672" s="11" t="str">
        <f>IF(OR(M672&lt;=0,N672&lt;=0),"SKIPPED - NONPOSITIVE",IF(OR(M672&lt;L672,N672&lt;L672),"SKIPPED - BELOW MIN",IF(OR(M672&gt;J672,N672&gt;K672),"SKIPPED - EXCEEDS BASE",IF(COUNTIFS($M$641:M671,M672,$N$641:N671,N672)&gt;0,"SKIPPED - DUPLICATE","VALID - GENERATED"))))</f>
        <v>VALID - GENERATED</v>
      </c>
      <c r="I672" s="10" t="s">
        <v>876</v>
      </c>
      <c r="J672" s="12">
        <f>'05-ISO Reference'!$B$14</f>
        <v>37</v>
      </c>
      <c r="K672" s="12">
        <f>'05-ISO Reference'!$C$14</f>
        <v>52</v>
      </c>
      <c r="L672" s="12">
        <f>'01-Process Controls'!$G$5</f>
        <v>3</v>
      </c>
      <c r="M672" s="12">
        <f>ROUNDDOWN(J672*'04-Variant Rules'!$D$36,0)</f>
        <v>16</v>
      </c>
      <c r="N672" s="12">
        <f>ROUNDDOWN(K672*'04-Variant Rules'!$E$36,0)</f>
        <v>23</v>
      </c>
      <c r="O672" s="9">
        <v>31</v>
      </c>
    </row>
    <row r="673" spans="1:15" ht="21" customHeight="1">
      <c r="A673" s="9" t="s">
        <v>908</v>
      </c>
      <c r="B673" s="12">
        <f>IF(LEFT(H673,5)="VALID",M673,"")</f>
        <v>14</v>
      </c>
      <c r="C673" s="12">
        <f>IF(LEFT(H673,5)="VALID",N673,"")</f>
        <v>20</v>
      </c>
      <c r="D673" s="10" t="s">
        <v>82</v>
      </c>
      <c r="E673" s="10" t="s">
        <v>875</v>
      </c>
      <c r="F673" s="10" t="s">
        <v>204</v>
      </c>
      <c r="G673" s="10" t="s">
        <v>186</v>
      </c>
      <c r="H673" s="11" t="str">
        <f>IF(OR(M673&lt;=0,N673&lt;=0),"SKIPPED - NONPOSITIVE",IF(OR(M673&lt;L673,N673&lt;L673),"SKIPPED - BELOW MIN",IF(OR(M673&gt;J673,N673&gt;K673),"SKIPPED - EXCEEDS BASE",IF(COUNTIFS($M$641:M672,M673,$N$641:N672,N673)&gt;0,"SKIPPED - DUPLICATE","VALID - GENERATED"))))</f>
        <v>VALID - GENERATED</v>
      </c>
      <c r="I673" s="10" t="s">
        <v>876</v>
      </c>
      <c r="J673" s="12">
        <f>'05-ISO Reference'!$B$14</f>
        <v>37</v>
      </c>
      <c r="K673" s="12">
        <f>'05-ISO Reference'!$C$14</f>
        <v>52</v>
      </c>
      <c r="L673" s="12">
        <f>'01-Process Controls'!$G$5</f>
        <v>3</v>
      </c>
      <c r="M673" s="12">
        <f>ROUNDDOWN(J673*'04-Variant Rules'!$D$37,0)</f>
        <v>14</v>
      </c>
      <c r="N673" s="12">
        <f>ROUNDDOWN(K673*'04-Variant Rules'!$E$37,0)</f>
        <v>20</v>
      </c>
      <c r="O673" s="9">
        <v>32</v>
      </c>
    </row>
    <row r="674" spans="1:15" ht="21" customHeight="1">
      <c r="A674" s="9" t="s">
        <v>909</v>
      </c>
      <c r="B674" s="12">
        <f>IF(LEFT(H674,5)="VALID",M674,"")</f>
        <v>12</v>
      </c>
      <c r="C674" s="12">
        <f>IF(LEFT(H674,5)="VALID",N674,"")</f>
        <v>18</v>
      </c>
      <c r="D674" s="10" t="s">
        <v>82</v>
      </c>
      <c r="E674" s="10" t="s">
        <v>875</v>
      </c>
      <c r="F674" s="10" t="s">
        <v>206</v>
      </c>
      <c r="G674" s="10" t="s">
        <v>186</v>
      </c>
      <c r="H674" s="11" t="str">
        <f>IF(OR(M674&lt;=0,N674&lt;=0),"SKIPPED - NONPOSITIVE",IF(OR(M674&lt;L674,N674&lt;L674),"SKIPPED - BELOW MIN",IF(OR(M674&gt;J674,N674&gt;K674),"SKIPPED - EXCEEDS BASE",IF(COUNTIFS($M$641:M673,M674,$N$641:N673,N674)&gt;0,"SKIPPED - DUPLICATE","VALID - GENERATED"))))</f>
        <v>VALID - GENERATED</v>
      </c>
      <c r="I674" s="10" t="s">
        <v>876</v>
      </c>
      <c r="J674" s="12">
        <f>'05-ISO Reference'!$B$14</f>
        <v>37</v>
      </c>
      <c r="K674" s="12">
        <f>'05-ISO Reference'!$C$14</f>
        <v>52</v>
      </c>
      <c r="L674" s="12">
        <f>'01-Process Controls'!$G$5</f>
        <v>3</v>
      </c>
      <c r="M674" s="12">
        <f>ROUNDDOWN(J674*'04-Variant Rules'!$D$38,0)</f>
        <v>12</v>
      </c>
      <c r="N674" s="12">
        <f>ROUNDDOWN(K674*'04-Variant Rules'!$E$38,0)</f>
        <v>18</v>
      </c>
      <c r="O674" s="9">
        <v>33</v>
      </c>
    </row>
    <row r="675" spans="1:15" ht="21" customHeight="1">
      <c r="A675" s="9" t="s">
        <v>910</v>
      </c>
      <c r="B675" s="12">
        <f>IF(LEFT(H675,5)="VALID",M675,"")</f>
        <v>11</v>
      </c>
      <c r="C675" s="12">
        <f>IF(LEFT(H675,5)="VALID",N675,"")</f>
        <v>15</v>
      </c>
      <c r="D675" s="10" t="s">
        <v>82</v>
      </c>
      <c r="E675" s="10" t="s">
        <v>875</v>
      </c>
      <c r="F675" s="10" t="s">
        <v>208</v>
      </c>
      <c r="G675" s="10" t="s">
        <v>186</v>
      </c>
      <c r="H675" s="11" t="str">
        <f>IF(OR(M675&lt;=0,N675&lt;=0),"SKIPPED - NONPOSITIVE",IF(OR(M675&lt;L675,N675&lt;L675),"SKIPPED - BELOW MIN",IF(OR(M675&gt;J675,N675&gt;K675),"SKIPPED - EXCEEDS BASE",IF(COUNTIFS($M$641:M674,M675,$N$641:N674,N675)&gt;0,"SKIPPED - DUPLICATE","VALID - GENERATED"))))</f>
        <v>VALID - GENERATED</v>
      </c>
      <c r="I675" s="10" t="s">
        <v>876</v>
      </c>
      <c r="J675" s="12">
        <f>'05-ISO Reference'!$B$14</f>
        <v>37</v>
      </c>
      <c r="K675" s="12">
        <f>'05-ISO Reference'!$C$14</f>
        <v>52</v>
      </c>
      <c r="L675" s="12">
        <f>'01-Process Controls'!$G$5</f>
        <v>3</v>
      </c>
      <c r="M675" s="12">
        <f>ROUNDDOWN(J675*'04-Variant Rules'!$D$39,0)</f>
        <v>11</v>
      </c>
      <c r="N675" s="12">
        <f>ROUNDDOWN(K675*'04-Variant Rules'!$E$39,0)</f>
        <v>15</v>
      </c>
      <c r="O675" s="9">
        <v>34</v>
      </c>
    </row>
    <row r="676" spans="1:15" ht="21" customHeight="1">
      <c r="A676" s="9" t="s">
        <v>911</v>
      </c>
      <c r="B676" s="12">
        <f>IF(LEFT(H676,5)="VALID",M676,"")</f>
        <v>7</v>
      </c>
      <c r="C676" s="12">
        <f>IF(LEFT(H676,5)="VALID",N676,"")</f>
        <v>10</v>
      </c>
      <c r="D676" s="10" t="s">
        <v>82</v>
      </c>
      <c r="E676" s="10" t="s">
        <v>875</v>
      </c>
      <c r="F676" s="10" t="s">
        <v>210</v>
      </c>
      <c r="G676" s="10" t="s">
        <v>186</v>
      </c>
      <c r="H676" s="11" t="str">
        <f>IF(OR(M676&lt;=0,N676&lt;=0),"SKIPPED - NONPOSITIVE",IF(OR(M676&lt;L676,N676&lt;L676),"SKIPPED - BELOW MIN",IF(OR(M676&gt;J676,N676&gt;K676),"SKIPPED - EXCEEDS BASE",IF(COUNTIFS($M$641:M675,M676,$N$641:N675,N676)&gt;0,"SKIPPED - DUPLICATE","VALID - GENERATED"))))</f>
        <v>VALID - GENERATED</v>
      </c>
      <c r="I676" s="10" t="s">
        <v>876</v>
      </c>
      <c r="J676" s="12">
        <f>'05-ISO Reference'!$B$14</f>
        <v>37</v>
      </c>
      <c r="K676" s="12">
        <f>'05-ISO Reference'!$C$14</f>
        <v>52</v>
      </c>
      <c r="L676" s="12">
        <f>'01-Process Controls'!$G$5</f>
        <v>3</v>
      </c>
      <c r="M676" s="12">
        <f>ROUNDDOWN(J676*'04-Variant Rules'!$D$40,0)</f>
        <v>7</v>
      </c>
      <c r="N676" s="12">
        <f>ROUNDDOWN(K676*'04-Variant Rules'!$E$40,0)</f>
        <v>10</v>
      </c>
      <c r="O676" s="9">
        <v>35</v>
      </c>
    </row>
    <row r="677" spans="1:15" ht="21" customHeight="1">
      <c r="A677" s="9" t="s">
        <v>912</v>
      </c>
      <c r="B677" s="12">
        <f>IF(LEFT(H677,5)="VALID",M677,"")</f>
        <v>5</v>
      </c>
      <c r="C677" s="12">
        <f>IF(LEFT(H677,5)="VALID",N677,"")</f>
        <v>7</v>
      </c>
      <c r="D677" s="10" t="s">
        <v>82</v>
      </c>
      <c r="E677" s="10" t="s">
        <v>875</v>
      </c>
      <c r="F677" s="10" t="s">
        <v>212</v>
      </c>
      <c r="G677" s="10" t="s">
        <v>213</v>
      </c>
      <c r="H677" s="11" t="str">
        <f>IF(OR(M677&lt;=0,N677&lt;=0),"SKIPPED - NONPOSITIVE",IF(OR(M677&lt;L677,N677&lt;L677),"SKIPPED - BELOW MIN",IF(OR(M677&gt;J677,N677&gt;K677),"SKIPPED - EXCEEDS BASE",IF(COUNTIFS($M$641:M676,M677,$N$641:N676,N677)&gt;0,"SKIPPED - DUPLICATE","VALID - GENERATED"))))</f>
        <v>VALID - GENERATED</v>
      </c>
      <c r="I677" s="10" t="s">
        <v>876</v>
      </c>
      <c r="J677" s="12">
        <f>'05-ISO Reference'!$B$14</f>
        <v>37</v>
      </c>
      <c r="K677" s="12">
        <f>'05-ISO Reference'!$C$14</f>
        <v>52</v>
      </c>
      <c r="L677" s="12">
        <f>'01-Process Controls'!$G$5</f>
        <v>3</v>
      </c>
      <c r="M677" s="12">
        <f>ROUNDDOWN(J677*'04-Variant Rules'!$D$41,0)</f>
        <v>5</v>
      </c>
      <c r="N677" s="12">
        <f>ROUNDDOWN(K677*'04-Variant Rules'!$E$41,0)</f>
        <v>7</v>
      </c>
      <c r="O677" s="9">
        <v>36</v>
      </c>
    </row>
    <row r="678" spans="1:15" ht="21" customHeight="1">
      <c r="A678" s="9" t="s">
        <v>913</v>
      </c>
      <c r="B678" s="12">
        <f>IF(LEFT(H678,5)="VALID",M678,"")</f>
        <v>37</v>
      </c>
      <c r="C678" s="12">
        <f>IF(LEFT(H678,5)="VALID",N678,"")</f>
        <v>37</v>
      </c>
      <c r="D678" s="10" t="s">
        <v>82</v>
      </c>
      <c r="E678" s="10" t="s">
        <v>875</v>
      </c>
      <c r="F678" s="10" t="s">
        <v>215</v>
      </c>
      <c r="G678" s="10" t="s">
        <v>216</v>
      </c>
      <c r="H678" s="11" t="str">
        <f>IF(OR(M678&lt;=0,N678&lt;=0),"SKIPPED - NONPOSITIVE",IF(OR(M678&lt;L678,N678&lt;L678),"SKIPPED - BELOW MIN",IF(OR(M678&gt;J678,N678&gt;K678),"SKIPPED - EXCEEDS BASE",IF(COUNTIFS($M$641:M677,M678,$N$641:N677,N678)&gt;0,"SKIPPED - DUPLICATE","VALID - GENERATED"))))</f>
        <v>VALID - GENERATED</v>
      </c>
      <c r="I678" s="10" t="s">
        <v>876</v>
      </c>
      <c r="J678" s="12">
        <f>'05-ISO Reference'!$B$14</f>
        <v>37</v>
      </c>
      <c r="K678" s="12">
        <f>'05-ISO Reference'!$C$14</f>
        <v>52</v>
      </c>
      <c r="L678" s="12">
        <f>'01-Process Controls'!$G$5</f>
        <v>3</v>
      </c>
      <c r="M678" s="12">
        <f>ROUNDDOWN(MIN(J678,K678)*'04-Variant Rules'!$D$42,0)</f>
        <v>37</v>
      </c>
      <c r="N678" s="12">
        <f>ROUNDDOWN(MIN(J678,K678)*'04-Variant Rules'!$D$42,0)</f>
        <v>37</v>
      </c>
      <c r="O678" s="9">
        <v>37</v>
      </c>
    </row>
    <row r="679" spans="1:15" ht="21" customHeight="1">
      <c r="A679" s="9" t="s">
        <v>914</v>
      </c>
      <c r="B679" s="12">
        <f>IF(LEFT(H679,5)="VALID",M679,"")</f>
        <v>33</v>
      </c>
      <c r="C679" s="12">
        <f>IF(LEFT(H679,5)="VALID",N679,"")</f>
        <v>33</v>
      </c>
      <c r="D679" s="10" t="s">
        <v>82</v>
      </c>
      <c r="E679" s="10" t="s">
        <v>875</v>
      </c>
      <c r="F679" s="10" t="s">
        <v>218</v>
      </c>
      <c r="G679" s="10" t="s">
        <v>219</v>
      </c>
      <c r="H679" s="11" t="str">
        <f>IF(OR(M679&lt;=0,N679&lt;=0),"SKIPPED - NONPOSITIVE",IF(OR(M679&lt;L679,N679&lt;L679),"SKIPPED - BELOW MIN",IF(OR(M679&gt;J679,N679&gt;K679),"SKIPPED - EXCEEDS BASE",IF(COUNTIFS($M$641:M678,M679,$N$641:N678,N679)&gt;0,"SKIPPED - DUPLICATE","VALID - GENERATED"))))</f>
        <v>VALID - GENERATED</v>
      </c>
      <c r="I679" s="10" t="s">
        <v>876</v>
      </c>
      <c r="J679" s="12">
        <f>'05-ISO Reference'!$B$14</f>
        <v>37</v>
      </c>
      <c r="K679" s="12">
        <f>'05-ISO Reference'!$C$14</f>
        <v>52</v>
      </c>
      <c r="L679" s="12">
        <f>'01-Process Controls'!$G$5</f>
        <v>3</v>
      </c>
      <c r="M679" s="12">
        <f>ROUNDDOWN(MIN(J679,K679)*'04-Variant Rules'!$D$43,0)</f>
        <v>33</v>
      </c>
      <c r="N679" s="12">
        <f>ROUNDDOWN(MIN(J679,K679)*'04-Variant Rules'!$D$43,0)</f>
        <v>33</v>
      </c>
      <c r="O679" s="9">
        <v>38</v>
      </c>
    </row>
    <row r="680" spans="1:15" ht="21" customHeight="1">
      <c r="A680" s="9" t="s">
        <v>915</v>
      </c>
      <c r="B680" s="12">
        <f>IF(LEFT(H680,5)="VALID",M680,"")</f>
        <v>29</v>
      </c>
      <c r="C680" s="12">
        <f>IF(LEFT(H680,5)="VALID",N680,"")</f>
        <v>29</v>
      </c>
      <c r="D680" s="10" t="s">
        <v>82</v>
      </c>
      <c r="E680" s="10" t="s">
        <v>875</v>
      </c>
      <c r="F680" s="10" t="s">
        <v>221</v>
      </c>
      <c r="G680" s="10" t="s">
        <v>219</v>
      </c>
      <c r="H680" s="11" t="str">
        <f>IF(OR(M680&lt;=0,N680&lt;=0),"SKIPPED - NONPOSITIVE",IF(OR(M680&lt;L680,N680&lt;L680),"SKIPPED - BELOW MIN",IF(OR(M680&gt;J680,N680&gt;K680),"SKIPPED - EXCEEDS BASE",IF(COUNTIFS($M$641:M679,M680,$N$641:N679,N680)&gt;0,"SKIPPED - DUPLICATE","VALID - GENERATED"))))</f>
        <v>VALID - GENERATED</v>
      </c>
      <c r="I680" s="10" t="s">
        <v>876</v>
      </c>
      <c r="J680" s="12">
        <f>'05-ISO Reference'!$B$14</f>
        <v>37</v>
      </c>
      <c r="K680" s="12">
        <f>'05-ISO Reference'!$C$14</f>
        <v>52</v>
      </c>
      <c r="L680" s="12">
        <f>'01-Process Controls'!$G$5</f>
        <v>3</v>
      </c>
      <c r="M680" s="12">
        <f>ROUNDDOWN(MIN(J680,K680)*'04-Variant Rules'!$D$44,0)</f>
        <v>29</v>
      </c>
      <c r="N680" s="12">
        <f>ROUNDDOWN(MIN(J680,K680)*'04-Variant Rules'!$D$44,0)</f>
        <v>29</v>
      </c>
      <c r="O680" s="9">
        <v>39</v>
      </c>
    </row>
    <row r="681" spans="1:15" ht="21" customHeight="1">
      <c r="A681" s="9" t="s">
        <v>916</v>
      </c>
      <c r="B681" s="12">
        <f>IF(LEFT(H681,5)="VALID",M681,"")</f>
        <v>27</v>
      </c>
      <c r="C681" s="12">
        <f>IF(LEFT(H681,5)="VALID",N681,"")</f>
        <v>27</v>
      </c>
      <c r="D681" s="10" t="s">
        <v>82</v>
      </c>
      <c r="E681" s="10" t="s">
        <v>875</v>
      </c>
      <c r="F681" s="10" t="s">
        <v>223</v>
      </c>
      <c r="G681" s="10" t="s">
        <v>219</v>
      </c>
      <c r="H681" s="11" t="str">
        <f>IF(OR(M681&lt;=0,N681&lt;=0),"SKIPPED - NONPOSITIVE",IF(OR(M681&lt;L681,N681&lt;L681),"SKIPPED - BELOW MIN",IF(OR(M681&gt;J681,N681&gt;K681),"SKIPPED - EXCEEDS BASE",IF(COUNTIFS($M$641:M680,M681,$N$641:N680,N681)&gt;0,"SKIPPED - DUPLICATE","VALID - GENERATED"))))</f>
        <v>VALID - GENERATED</v>
      </c>
      <c r="I681" s="10" t="s">
        <v>876</v>
      </c>
      <c r="J681" s="12">
        <f>'05-ISO Reference'!$B$14</f>
        <v>37</v>
      </c>
      <c r="K681" s="12">
        <f>'05-ISO Reference'!$C$14</f>
        <v>52</v>
      </c>
      <c r="L681" s="12">
        <f>'01-Process Controls'!$G$5</f>
        <v>3</v>
      </c>
      <c r="M681" s="12">
        <f>ROUNDDOWN(MIN(J681,K681)*'04-Variant Rules'!$D$45,0)</f>
        <v>27</v>
      </c>
      <c r="N681" s="12">
        <f>ROUNDDOWN(MIN(J681,K681)*'04-Variant Rules'!$D$45,0)</f>
        <v>27</v>
      </c>
      <c r="O681" s="9">
        <v>40</v>
      </c>
    </row>
    <row r="682" spans="1:15" ht="21" customHeight="1">
      <c r="A682" s="9" t="s">
        <v>917</v>
      </c>
      <c r="B682" s="12">
        <f>IF(LEFT(H682,5)="VALID",M682,"")</f>
        <v>24</v>
      </c>
      <c r="C682" s="12">
        <f>IF(LEFT(H682,5)="VALID",N682,"")</f>
        <v>24</v>
      </c>
      <c r="D682" s="10" t="s">
        <v>82</v>
      </c>
      <c r="E682" s="10" t="s">
        <v>875</v>
      </c>
      <c r="F682" s="10" t="s">
        <v>225</v>
      </c>
      <c r="G682" s="10" t="s">
        <v>219</v>
      </c>
      <c r="H682" s="11" t="str">
        <f>IF(OR(M682&lt;=0,N682&lt;=0),"SKIPPED - NONPOSITIVE",IF(OR(M682&lt;L682,N682&lt;L682),"SKIPPED - BELOW MIN",IF(OR(M682&gt;J682,N682&gt;K682),"SKIPPED - EXCEEDS BASE",IF(COUNTIFS($M$641:M681,M682,$N$641:N681,N682)&gt;0,"SKIPPED - DUPLICATE","VALID - GENERATED"))))</f>
        <v>VALID - GENERATED</v>
      </c>
      <c r="I682" s="10" t="s">
        <v>876</v>
      </c>
      <c r="J682" s="12">
        <f>'05-ISO Reference'!$B$14</f>
        <v>37</v>
      </c>
      <c r="K682" s="12">
        <f>'05-ISO Reference'!$C$14</f>
        <v>52</v>
      </c>
      <c r="L682" s="12">
        <f>'01-Process Controls'!$G$5</f>
        <v>3</v>
      </c>
      <c r="M682" s="12">
        <f>ROUNDDOWN(MIN(J682,K682)*'04-Variant Rules'!$D$46,0)</f>
        <v>24</v>
      </c>
      <c r="N682" s="12">
        <f>ROUNDDOWN(MIN(J682,K682)*'04-Variant Rules'!$D$46,0)</f>
        <v>24</v>
      </c>
      <c r="O682" s="9">
        <v>41</v>
      </c>
    </row>
    <row r="683" spans="1:15" ht="21" customHeight="1">
      <c r="A683" s="9" t="s">
        <v>918</v>
      </c>
      <c r="B683" s="12">
        <f>IF(LEFT(H683,5)="VALID",M683,"")</f>
        <v>22</v>
      </c>
      <c r="C683" s="12">
        <f>IF(LEFT(H683,5)="VALID",N683,"")</f>
        <v>22</v>
      </c>
      <c r="D683" s="10" t="s">
        <v>82</v>
      </c>
      <c r="E683" s="10" t="s">
        <v>875</v>
      </c>
      <c r="F683" s="10" t="s">
        <v>227</v>
      </c>
      <c r="G683" s="10" t="s">
        <v>219</v>
      </c>
      <c r="H683" s="11" t="str">
        <f>IF(OR(M683&lt;=0,N683&lt;=0),"SKIPPED - NONPOSITIVE",IF(OR(M683&lt;L683,N683&lt;L683),"SKIPPED - BELOW MIN",IF(OR(M683&gt;J683,N683&gt;K683),"SKIPPED - EXCEEDS BASE",IF(COUNTIFS($M$641:M682,M683,$N$641:N682,N683)&gt;0,"SKIPPED - DUPLICATE","VALID - GENERATED"))))</f>
        <v>VALID - GENERATED</v>
      </c>
      <c r="I683" s="10" t="s">
        <v>876</v>
      </c>
      <c r="J683" s="12">
        <f>'05-ISO Reference'!$B$14</f>
        <v>37</v>
      </c>
      <c r="K683" s="12">
        <f>'05-ISO Reference'!$C$14</f>
        <v>52</v>
      </c>
      <c r="L683" s="12">
        <f>'01-Process Controls'!$G$5</f>
        <v>3</v>
      </c>
      <c r="M683" s="12">
        <f>ROUNDDOWN(MIN(J683,K683)*'04-Variant Rules'!$D$47,0)</f>
        <v>22</v>
      </c>
      <c r="N683" s="12">
        <f>ROUNDDOWN(MIN(J683,K683)*'04-Variant Rules'!$D$47,0)</f>
        <v>22</v>
      </c>
      <c r="O683" s="9">
        <v>42</v>
      </c>
    </row>
    <row r="684" spans="1:15" ht="21" customHeight="1">
      <c r="A684" s="9" t="s">
        <v>919</v>
      </c>
      <c r="B684" s="12">
        <f>IF(LEFT(H684,5)="VALID",M684,"")</f>
        <v>18</v>
      </c>
      <c r="C684" s="12">
        <f>IF(LEFT(H684,5)="VALID",N684,"")</f>
        <v>18</v>
      </c>
      <c r="D684" s="10" t="s">
        <v>82</v>
      </c>
      <c r="E684" s="10" t="s">
        <v>875</v>
      </c>
      <c r="F684" s="10" t="s">
        <v>229</v>
      </c>
      <c r="G684" s="10" t="s">
        <v>219</v>
      </c>
      <c r="H684" s="11" t="str">
        <f>IF(OR(M684&lt;=0,N684&lt;=0),"SKIPPED - NONPOSITIVE",IF(OR(M684&lt;L684,N684&lt;L684),"SKIPPED - BELOW MIN",IF(OR(M684&gt;J684,N684&gt;K684),"SKIPPED - EXCEEDS BASE",IF(COUNTIFS($M$641:M683,M684,$N$641:N683,N684)&gt;0,"SKIPPED - DUPLICATE","VALID - GENERATED"))))</f>
        <v>VALID - GENERATED</v>
      </c>
      <c r="I684" s="10" t="s">
        <v>876</v>
      </c>
      <c r="J684" s="12">
        <f>'05-ISO Reference'!$B$14</f>
        <v>37</v>
      </c>
      <c r="K684" s="12">
        <f>'05-ISO Reference'!$C$14</f>
        <v>52</v>
      </c>
      <c r="L684" s="12">
        <f>'01-Process Controls'!$G$5</f>
        <v>3</v>
      </c>
      <c r="M684" s="12">
        <f>ROUNDDOWN(MIN(J684,K684)*'04-Variant Rules'!$D$48,0)</f>
        <v>18</v>
      </c>
      <c r="N684" s="12">
        <f>ROUNDDOWN(MIN(J684,K684)*'04-Variant Rules'!$D$48,0)</f>
        <v>18</v>
      </c>
      <c r="O684" s="9">
        <v>43</v>
      </c>
    </row>
    <row r="685" spans="1:15" ht="21" customHeight="1">
      <c r="A685" s="9" t="s">
        <v>920</v>
      </c>
      <c r="B685" s="12">
        <f>IF(LEFT(H685,5)="VALID",M685,"")</f>
        <v>14</v>
      </c>
      <c r="C685" s="12">
        <f>IF(LEFT(H685,5)="VALID",N685,"")</f>
        <v>14</v>
      </c>
      <c r="D685" s="10" t="s">
        <v>82</v>
      </c>
      <c r="E685" s="10" t="s">
        <v>875</v>
      </c>
      <c r="F685" s="10" t="s">
        <v>231</v>
      </c>
      <c r="G685" s="10" t="s">
        <v>219</v>
      </c>
      <c r="H685" s="11" t="str">
        <f>IF(OR(M685&lt;=0,N685&lt;=0),"SKIPPED - NONPOSITIVE",IF(OR(M685&lt;L685,N685&lt;L685),"SKIPPED - BELOW MIN",IF(OR(M685&gt;J685,N685&gt;K685),"SKIPPED - EXCEEDS BASE",IF(COUNTIFS($M$641:M684,M685,$N$641:N684,N685)&gt;0,"SKIPPED - DUPLICATE","VALID - GENERATED"))))</f>
        <v>VALID - GENERATED</v>
      </c>
      <c r="I685" s="10" t="s">
        <v>876</v>
      </c>
      <c r="J685" s="12">
        <f>'05-ISO Reference'!$B$14</f>
        <v>37</v>
      </c>
      <c r="K685" s="12">
        <f>'05-ISO Reference'!$C$14</f>
        <v>52</v>
      </c>
      <c r="L685" s="12">
        <f>'01-Process Controls'!$G$5</f>
        <v>3</v>
      </c>
      <c r="M685" s="12">
        <f>ROUNDDOWN(MIN(J685,K685)*'04-Variant Rules'!$D$49,0)</f>
        <v>14</v>
      </c>
      <c r="N685" s="12">
        <f>ROUNDDOWN(MIN(J685,K685)*'04-Variant Rules'!$D$49,0)</f>
        <v>14</v>
      </c>
      <c r="O685" s="9">
        <v>44</v>
      </c>
    </row>
    <row r="686" spans="1:15" ht="21" customHeight="1">
      <c r="A686" s="9" t="s">
        <v>921</v>
      </c>
      <c r="B686" s="12">
        <f>IF(LEFT(H686,5)="VALID",M686,"")</f>
        <v>12</v>
      </c>
      <c r="C686" s="12">
        <f>IF(LEFT(H686,5)="VALID",N686,"")</f>
        <v>12</v>
      </c>
      <c r="D686" s="10" t="s">
        <v>82</v>
      </c>
      <c r="E686" s="10" t="s">
        <v>875</v>
      </c>
      <c r="F686" s="10" t="s">
        <v>233</v>
      </c>
      <c r="G686" s="10" t="s">
        <v>219</v>
      </c>
      <c r="H686" s="11" t="str">
        <f>IF(OR(M686&lt;=0,N686&lt;=0),"SKIPPED - NONPOSITIVE",IF(OR(M686&lt;L686,N686&lt;L686),"SKIPPED - BELOW MIN",IF(OR(M686&gt;J686,N686&gt;K686),"SKIPPED - EXCEEDS BASE",IF(COUNTIFS($M$641:M685,M686,$N$641:N685,N686)&gt;0,"SKIPPED - DUPLICATE","VALID - GENERATED"))))</f>
        <v>VALID - GENERATED</v>
      </c>
      <c r="I686" s="10" t="s">
        <v>876</v>
      </c>
      <c r="J686" s="12">
        <f>'05-ISO Reference'!$B$14</f>
        <v>37</v>
      </c>
      <c r="K686" s="12">
        <f>'05-ISO Reference'!$C$14</f>
        <v>52</v>
      </c>
      <c r="L686" s="12">
        <f>'01-Process Controls'!$G$5</f>
        <v>3</v>
      </c>
      <c r="M686" s="12">
        <f>ROUNDDOWN(MIN(J686,K686)*'04-Variant Rules'!$D$50,0)</f>
        <v>12</v>
      </c>
      <c r="N686" s="12">
        <f>ROUNDDOWN(MIN(J686,K686)*'04-Variant Rules'!$D$50,0)</f>
        <v>12</v>
      </c>
      <c r="O686" s="9">
        <v>45</v>
      </c>
    </row>
    <row r="687" spans="1:15" ht="21" customHeight="1">
      <c r="A687" s="9" t="s">
        <v>922</v>
      </c>
      <c r="B687" s="12">
        <f>IF(LEFT(H687,5)="VALID",M687,"")</f>
        <v>9</v>
      </c>
      <c r="C687" s="12">
        <f>IF(LEFT(H687,5)="VALID",N687,"")</f>
        <v>9</v>
      </c>
      <c r="D687" s="10" t="s">
        <v>82</v>
      </c>
      <c r="E687" s="10" t="s">
        <v>875</v>
      </c>
      <c r="F687" s="10" t="s">
        <v>235</v>
      </c>
      <c r="G687" s="10" t="s">
        <v>219</v>
      </c>
      <c r="H687" s="11" t="str">
        <f>IF(OR(M687&lt;=0,N687&lt;=0),"SKIPPED - NONPOSITIVE",IF(OR(M687&lt;L687,N687&lt;L687),"SKIPPED - BELOW MIN",IF(OR(M687&gt;J687,N687&gt;K687),"SKIPPED - EXCEEDS BASE",IF(COUNTIFS($M$641:M686,M687,$N$641:N686,N687)&gt;0,"SKIPPED - DUPLICATE","VALID - GENERATED"))))</f>
        <v>VALID - GENERATED</v>
      </c>
      <c r="I687" s="10" t="s">
        <v>876</v>
      </c>
      <c r="J687" s="12">
        <f>'05-ISO Reference'!$B$14</f>
        <v>37</v>
      </c>
      <c r="K687" s="12">
        <f>'05-ISO Reference'!$C$14</f>
        <v>52</v>
      </c>
      <c r="L687" s="12">
        <f>'01-Process Controls'!$G$5</f>
        <v>3</v>
      </c>
      <c r="M687" s="12">
        <f>ROUNDDOWN(MIN(J687,K687)*'04-Variant Rules'!$D$51,0)</f>
        <v>9</v>
      </c>
      <c r="N687" s="12">
        <f>ROUNDDOWN(MIN(J687,K687)*'04-Variant Rules'!$D$51,0)</f>
        <v>9</v>
      </c>
      <c r="O687" s="9">
        <v>46</v>
      </c>
    </row>
    <row r="688" spans="1:15" ht="21" customHeight="1">
      <c r="A688" s="9" t="s">
        <v>923</v>
      </c>
      <c r="B688" s="12">
        <f>IF(LEFT(H688,5)="VALID",M688,"")</f>
        <v>7</v>
      </c>
      <c r="C688" s="12">
        <f>IF(LEFT(H688,5)="VALID",N688,"")</f>
        <v>7</v>
      </c>
      <c r="D688" s="10" t="s">
        <v>82</v>
      </c>
      <c r="E688" s="10" t="s">
        <v>875</v>
      </c>
      <c r="F688" s="10" t="s">
        <v>237</v>
      </c>
      <c r="G688" s="10" t="s">
        <v>219</v>
      </c>
      <c r="H688" s="11" t="str">
        <f>IF(OR(M688&lt;=0,N688&lt;=0),"SKIPPED - NONPOSITIVE",IF(OR(M688&lt;L688,N688&lt;L688),"SKIPPED - BELOW MIN",IF(OR(M688&gt;J688,N688&gt;K688),"SKIPPED - EXCEEDS BASE",IF(COUNTIFS($M$641:M687,M688,$N$641:N687,N688)&gt;0,"SKIPPED - DUPLICATE","VALID - GENERATED"))))</f>
        <v>VALID - GENERATED</v>
      </c>
      <c r="I688" s="10" t="s">
        <v>876</v>
      </c>
      <c r="J688" s="12">
        <f>'05-ISO Reference'!$B$14</f>
        <v>37</v>
      </c>
      <c r="K688" s="12">
        <f>'05-ISO Reference'!$C$14</f>
        <v>52</v>
      </c>
      <c r="L688" s="12">
        <f>'01-Process Controls'!$G$5</f>
        <v>3</v>
      </c>
      <c r="M688" s="12">
        <f>ROUNDDOWN(MIN(J688,K688)*'04-Variant Rules'!$D$52,0)</f>
        <v>7</v>
      </c>
      <c r="N688" s="12">
        <f>ROUNDDOWN(MIN(J688,K688)*'04-Variant Rules'!$D$52,0)</f>
        <v>7</v>
      </c>
      <c r="O688" s="9">
        <v>47</v>
      </c>
    </row>
    <row r="689" spans="1:15" ht="21" customHeight="1">
      <c r="A689" s="9" t="s">
        <v>924</v>
      </c>
      <c r="B689" s="12">
        <f>IF(LEFT(H689,5)="VALID",M689,"")</f>
        <v>37</v>
      </c>
      <c r="C689" s="12">
        <f>IF(LEFT(H689,5)="VALID",N689,"")</f>
        <v>27</v>
      </c>
      <c r="D689" s="10" t="s">
        <v>82</v>
      </c>
      <c r="E689" s="10" t="s">
        <v>875</v>
      </c>
      <c r="F689" s="10" t="s">
        <v>239</v>
      </c>
      <c r="G689" s="10" t="s">
        <v>240</v>
      </c>
      <c r="H689" s="11" t="str">
        <f>IF(OR(M689&lt;=0,N689&lt;=0),"SKIPPED - NONPOSITIVE",IF(OR(M689&lt;L689,N689&lt;L689),"SKIPPED - BELOW MIN",IF(OR(M689&gt;J689,N689&gt;K689),"SKIPPED - EXCEEDS BASE",IF(COUNTIFS($M$641:M688,M689,$N$641:N688,N689)&gt;0,"SKIPPED - DUPLICATE","VALID - GENERATED"))))</f>
        <v>VALID - GENERATED</v>
      </c>
      <c r="I689" s="10" t="s">
        <v>876</v>
      </c>
      <c r="J689" s="12">
        <f>'05-ISO Reference'!$B$14</f>
        <v>37</v>
      </c>
      <c r="K689" s="12">
        <f>'05-ISO Reference'!$C$14</f>
        <v>52</v>
      </c>
      <c r="L689" s="12">
        <f>'01-Process Controls'!$G$5</f>
        <v>3</v>
      </c>
      <c r="M689" s="12">
        <f>ROUNDDOWN(MIN(J689,K689*'04-Variant Rules'!$D$53),0)</f>
        <v>37</v>
      </c>
      <c r="N689" s="12">
        <f>ROUNDDOWN(M689/'04-Variant Rules'!$D$53,0)</f>
        <v>27</v>
      </c>
      <c r="O689" s="9">
        <v>48</v>
      </c>
    </row>
    <row r="690" spans="1:15" ht="21" customHeight="1">
      <c r="A690" s="9" t="s">
        <v>925</v>
      </c>
      <c r="B690" s="12">
        <f>IF(LEFT(H690,5)="VALID",M690,"")</f>
        <v>37</v>
      </c>
      <c r="C690" s="12">
        <f>IF(LEFT(H690,5)="VALID",N690,"")</f>
        <v>49</v>
      </c>
      <c r="D690" s="10" t="s">
        <v>82</v>
      </c>
      <c r="E690" s="10" t="s">
        <v>875</v>
      </c>
      <c r="F690" s="10" t="s">
        <v>242</v>
      </c>
      <c r="G690" s="10" t="s">
        <v>243</v>
      </c>
      <c r="H690" s="11" t="str">
        <f>IF(OR(M690&lt;=0,N690&lt;=0),"SKIPPED - NONPOSITIVE",IF(OR(M690&lt;L690,N690&lt;L690),"SKIPPED - BELOW MIN",IF(OR(M690&gt;J690,N690&gt;K690),"SKIPPED - EXCEEDS BASE",IF(COUNTIFS($M$641:M689,M690,$N$641:N689,N690)&gt;0,"SKIPPED - DUPLICATE","VALID - GENERATED"))))</f>
        <v>VALID - GENERATED</v>
      </c>
      <c r="I690" s="10" t="s">
        <v>876</v>
      </c>
      <c r="J690" s="12">
        <f>'05-ISO Reference'!$B$14</f>
        <v>37</v>
      </c>
      <c r="K690" s="12">
        <f>'05-ISO Reference'!$C$14</f>
        <v>52</v>
      </c>
      <c r="L690" s="12">
        <f>'01-Process Controls'!$G$5</f>
        <v>3</v>
      </c>
      <c r="M690" s="12">
        <f>ROUNDDOWN(MIN(J690,K690*'04-Variant Rules'!$D$54),0)</f>
        <v>37</v>
      </c>
      <c r="N690" s="12">
        <f>ROUNDDOWN(M690/'04-Variant Rules'!$D$54,0)</f>
        <v>49</v>
      </c>
      <c r="O690" s="9">
        <v>49</v>
      </c>
    </row>
    <row r="691" spans="1:15" ht="21" customHeight="1">
      <c r="A691" s="9" t="s">
        <v>926</v>
      </c>
      <c r="B691" s="12">
        <f>IF(LEFT(H691,5)="VALID",M691,"")</f>
        <v>37</v>
      </c>
      <c r="C691" s="12">
        <f>IF(LEFT(H691,5)="VALID",N691,"")</f>
        <v>24</v>
      </c>
      <c r="D691" s="10" t="s">
        <v>82</v>
      </c>
      <c r="E691" s="10" t="s">
        <v>875</v>
      </c>
      <c r="F691" s="10" t="s">
        <v>245</v>
      </c>
      <c r="G691" s="10" t="s">
        <v>246</v>
      </c>
      <c r="H691" s="11" t="str">
        <f>IF(OR(M691&lt;=0,N691&lt;=0),"SKIPPED - NONPOSITIVE",IF(OR(M691&lt;L691,N691&lt;L691),"SKIPPED - BELOW MIN",IF(OR(M691&gt;J691,N691&gt;K691),"SKIPPED - EXCEEDS BASE",IF(COUNTIFS($M$641:M690,M691,$N$641:N690,N691)&gt;0,"SKIPPED - DUPLICATE","VALID - GENERATED"))))</f>
        <v>VALID - GENERATED</v>
      </c>
      <c r="I691" s="10" t="s">
        <v>876</v>
      </c>
      <c r="J691" s="12">
        <f>'05-ISO Reference'!$B$14</f>
        <v>37</v>
      </c>
      <c r="K691" s="12">
        <f>'05-ISO Reference'!$C$14</f>
        <v>52</v>
      </c>
      <c r="L691" s="12">
        <f>'01-Process Controls'!$G$5</f>
        <v>3</v>
      </c>
      <c r="M691" s="12">
        <f>ROUNDDOWN(MIN(J691,K691*'04-Variant Rules'!$D$55),0)</f>
        <v>37</v>
      </c>
      <c r="N691" s="12">
        <f>ROUNDDOWN(M691/'04-Variant Rules'!$D$55,0)</f>
        <v>24</v>
      </c>
      <c r="O691" s="9">
        <v>50</v>
      </c>
    </row>
    <row r="692" spans="1:15" ht="21" customHeight="1">
      <c r="A692" s="9" t="s">
        <v>927</v>
      </c>
      <c r="B692" s="12">
        <f>IF(LEFT(H692,5)="VALID",M692,"")</f>
        <v>34</v>
      </c>
      <c r="C692" s="12">
        <f>IF(LEFT(H692,5)="VALID",N692,"")</f>
        <v>51</v>
      </c>
      <c r="D692" s="10" t="s">
        <v>82</v>
      </c>
      <c r="E692" s="10" t="s">
        <v>875</v>
      </c>
      <c r="F692" s="10" t="s">
        <v>248</v>
      </c>
      <c r="G692" s="10" t="s">
        <v>249</v>
      </c>
      <c r="H692" s="11" t="str">
        <f>IF(OR(M692&lt;=0,N692&lt;=0),"SKIPPED - NONPOSITIVE",IF(OR(M692&lt;L692,N692&lt;L692),"SKIPPED - BELOW MIN",IF(OR(M692&gt;J692,N692&gt;K692),"SKIPPED - EXCEEDS BASE",IF(COUNTIFS($M$641:M691,M692,$N$641:N691,N692)&gt;0,"SKIPPED - DUPLICATE","VALID - GENERATED"))))</f>
        <v>VALID - GENERATED</v>
      </c>
      <c r="I692" s="10" t="s">
        <v>876</v>
      </c>
      <c r="J692" s="12">
        <f>'05-ISO Reference'!$B$14</f>
        <v>37</v>
      </c>
      <c r="K692" s="12">
        <f>'05-ISO Reference'!$C$14</f>
        <v>52</v>
      </c>
      <c r="L692" s="12">
        <f>'01-Process Controls'!$G$5</f>
        <v>3</v>
      </c>
      <c r="M692" s="12">
        <f>ROUNDDOWN(MIN(J692,K692*'04-Variant Rules'!$D$56),0)</f>
        <v>34</v>
      </c>
      <c r="N692" s="12">
        <f>ROUNDDOWN(M692/'04-Variant Rules'!$D$56,0)</f>
        <v>51</v>
      </c>
      <c r="O692" s="9">
        <v>51</v>
      </c>
    </row>
    <row r="693" spans="1:15" ht="21" customHeight="1">
      <c r="A693" s="9" t="s">
        <v>928</v>
      </c>
      <c r="B693" s="12">
        <f>IF(LEFT(H693,5)="VALID",M693,"")</f>
        <v>37</v>
      </c>
      <c r="C693" s="12">
        <f>IF(LEFT(H693,5)="VALID",N693,"")</f>
        <v>20</v>
      </c>
      <c r="D693" s="10" t="s">
        <v>82</v>
      </c>
      <c r="E693" s="10" t="s">
        <v>875</v>
      </c>
      <c r="F693" s="10" t="s">
        <v>251</v>
      </c>
      <c r="G693" s="10" t="s">
        <v>252</v>
      </c>
      <c r="H693" s="11" t="str">
        <f>IF(OR(M693&lt;=0,N693&lt;=0),"SKIPPED - NONPOSITIVE",IF(OR(M693&lt;L693,N693&lt;L693),"SKIPPED - BELOW MIN",IF(OR(M693&gt;J693,N693&gt;K693),"SKIPPED - EXCEEDS BASE",IF(COUNTIFS($M$641:M692,M693,$N$641:N692,N693)&gt;0,"SKIPPED - DUPLICATE","VALID - GENERATED"))))</f>
        <v>VALID - GENERATED</v>
      </c>
      <c r="I693" s="10" t="s">
        <v>876</v>
      </c>
      <c r="J693" s="12">
        <f>'05-ISO Reference'!$B$14</f>
        <v>37</v>
      </c>
      <c r="K693" s="12">
        <f>'05-ISO Reference'!$C$14</f>
        <v>52</v>
      </c>
      <c r="L693" s="12">
        <f>'01-Process Controls'!$G$5</f>
        <v>3</v>
      </c>
      <c r="M693" s="12">
        <f>ROUNDDOWN(MIN(J693,K693*'04-Variant Rules'!$D$57),0)</f>
        <v>37</v>
      </c>
      <c r="N693" s="12">
        <f>ROUNDDOWN(M693/'04-Variant Rules'!$D$57,0)</f>
        <v>20</v>
      </c>
      <c r="O693" s="9">
        <v>52</v>
      </c>
    </row>
    <row r="694" spans="1:15" ht="21" customHeight="1">
      <c r="A694" s="9" t="s">
        <v>929</v>
      </c>
      <c r="B694" s="12">
        <f>IF(LEFT(H694,5)="VALID",M694,"")</f>
        <v>29</v>
      </c>
      <c r="C694" s="12">
        <f>IF(LEFT(H694,5)="VALID",N694,"")</f>
        <v>51</v>
      </c>
      <c r="D694" s="10" t="s">
        <v>82</v>
      </c>
      <c r="E694" s="10" t="s">
        <v>875</v>
      </c>
      <c r="F694" s="10" t="s">
        <v>254</v>
      </c>
      <c r="G694" s="10" t="s">
        <v>255</v>
      </c>
      <c r="H694" s="11" t="str">
        <f>IF(OR(M694&lt;=0,N694&lt;=0),"SKIPPED - NONPOSITIVE",IF(OR(M694&lt;L694,N694&lt;L694),"SKIPPED - BELOW MIN",IF(OR(M694&gt;J694,N694&gt;K694),"SKIPPED - EXCEEDS BASE",IF(COUNTIFS($M$641:M693,M694,$N$641:N693,N694)&gt;0,"SKIPPED - DUPLICATE","VALID - GENERATED"))))</f>
        <v>VALID - GENERATED</v>
      </c>
      <c r="I694" s="10" t="s">
        <v>876</v>
      </c>
      <c r="J694" s="12">
        <f>'05-ISO Reference'!$B$14</f>
        <v>37</v>
      </c>
      <c r="K694" s="12">
        <f>'05-ISO Reference'!$C$14</f>
        <v>52</v>
      </c>
      <c r="L694" s="12">
        <f>'01-Process Controls'!$G$5</f>
        <v>3</v>
      </c>
      <c r="M694" s="12">
        <f>ROUNDDOWN(MIN(J694,K694*'04-Variant Rules'!$D$58),0)</f>
        <v>29</v>
      </c>
      <c r="N694" s="12">
        <f>ROUNDDOWN(M694/'04-Variant Rules'!$D$58,0)</f>
        <v>51</v>
      </c>
      <c r="O694" s="9">
        <v>53</v>
      </c>
    </row>
    <row r="695" spans="1:15" ht="21" customHeight="1">
      <c r="A695" s="9" t="s">
        <v>930</v>
      </c>
      <c r="B695" s="12">
        <f>IF(LEFT(H695,5)="VALID",M695,"")</f>
        <v>37</v>
      </c>
      <c r="C695" s="12">
        <f>IF(LEFT(H695,5)="VALID",N695,"")</f>
        <v>18</v>
      </c>
      <c r="D695" s="10" t="s">
        <v>82</v>
      </c>
      <c r="E695" s="10" t="s">
        <v>875</v>
      </c>
      <c r="F695" s="10" t="s">
        <v>257</v>
      </c>
      <c r="G695" s="10" t="s">
        <v>258</v>
      </c>
      <c r="H695" s="11" t="str">
        <f>IF(OR(M695&lt;=0,N695&lt;=0),"SKIPPED - NONPOSITIVE",IF(OR(M695&lt;L695,N695&lt;L695),"SKIPPED - BELOW MIN",IF(OR(M695&gt;J695,N695&gt;K695),"SKIPPED - EXCEEDS BASE",IF(COUNTIFS($M$641:M694,M695,$N$641:N694,N695)&gt;0,"SKIPPED - DUPLICATE","VALID - GENERATED"))))</f>
        <v>VALID - GENERATED</v>
      </c>
      <c r="I695" s="10" t="s">
        <v>876</v>
      </c>
      <c r="J695" s="12">
        <f>'05-ISO Reference'!$B$14</f>
        <v>37</v>
      </c>
      <c r="K695" s="12">
        <f>'05-ISO Reference'!$C$14</f>
        <v>52</v>
      </c>
      <c r="L695" s="12">
        <f>'01-Process Controls'!$G$5</f>
        <v>3</v>
      </c>
      <c r="M695" s="12">
        <f>ROUNDDOWN(MIN(J695,K695*'04-Variant Rules'!$D$59),0)</f>
        <v>37</v>
      </c>
      <c r="N695" s="12">
        <f>ROUNDDOWN(M695/'04-Variant Rules'!$D$59,0)</f>
        <v>18</v>
      </c>
      <c r="O695" s="9">
        <v>54</v>
      </c>
    </row>
    <row r="696" spans="1:15" ht="21" customHeight="1">
      <c r="A696" s="9" t="s">
        <v>931</v>
      </c>
      <c r="B696" s="12">
        <f>IF(LEFT(H696,5)="VALID",M696,"")</f>
        <v>26</v>
      </c>
      <c r="C696" s="12">
        <f>IF(LEFT(H696,5)="VALID",N696,"")</f>
        <v>52</v>
      </c>
      <c r="D696" s="10" t="s">
        <v>82</v>
      </c>
      <c r="E696" s="10" t="s">
        <v>875</v>
      </c>
      <c r="F696" s="10" t="s">
        <v>260</v>
      </c>
      <c r="G696" s="10" t="s">
        <v>261</v>
      </c>
      <c r="H696" s="11" t="str">
        <f>IF(OR(M696&lt;=0,N696&lt;=0),"SKIPPED - NONPOSITIVE",IF(OR(M696&lt;L696,N696&lt;L696),"SKIPPED - BELOW MIN",IF(OR(M696&gt;J696,N696&gt;K696),"SKIPPED - EXCEEDS BASE",IF(COUNTIFS($M$641:M695,M696,$N$641:N695,N696)&gt;0,"SKIPPED - DUPLICATE","VALID - GENERATED"))))</f>
        <v>VALID - GENERATED</v>
      </c>
      <c r="I696" s="10" t="s">
        <v>876</v>
      </c>
      <c r="J696" s="12">
        <f>'05-ISO Reference'!$B$14</f>
        <v>37</v>
      </c>
      <c r="K696" s="12">
        <f>'05-ISO Reference'!$C$14</f>
        <v>52</v>
      </c>
      <c r="L696" s="12">
        <f>'01-Process Controls'!$G$5</f>
        <v>3</v>
      </c>
      <c r="M696" s="12">
        <f>ROUNDDOWN(MIN(J696,K696*'04-Variant Rules'!$D$60),0)</f>
        <v>26</v>
      </c>
      <c r="N696" s="12">
        <f>ROUNDDOWN(M696/'04-Variant Rules'!$D$60,0)</f>
        <v>52</v>
      </c>
      <c r="O696" s="9">
        <v>55</v>
      </c>
    </row>
    <row r="697" spans="1:15" ht="21" customHeight="1">
      <c r="A697" s="9" t="s">
        <v>932</v>
      </c>
      <c r="B697" s="48"/>
      <c r="C697" s="48"/>
      <c r="D697" s="10" t="s">
        <v>263</v>
      </c>
      <c r="E697" s="10" t="s">
        <v>933</v>
      </c>
      <c r="F697" s="10" t="s">
        <v>265</v>
      </c>
      <c r="G697" s="10" t="s">
        <v>266</v>
      </c>
      <c r="H697" s="11" t="str">
        <f>IF(AND(B697="",C697=""),"CUSTOM BLANK",IF(OR(B697="",C697=""),"ERROR - ENTER BOTH",IF(OR(B697&lt;=0,C697&lt;=0),"ERROR - NONPOSITIVE",IF(OR(B697&lt;L697,C697&lt;L697),"ERROR - BELOW MIN",IF(OR(AND(B697&lt;=J697,C697&lt;=K697),AND(B697&lt;=K697,C697&lt;=J697)),"VALID - CUSTOM","ERROR - EXCEEDS BASE")))))</f>
        <v>CUSTOM BLANK</v>
      </c>
      <c r="I697" s="10" t="s">
        <v>267</v>
      </c>
      <c r="J697" s="12">
        <f>'05-ISO Reference'!$B$14</f>
        <v>37</v>
      </c>
      <c r="K697" s="12">
        <f>'05-ISO Reference'!$C$14</f>
        <v>52</v>
      </c>
      <c r="L697" s="12">
        <f>'01-Process Controls'!$G$5</f>
        <v>3</v>
      </c>
      <c r="M697" s="8"/>
      <c r="N697" s="8"/>
    </row>
    <row r="698" spans="1:15" ht="21" customHeight="1">
      <c r="A698" s="9" t="s">
        <v>934</v>
      </c>
      <c r="B698" s="48"/>
      <c r="C698" s="48"/>
      <c r="D698" s="10" t="s">
        <v>263</v>
      </c>
      <c r="E698" s="10" t="s">
        <v>933</v>
      </c>
      <c r="F698" s="10" t="s">
        <v>265</v>
      </c>
      <c r="G698" s="10" t="s">
        <v>266</v>
      </c>
      <c r="H698" s="11" t="str">
        <f>IF(AND(B698="",C698=""),"CUSTOM BLANK",IF(OR(B698="",C698=""),"ERROR - ENTER BOTH",IF(OR(B698&lt;=0,C698&lt;=0),"ERROR - NONPOSITIVE",IF(OR(B698&lt;L698,C698&lt;L698),"ERROR - BELOW MIN",IF(OR(AND(B698&lt;=J698,C698&lt;=K698),AND(B698&lt;=K698,C698&lt;=J698)),"VALID - CUSTOM","ERROR - EXCEEDS BASE")))))</f>
        <v>CUSTOM BLANK</v>
      </c>
      <c r="I698" s="10" t="s">
        <v>267</v>
      </c>
      <c r="J698" s="12">
        <f>'05-ISO Reference'!$B$14</f>
        <v>37</v>
      </c>
      <c r="K698" s="12">
        <f>'05-ISO Reference'!$C$14</f>
        <v>52</v>
      </c>
      <c r="L698" s="12">
        <f>'01-Process Controls'!$G$5</f>
        <v>3</v>
      </c>
      <c r="M698" s="8"/>
      <c r="N698" s="8"/>
    </row>
    <row r="699" spans="1:15" ht="21" customHeight="1">
      <c r="A699" s="9" t="s">
        <v>935</v>
      </c>
      <c r="B699" s="48"/>
      <c r="C699" s="48"/>
      <c r="D699" s="10" t="s">
        <v>263</v>
      </c>
      <c r="E699" s="10" t="s">
        <v>933</v>
      </c>
      <c r="F699" s="10" t="s">
        <v>265</v>
      </c>
      <c r="G699" s="10" t="s">
        <v>266</v>
      </c>
      <c r="H699" s="11" t="str">
        <f>IF(AND(B699="",C699=""),"CUSTOM BLANK",IF(OR(B699="",C699=""),"ERROR - ENTER BOTH",IF(OR(B699&lt;=0,C699&lt;=0),"ERROR - NONPOSITIVE",IF(OR(B699&lt;L699,C699&lt;L699),"ERROR - BELOW MIN",IF(OR(AND(B699&lt;=J699,C699&lt;=K699),AND(B699&lt;=K699,C699&lt;=J699)),"VALID - CUSTOM","ERROR - EXCEEDS BASE")))))</f>
        <v>CUSTOM BLANK</v>
      </c>
      <c r="I699" s="10" t="s">
        <v>267</v>
      </c>
      <c r="J699" s="12">
        <f>'05-ISO Reference'!$B$14</f>
        <v>37</v>
      </c>
      <c r="K699" s="12">
        <f>'05-ISO Reference'!$C$14</f>
        <v>52</v>
      </c>
      <c r="L699" s="12">
        <f>'01-Process Controls'!$G$5</f>
        <v>3</v>
      </c>
      <c r="M699" s="8"/>
      <c r="N699" s="8"/>
    </row>
    <row r="700" spans="1:15" ht="21" customHeight="1">
      <c r="A700" s="9" t="s">
        <v>936</v>
      </c>
      <c r="B700" s="48"/>
      <c r="C700" s="48"/>
      <c r="D700" s="10" t="s">
        <v>263</v>
      </c>
      <c r="E700" s="10" t="s">
        <v>933</v>
      </c>
      <c r="F700" s="10" t="s">
        <v>265</v>
      </c>
      <c r="G700" s="10" t="s">
        <v>266</v>
      </c>
      <c r="H700" s="11" t="str">
        <f>IF(AND(B700="",C700=""),"CUSTOM BLANK",IF(OR(B700="",C700=""),"ERROR - ENTER BOTH",IF(OR(B700&lt;=0,C700&lt;=0),"ERROR - NONPOSITIVE",IF(OR(B700&lt;L700,C700&lt;L700),"ERROR - BELOW MIN",IF(OR(AND(B700&lt;=J700,C700&lt;=K700),AND(B700&lt;=K700,C700&lt;=J700)),"VALID - CUSTOM","ERROR - EXCEEDS BASE")))))</f>
        <v>CUSTOM BLANK</v>
      </c>
      <c r="I700" s="10" t="s">
        <v>267</v>
      </c>
      <c r="J700" s="12">
        <f>'05-ISO Reference'!$B$14</f>
        <v>37</v>
      </c>
      <c r="K700" s="12">
        <f>'05-ISO Reference'!$C$14</f>
        <v>52</v>
      </c>
      <c r="L700" s="12">
        <f>'01-Process Controls'!$G$5</f>
        <v>3</v>
      </c>
      <c r="M700" s="8"/>
      <c r="N700" s="8"/>
    </row>
    <row r="701" spans="1:15" ht="21" customHeight="1">
      <c r="A701" s="9" t="s">
        <v>937</v>
      </c>
      <c r="B701" s="48"/>
      <c r="C701" s="48"/>
      <c r="D701" s="10" t="s">
        <v>263</v>
      </c>
      <c r="E701" s="10" t="s">
        <v>933</v>
      </c>
      <c r="F701" s="10" t="s">
        <v>265</v>
      </c>
      <c r="G701" s="10" t="s">
        <v>266</v>
      </c>
      <c r="H701" s="11" t="str">
        <f>IF(AND(B701="",C701=""),"CUSTOM BLANK",IF(OR(B701="",C701=""),"ERROR - ENTER BOTH",IF(OR(B701&lt;=0,C701&lt;=0),"ERROR - NONPOSITIVE",IF(OR(B701&lt;L701,C701&lt;L701),"ERROR - BELOW MIN",IF(OR(AND(B701&lt;=J701,C701&lt;=K701),AND(B701&lt;=K701,C701&lt;=J701)),"VALID - CUSTOM","ERROR - EXCEEDS BASE")))))</f>
        <v>CUSTOM BLANK</v>
      </c>
      <c r="I701" s="10" t="s">
        <v>267</v>
      </c>
      <c r="J701" s="12">
        <f>'05-ISO Reference'!$B$14</f>
        <v>37</v>
      </c>
      <c r="K701" s="12">
        <f>'05-ISO Reference'!$C$14</f>
        <v>52</v>
      </c>
      <c r="L701" s="12">
        <f>'01-Process Controls'!$G$5</f>
        <v>3</v>
      </c>
      <c r="M701" s="8"/>
      <c r="N701" s="8"/>
    </row>
    <row r="702" spans="1:15" ht="21" customHeight="1">
      <c r="A702" s="9" t="s">
        <v>938</v>
      </c>
      <c r="B702" s="48"/>
      <c r="C702" s="48"/>
      <c r="D702" s="10" t="s">
        <v>263</v>
      </c>
      <c r="E702" s="10" t="s">
        <v>933</v>
      </c>
      <c r="F702" s="10" t="s">
        <v>265</v>
      </c>
      <c r="G702" s="10" t="s">
        <v>266</v>
      </c>
      <c r="H702" s="11" t="str">
        <f>IF(AND(B702="",C702=""),"CUSTOM BLANK",IF(OR(B702="",C702=""),"ERROR - ENTER BOTH",IF(OR(B702&lt;=0,C702&lt;=0),"ERROR - NONPOSITIVE",IF(OR(B702&lt;L702,C702&lt;L702),"ERROR - BELOW MIN",IF(OR(AND(B702&lt;=J702,C702&lt;=K702),AND(B702&lt;=K702,C702&lt;=J702)),"VALID - CUSTOM","ERROR - EXCEEDS BASE")))))</f>
        <v>CUSTOM BLANK</v>
      </c>
      <c r="I702" s="10" t="s">
        <v>267</v>
      </c>
      <c r="J702" s="12">
        <f>'05-ISO Reference'!$B$14</f>
        <v>37</v>
      </c>
      <c r="K702" s="12">
        <f>'05-ISO Reference'!$C$14</f>
        <v>52</v>
      </c>
      <c r="L702" s="12">
        <f>'01-Process Controls'!$G$5</f>
        <v>3</v>
      </c>
      <c r="M702" s="8"/>
      <c r="N702" s="8"/>
    </row>
    <row r="703" spans="1:15" ht="21" customHeight="1">
      <c r="A703" s="9" t="s">
        <v>939</v>
      </c>
      <c r="B703" s="48"/>
      <c r="C703" s="48"/>
      <c r="D703" s="10" t="s">
        <v>263</v>
      </c>
      <c r="E703" s="10" t="s">
        <v>933</v>
      </c>
      <c r="F703" s="10" t="s">
        <v>265</v>
      </c>
      <c r="G703" s="10" t="s">
        <v>266</v>
      </c>
      <c r="H703" s="11" t="str">
        <f>IF(AND(B703="",C703=""),"CUSTOM BLANK",IF(OR(B703="",C703=""),"ERROR - ENTER BOTH",IF(OR(B703&lt;=0,C703&lt;=0),"ERROR - NONPOSITIVE",IF(OR(B703&lt;L703,C703&lt;L703),"ERROR - BELOW MIN",IF(OR(AND(B703&lt;=J703,C703&lt;=K703),AND(B703&lt;=K703,C703&lt;=J703)),"VALID - CUSTOM","ERROR - EXCEEDS BASE")))))</f>
        <v>CUSTOM BLANK</v>
      </c>
      <c r="I703" s="10" t="s">
        <v>267</v>
      </c>
      <c r="J703" s="12">
        <f>'05-ISO Reference'!$B$14</f>
        <v>37</v>
      </c>
      <c r="K703" s="12">
        <f>'05-ISO Reference'!$C$14</f>
        <v>52</v>
      </c>
      <c r="L703" s="12">
        <f>'01-Process Controls'!$G$5</f>
        <v>3</v>
      </c>
      <c r="M703" s="8"/>
      <c r="N703" s="8"/>
    </row>
    <row r="704" spans="1:15" ht="21" customHeight="1">
      <c r="A704" s="9" t="s">
        <v>940</v>
      </c>
      <c r="B704" s="48"/>
      <c r="C704" s="48"/>
      <c r="D704" s="10" t="s">
        <v>263</v>
      </c>
      <c r="E704" s="10" t="s">
        <v>933</v>
      </c>
      <c r="F704" s="10" t="s">
        <v>265</v>
      </c>
      <c r="G704" s="10" t="s">
        <v>266</v>
      </c>
      <c r="H704" s="11" t="str">
        <f>IF(AND(B704="",C704=""),"CUSTOM BLANK",IF(OR(B704="",C704=""),"ERROR - ENTER BOTH",IF(OR(B704&lt;=0,C704&lt;=0),"ERROR - NONPOSITIVE",IF(OR(B704&lt;L704,C704&lt;L704),"ERROR - BELOW MIN",IF(OR(AND(B704&lt;=J704,C704&lt;=K704),AND(B704&lt;=K704,C704&lt;=J704)),"VALID - CUSTOM","ERROR - EXCEEDS BASE")))))</f>
        <v>CUSTOM BLANK</v>
      </c>
      <c r="I704" s="10" t="s">
        <v>267</v>
      </c>
      <c r="J704" s="12">
        <f>'05-ISO Reference'!$B$14</f>
        <v>37</v>
      </c>
      <c r="K704" s="12">
        <f>'05-ISO Reference'!$C$14</f>
        <v>52</v>
      </c>
      <c r="L704" s="12">
        <f>'01-Process Controls'!$G$5</f>
        <v>3</v>
      </c>
      <c r="M704" s="8"/>
      <c r="N704" s="8"/>
    </row>
    <row r="705" spans="1:15" ht="21" customHeight="1">
      <c r="A705" s="9" t="s">
        <v>941</v>
      </c>
      <c r="B705" s="48"/>
      <c r="C705" s="48"/>
      <c r="D705" s="10" t="s">
        <v>263</v>
      </c>
      <c r="E705" s="10" t="s">
        <v>933</v>
      </c>
      <c r="F705" s="10" t="s">
        <v>265</v>
      </c>
      <c r="G705" s="10" t="s">
        <v>266</v>
      </c>
      <c r="H705" s="11" t="str">
        <f>IF(AND(B705="",C705=""),"CUSTOM BLANK",IF(OR(B705="",C705=""),"ERROR - ENTER BOTH",IF(OR(B705&lt;=0,C705&lt;=0),"ERROR - NONPOSITIVE",IF(OR(B705&lt;L705,C705&lt;L705),"ERROR - BELOW MIN",IF(OR(AND(B705&lt;=J705,C705&lt;=K705),AND(B705&lt;=K705,C705&lt;=J705)),"VALID - CUSTOM","ERROR - EXCEEDS BASE")))))</f>
        <v>CUSTOM BLANK</v>
      </c>
      <c r="I705" s="10" t="s">
        <v>267</v>
      </c>
      <c r="J705" s="12">
        <f>'05-ISO Reference'!$B$14</f>
        <v>37</v>
      </c>
      <c r="K705" s="12">
        <f>'05-ISO Reference'!$C$14</f>
        <v>52</v>
      </c>
      <c r="L705" s="12">
        <f>'01-Process Controls'!$G$5</f>
        <v>3</v>
      </c>
      <c r="M705" s="8"/>
      <c r="N705" s="8"/>
    </row>
    <row r="706" spans="1:15" ht="21" customHeight="1">
      <c r="A706" s="9" t="s">
        <v>942</v>
      </c>
      <c r="B706" s="48"/>
      <c r="C706" s="48"/>
      <c r="D706" s="10" t="s">
        <v>263</v>
      </c>
      <c r="E706" s="10" t="s">
        <v>933</v>
      </c>
      <c r="F706" s="10" t="s">
        <v>265</v>
      </c>
      <c r="G706" s="10" t="s">
        <v>266</v>
      </c>
      <c r="H706" s="11" t="str">
        <f>IF(AND(B706="",C706=""),"CUSTOM BLANK",IF(OR(B706="",C706=""),"ERROR - ENTER BOTH",IF(OR(B706&lt;=0,C706&lt;=0),"ERROR - NONPOSITIVE",IF(OR(B706&lt;L706,C706&lt;L706),"ERROR - BELOW MIN",IF(OR(AND(B706&lt;=J706,C706&lt;=K706),AND(B706&lt;=K706,C706&lt;=J706)),"VALID - CUSTOM","ERROR - EXCEEDS BASE")))))</f>
        <v>CUSTOM BLANK</v>
      </c>
      <c r="I706" s="10" t="s">
        <v>267</v>
      </c>
      <c r="J706" s="12">
        <f>'05-ISO Reference'!$B$14</f>
        <v>37</v>
      </c>
      <c r="K706" s="12">
        <f>'05-ISO Reference'!$C$14</f>
        <v>52</v>
      </c>
      <c r="L706" s="12">
        <f>'01-Process Controls'!$G$5</f>
        <v>3</v>
      </c>
      <c r="M706" s="8"/>
      <c r="N706" s="8"/>
    </row>
    <row r="707" spans="1:15" ht="21" customHeight="1">
      <c r="A707" s="9" t="s">
        <v>943</v>
      </c>
      <c r="B707" s="48"/>
      <c r="C707" s="48"/>
      <c r="D707" s="10" t="s">
        <v>263</v>
      </c>
      <c r="E707" s="10" t="s">
        <v>933</v>
      </c>
      <c r="F707" s="10" t="s">
        <v>265</v>
      </c>
      <c r="G707" s="10" t="s">
        <v>266</v>
      </c>
      <c r="H707" s="11" t="str">
        <f>IF(AND(B707="",C707=""),"CUSTOM BLANK",IF(OR(B707="",C707=""),"ERROR - ENTER BOTH",IF(OR(B707&lt;=0,C707&lt;=0),"ERROR - NONPOSITIVE",IF(OR(B707&lt;L707,C707&lt;L707),"ERROR - BELOW MIN",IF(OR(AND(B707&lt;=J707,C707&lt;=K707),AND(B707&lt;=K707,C707&lt;=J707)),"VALID - CUSTOM","ERROR - EXCEEDS BASE")))))</f>
        <v>CUSTOM BLANK</v>
      </c>
      <c r="I707" s="10" t="s">
        <v>267</v>
      </c>
      <c r="J707" s="12">
        <f>'05-ISO Reference'!$B$14</f>
        <v>37</v>
      </c>
      <c r="K707" s="12">
        <f>'05-ISO Reference'!$C$14</f>
        <v>52</v>
      </c>
      <c r="L707" s="12">
        <f>'01-Process Controls'!$G$5</f>
        <v>3</v>
      </c>
      <c r="M707" s="8"/>
      <c r="N707" s="8"/>
    </row>
    <row r="708" spans="1:15" ht="21" customHeight="1">
      <c r="A708" s="9" t="s">
        <v>944</v>
      </c>
      <c r="B708" s="48"/>
      <c r="C708" s="48"/>
      <c r="D708" s="10" t="s">
        <v>263</v>
      </c>
      <c r="E708" s="10" t="s">
        <v>933</v>
      </c>
      <c r="F708" s="10" t="s">
        <v>265</v>
      </c>
      <c r="G708" s="10" t="s">
        <v>266</v>
      </c>
      <c r="H708" s="11" t="str">
        <f>IF(AND(B708="",C708=""),"CUSTOM BLANK",IF(OR(B708="",C708=""),"ERROR - ENTER BOTH",IF(OR(B708&lt;=0,C708&lt;=0),"ERROR - NONPOSITIVE",IF(OR(B708&lt;L708,C708&lt;L708),"ERROR - BELOW MIN",IF(OR(AND(B708&lt;=J708,C708&lt;=K708),AND(B708&lt;=K708,C708&lt;=J708)),"VALID - CUSTOM","ERROR - EXCEEDS BASE")))))</f>
        <v>CUSTOM BLANK</v>
      </c>
      <c r="I708" s="10" t="s">
        <v>267</v>
      </c>
      <c r="J708" s="12">
        <f>'05-ISO Reference'!$B$14</f>
        <v>37</v>
      </c>
      <c r="K708" s="12">
        <f>'05-ISO Reference'!$C$14</f>
        <v>52</v>
      </c>
      <c r="L708" s="12">
        <f>'01-Process Controls'!$G$5</f>
        <v>3</v>
      </c>
      <c r="M708" s="8"/>
      <c r="N708" s="8"/>
    </row>
    <row r="709" spans="1:15" ht="21" customHeight="1">
      <c r="A709" s="9" t="s">
        <v>945</v>
      </c>
      <c r="B709" s="48"/>
      <c r="C709" s="48"/>
      <c r="D709" s="10" t="s">
        <v>263</v>
      </c>
      <c r="E709" s="10" t="s">
        <v>933</v>
      </c>
      <c r="F709" s="10" t="s">
        <v>265</v>
      </c>
      <c r="G709" s="10" t="s">
        <v>266</v>
      </c>
      <c r="H709" s="11" t="str">
        <f>IF(AND(B709="",C709=""),"CUSTOM BLANK",IF(OR(B709="",C709=""),"ERROR - ENTER BOTH",IF(OR(B709&lt;=0,C709&lt;=0),"ERROR - NONPOSITIVE",IF(OR(B709&lt;L709,C709&lt;L709),"ERROR - BELOW MIN",IF(OR(AND(B709&lt;=J709,C709&lt;=K709),AND(B709&lt;=K709,C709&lt;=J709)),"VALID - CUSTOM","ERROR - EXCEEDS BASE")))))</f>
        <v>CUSTOM BLANK</v>
      </c>
      <c r="I709" s="10" t="s">
        <v>267</v>
      </c>
      <c r="J709" s="12">
        <f>'05-ISO Reference'!$B$14</f>
        <v>37</v>
      </c>
      <c r="K709" s="12">
        <f>'05-ISO Reference'!$C$14</f>
        <v>52</v>
      </c>
      <c r="L709" s="12">
        <f>'01-Process Controls'!$G$5</f>
        <v>3</v>
      </c>
      <c r="M709" s="8"/>
      <c r="N709" s="8"/>
    </row>
    <row r="710" spans="1:15" ht="21" customHeight="1">
      <c r="A710" s="9" t="s">
        <v>946</v>
      </c>
      <c r="B710" s="48"/>
      <c r="C710" s="48"/>
      <c r="D710" s="10" t="s">
        <v>263</v>
      </c>
      <c r="E710" s="10" t="s">
        <v>933</v>
      </c>
      <c r="F710" s="10" t="s">
        <v>265</v>
      </c>
      <c r="G710" s="10" t="s">
        <v>266</v>
      </c>
      <c r="H710" s="11" t="str">
        <f>IF(AND(B710="",C710=""),"CUSTOM BLANK",IF(OR(B710="",C710=""),"ERROR - ENTER BOTH",IF(OR(B710&lt;=0,C710&lt;=0),"ERROR - NONPOSITIVE",IF(OR(B710&lt;L710,C710&lt;L710),"ERROR - BELOW MIN",IF(OR(AND(B710&lt;=J710,C710&lt;=K710),AND(B710&lt;=K710,C710&lt;=J710)),"VALID - CUSTOM","ERROR - EXCEEDS BASE")))))</f>
        <v>CUSTOM BLANK</v>
      </c>
      <c r="I710" s="10" t="s">
        <v>267</v>
      </c>
      <c r="J710" s="12">
        <f>'05-ISO Reference'!$B$14</f>
        <v>37</v>
      </c>
      <c r="K710" s="12">
        <f>'05-ISO Reference'!$C$14</f>
        <v>52</v>
      </c>
      <c r="L710" s="12">
        <f>'01-Process Controls'!$G$5</f>
        <v>3</v>
      </c>
      <c r="M710" s="8"/>
      <c r="N710" s="8"/>
    </row>
    <row r="711" spans="1:15" ht="21" customHeight="1">
      <c r="A711" s="9" t="s">
        <v>947</v>
      </c>
      <c r="B711" s="48"/>
      <c r="C711" s="48"/>
      <c r="D711" s="10" t="s">
        <v>263</v>
      </c>
      <c r="E711" s="10" t="s">
        <v>933</v>
      </c>
      <c r="F711" s="10" t="s">
        <v>265</v>
      </c>
      <c r="G711" s="10" t="s">
        <v>266</v>
      </c>
      <c r="H711" s="11" t="str">
        <f>IF(AND(B711="",C711=""),"CUSTOM BLANK",IF(OR(B711="",C711=""),"ERROR - ENTER BOTH",IF(OR(B711&lt;=0,C711&lt;=0),"ERROR - NONPOSITIVE",IF(OR(B711&lt;L711,C711&lt;L711),"ERROR - BELOW MIN",IF(OR(AND(B711&lt;=J711,C711&lt;=K711),AND(B711&lt;=K711,C711&lt;=J711)),"VALID - CUSTOM","ERROR - EXCEEDS BASE")))))</f>
        <v>CUSTOM BLANK</v>
      </c>
      <c r="I711" s="10" t="s">
        <v>267</v>
      </c>
      <c r="J711" s="12">
        <f>'05-ISO Reference'!$B$14</f>
        <v>37</v>
      </c>
      <c r="K711" s="12">
        <f>'05-ISO Reference'!$C$14</f>
        <v>52</v>
      </c>
      <c r="L711" s="12">
        <f>'01-Process Controls'!$G$5</f>
        <v>3</v>
      </c>
      <c r="M711" s="8"/>
      <c r="N711" s="8"/>
    </row>
    <row r="712" spans="1:15" ht="21" customHeight="1">
      <c r="A712" s="44" t="s">
        <v>948</v>
      </c>
      <c r="B712" s="45">
        <f>IF(LEFT(H712,5)="VALID",M712,"")</f>
        <v>26</v>
      </c>
      <c r="C712" s="45">
        <f>IF(LEFT(H712,5)="VALID",N712,"")</f>
        <v>37</v>
      </c>
      <c r="D712" s="46" t="s">
        <v>82</v>
      </c>
      <c r="E712" s="46" t="s">
        <v>949</v>
      </c>
      <c r="F712" s="46" t="s">
        <v>122</v>
      </c>
      <c r="G712" s="46" t="s">
        <v>123</v>
      </c>
      <c r="H712" s="47" t="str">
        <f>"VALID - BASE"</f>
        <v>VALID - BASE</v>
      </c>
      <c r="I712" s="46" t="s">
        <v>950</v>
      </c>
      <c r="J712" s="12">
        <f>'05-ISO Reference'!$B$15</f>
        <v>26</v>
      </c>
      <c r="K712" s="12">
        <f>'05-ISO Reference'!$C$15</f>
        <v>37</v>
      </c>
      <c r="L712" s="12">
        <f>'01-Process Controls'!$G$5</f>
        <v>3</v>
      </c>
      <c r="M712" s="12">
        <f>ROUNDDOWN(J712,0)</f>
        <v>26</v>
      </c>
      <c r="N712" s="12">
        <f>ROUNDDOWN(K712,0)</f>
        <v>37</v>
      </c>
      <c r="O712" s="9">
        <v>0</v>
      </c>
    </row>
    <row r="713" spans="1:15" ht="21" customHeight="1">
      <c r="A713" s="9" t="s">
        <v>951</v>
      </c>
      <c r="B713" s="12">
        <f>IF(LEFT(H713,5)="VALID",M713,"")</f>
        <v>13</v>
      </c>
      <c r="C713" s="12">
        <f>IF(LEFT(H713,5)="VALID",N713,"")</f>
        <v>37</v>
      </c>
      <c r="D713" s="10" t="s">
        <v>82</v>
      </c>
      <c r="E713" s="10" t="s">
        <v>949</v>
      </c>
      <c r="F713" s="10" t="s">
        <v>126</v>
      </c>
      <c r="G713" s="10" t="s">
        <v>127</v>
      </c>
      <c r="H713" s="11" t="str">
        <f>IF(OR(M713&lt;=0,N713&lt;=0),"SKIPPED - NONPOSITIVE",IF(OR(M713&lt;L713,N713&lt;L713),"SKIPPED - BELOW MIN",IF(OR(M713&gt;J713,N713&gt;K713),"SKIPPED - EXCEEDS BASE",IF(COUNTIFS($M$712:M712,M713,$N$712:N712,N713)&gt;0,"SKIPPED - DUPLICATE","VALID - GENERATED"))))</f>
        <v>VALID - GENERATED</v>
      </c>
      <c r="I713" s="10" t="s">
        <v>950</v>
      </c>
      <c r="J713" s="12">
        <f>'05-ISO Reference'!$B$15</f>
        <v>26</v>
      </c>
      <c r="K713" s="12">
        <f>'05-ISO Reference'!$C$15</f>
        <v>37</v>
      </c>
      <c r="L713" s="12">
        <f>'01-Process Controls'!$G$5</f>
        <v>3</v>
      </c>
      <c r="M713" s="12">
        <f>ROUNDDOWN(J713*'04-Variant Rules'!$D$6,0)</f>
        <v>13</v>
      </c>
      <c r="N713" s="12">
        <f>ROUNDDOWN(K713,0)</f>
        <v>37</v>
      </c>
      <c r="O713" s="9">
        <v>1</v>
      </c>
    </row>
    <row r="714" spans="1:15" ht="21" customHeight="1">
      <c r="A714" s="9" t="s">
        <v>952</v>
      </c>
      <c r="B714" s="12">
        <f>IF(LEFT(H714,5)="VALID",M714,"")</f>
        <v>8</v>
      </c>
      <c r="C714" s="12">
        <f>IF(LEFT(H714,5)="VALID",N714,"")</f>
        <v>37</v>
      </c>
      <c r="D714" s="10" t="s">
        <v>82</v>
      </c>
      <c r="E714" s="10" t="s">
        <v>949</v>
      </c>
      <c r="F714" s="10" t="s">
        <v>129</v>
      </c>
      <c r="G714" s="10" t="s">
        <v>130</v>
      </c>
      <c r="H714" s="11" t="str">
        <f>IF(OR(M714&lt;=0,N714&lt;=0),"SKIPPED - NONPOSITIVE",IF(OR(M714&lt;L714,N714&lt;L714),"SKIPPED - BELOW MIN",IF(OR(M714&gt;J714,N714&gt;K714),"SKIPPED - EXCEEDS BASE",IF(COUNTIFS($M$712:M713,M714,$N$712:N713,N714)&gt;0,"SKIPPED - DUPLICATE","VALID - GENERATED"))))</f>
        <v>VALID - GENERATED</v>
      </c>
      <c r="I714" s="10" t="s">
        <v>950</v>
      </c>
      <c r="J714" s="12">
        <f>'05-ISO Reference'!$B$15</f>
        <v>26</v>
      </c>
      <c r="K714" s="12">
        <f>'05-ISO Reference'!$C$15</f>
        <v>37</v>
      </c>
      <c r="L714" s="12">
        <f>'01-Process Controls'!$G$5</f>
        <v>3</v>
      </c>
      <c r="M714" s="12">
        <f>ROUNDDOWN(J714*'04-Variant Rules'!$D$7,0)</f>
        <v>8</v>
      </c>
      <c r="N714" s="12">
        <f>ROUNDDOWN(K714,0)</f>
        <v>37</v>
      </c>
      <c r="O714" s="9">
        <v>2</v>
      </c>
    </row>
    <row r="715" spans="1:15" ht="21" customHeight="1">
      <c r="A715" s="9" t="s">
        <v>953</v>
      </c>
      <c r="B715" s="12">
        <f>IF(LEFT(H715,5)="VALID",M715,"")</f>
        <v>6</v>
      </c>
      <c r="C715" s="12">
        <f>IF(LEFT(H715,5)="VALID",N715,"")</f>
        <v>37</v>
      </c>
      <c r="D715" s="10" t="s">
        <v>82</v>
      </c>
      <c r="E715" s="10" t="s">
        <v>949</v>
      </c>
      <c r="F715" s="10" t="s">
        <v>132</v>
      </c>
      <c r="G715" s="10" t="s">
        <v>133</v>
      </c>
      <c r="H715" s="11" t="str">
        <f>IF(OR(M715&lt;=0,N715&lt;=0),"SKIPPED - NONPOSITIVE",IF(OR(M715&lt;L715,N715&lt;L715),"SKIPPED - BELOW MIN",IF(OR(M715&gt;J715,N715&gt;K715),"SKIPPED - EXCEEDS BASE",IF(COUNTIFS($M$712:M714,M715,$N$712:N714,N715)&gt;0,"SKIPPED - DUPLICATE","VALID - GENERATED"))))</f>
        <v>VALID - GENERATED</v>
      </c>
      <c r="I715" s="10" t="s">
        <v>950</v>
      </c>
      <c r="J715" s="12">
        <f>'05-ISO Reference'!$B$15</f>
        <v>26</v>
      </c>
      <c r="K715" s="12">
        <f>'05-ISO Reference'!$C$15</f>
        <v>37</v>
      </c>
      <c r="L715" s="12">
        <f>'01-Process Controls'!$G$5</f>
        <v>3</v>
      </c>
      <c r="M715" s="12">
        <f>ROUNDDOWN(J715*'04-Variant Rules'!$D$8,0)</f>
        <v>6</v>
      </c>
      <c r="N715" s="12">
        <f>ROUNDDOWN(K715,0)</f>
        <v>37</v>
      </c>
      <c r="O715" s="9">
        <v>3</v>
      </c>
    </row>
    <row r="716" spans="1:15" ht="21" customHeight="1">
      <c r="A716" s="9" t="s">
        <v>954</v>
      </c>
      <c r="B716" s="12">
        <f>IF(LEFT(H716,5)="VALID",M716,"")</f>
        <v>17</v>
      </c>
      <c r="C716" s="12">
        <f>IF(LEFT(H716,5)="VALID",N716,"")</f>
        <v>37</v>
      </c>
      <c r="D716" s="10" t="s">
        <v>82</v>
      </c>
      <c r="E716" s="10" t="s">
        <v>949</v>
      </c>
      <c r="F716" s="10" t="s">
        <v>135</v>
      </c>
      <c r="G716" s="10" t="s">
        <v>136</v>
      </c>
      <c r="H716" s="11" t="str">
        <f>IF(OR(M716&lt;=0,N716&lt;=0),"SKIPPED - NONPOSITIVE",IF(OR(M716&lt;L716,N716&lt;L716),"SKIPPED - BELOW MIN",IF(OR(M716&gt;J716,N716&gt;K716),"SKIPPED - EXCEEDS BASE",IF(COUNTIFS($M$712:M715,M716,$N$712:N715,N716)&gt;0,"SKIPPED - DUPLICATE","VALID - GENERATED"))))</f>
        <v>VALID - GENERATED</v>
      </c>
      <c r="I716" s="10" t="s">
        <v>950</v>
      </c>
      <c r="J716" s="12">
        <f>'05-ISO Reference'!$B$15</f>
        <v>26</v>
      </c>
      <c r="K716" s="12">
        <f>'05-ISO Reference'!$C$15</f>
        <v>37</v>
      </c>
      <c r="L716" s="12">
        <f>'01-Process Controls'!$G$5</f>
        <v>3</v>
      </c>
      <c r="M716" s="12">
        <f>ROUNDDOWN(J716*'04-Variant Rules'!$D$9,0)</f>
        <v>17</v>
      </c>
      <c r="N716" s="12">
        <f>ROUNDDOWN(K716,0)</f>
        <v>37</v>
      </c>
      <c r="O716" s="9">
        <v>4</v>
      </c>
    </row>
    <row r="717" spans="1:15" ht="21" customHeight="1">
      <c r="A717" s="9" t="s">
        <v>955</v>
      </c>
      <c r="B717" s="12">
        <f>IF(LEFT(H717,5)="VALID",M717,"")</f>
        <v>19</v>
      </c>
      <c r="C717" s="12">
        <f>IF(LEFT(H717,5)="VALID",N717,"")</f>
        <v>37</v>
      </c>
      <c r="D717" s="10" t="s">
        <v>82</v>
      </c>
      <c r="E717" s="10" t="s">
        <v>949</v>
      </c>
      <c r="F717" s="10" t="s">
        <v>138</v>
      </c>
      <c r="G717" s="10" t="s">
        <v>139</v>
      </c>
      <c r="H717" s="11" t="str">
        <f>IF(OR(M717&lt;=0,N717&lt;=0),"SKIPPED - NONPOSITIVE",IF(OR(M717&lt;L717,N717&lt;L717),"SKIPPED - BELOW MIN",IF(OR(M717&gt;J717,N717&gt;K717),"SKIPPED - EXCEEDS BASE",IF(COUNTIFS($M$712:M716,M717,$N$712:N716,N717)&gt;0,"SKIPPED - DUPLICATE","VALID - GENERATED"))))</f>
        <v>VALID - GENERATED</v>
      </c>
      <c r="I717" s="10" t="s">
        <v>950</v>
      </c>
      <c r="J717" s="12">
        <f>'05-ISO Reference'!$B$15</f>
        <v>26</v>
      </c>
      <c r="K717" s="12">
        <f>'05-ISO Reference'!$C$15</f>
        <v>37</v>
      </c>
      <c r="L717" s="12">
        <f>'01-Process Controls'!$G$5</f>
        <v>3</v>
      </c>
      <c r="M717" s="12">
        <f>ROUNDDOWN(J717*'04-Variant Rules'!$D$10,0)</f>
        <v>19</v>
      </c>
      <c r="N717" s="12">
        <f>ROUNDDOWN(K717,0)</f>
        <v>37</v>
      </c>
      <c r="O717" s="9">
        <v>5</v>
      </c>
    </row>
    <row r="718" spans="1:15" ht="21" customHeight="1">
      <c r="A718" s="9" t="s">
        <v>956</v>
      </c>
      <c r="B718" s="12">
        <f>IF(LEFT(H718,5)="VALID",M718,"")</f>
        <v>26</v>
      </c>
      <c r="C718" s="12">
        <f>IF(LEFT(H718,5)="VALID",N718,"")</f>
        <v>18</v>
      </c>
      <c r="D718" s="10" t="s">
        <v>82</v>
      </c>
      <c r="E718" s="10" t="s">
        <v>949</v>
      </c>
      <c r="F718" s="10" t="s">
        <v>141</v>
      </c>
      <c r="G718" s="10" t="s">
        <v>142</v>
      </c>
      <c r="H718" s="11" t="str">
        <f>IF(OR(M718&lt;=0,N718&lt;=0),"SKIPPED - NONPOSITIVE",IF(OR(M718&lt;L718,N718&lt;L718),"SKIPPED - BELOW MIN",IF(OR(M718&gt;J718,N718&gt;K718),"SKIPPED - EXCEEDS BASE",IF(COUNTIFS($M$712:M717,M718,$N$712:N717,N718)&gt;0,"SKIPPED - DUPLICATE","VALID - GENERATED"))))</f>
        <v>VALID - GENERATED</v>
      </c>
      <c r="I718" s="10" t="s">
        <v>950</v>
      </c>
      <c r="J718" s="12">
        <f>'05-ISO Reference'!$B$15</f>
        <v>26</v>
      </c>
      <c r="K718" s="12">
        <f>'05-ISO Reference'!$C$15</f>
        <v>37</v>
      </c>
      <c r="L718" s="12">
        <f>'01-Process Controls'!$G$5</f>
        <v>3</v>
      </c>
      <c r="M718" s="12">
        <f>ROUNDDOWN(J718,0)</f>
        <v>26</v>
      </c>
      <c r="N718" s="12">
        <f>ROUNDDOWN(K718*'04-Variant Rules'!$D$11,0)</f>
        <v>18</v>
      </c>
      <c r="O718" s="9">
        <v>6</v>
      </c>
    </row>
    <row r="719" spans="1:15" ht="21" customHeight="1">
      <c r="A719" s="9" t="s">
        <v>957</v>
      </c>
      <c r="B719" s="12">
        <f>IF(LEFT(H719,5)="VALID",M719,"")</f>
        <v>26</v>
      </c>
      <c r="C719" s="12">
        <f>IF(LEFT(H719,5)="VALID",N719,"")</f>
        <v>12</v>
      </c>
      <c r="D719" s="10" t="s">
        <v>82</v>
      </c>
      <c r="E719" s="10" t="s">
        <v>949</v>
      </c>
      <c r="F719" s="10" t="s">
        <v>144</v>
      </c>
      <c r="G719" s="10" t="s">
        <v>145</v>
      </c>
      <c r="H719" s="11" t="str">
        <f>IF(OR(M719&lt;=0,N719&lt;=0),"SKIPPED - NONPOSITIVE",IF(OR(M719&lt;L719,N719&lt;L719),"SKIPPED - BELOW MIN",IF(OR(M719&gt;J719,N719&gt;K719),"SKIPPED - EXCEEDS BASE",IF(COUNTIFS($M$712:M718,M719,$N$712:N718,N719)&gt;0,"SKIPPED - DUPLICATE","VALID - GENERATED"))))</f>
        <v>VALID - GENERATED</v>
      </c>
      <c r="I719" s="10" t="s">
        <v>950</v>
      </c>
      <c r="J719" s="12">
        <f>'05-ISO Reference'!$B$15</f>
        <v>26</v>
      </c>
      <c r="K719" s="12">
        <f>'05-ISO Reference'!$C$15</f>
        <v>37</v>
      </c>
      <c r="L719" s="12">
        <f>'01-Process Controls'!$G$5</f>
        <v>3</v>
      </c>
      <c r="M719" s="12">
        <f>ROUNDDOWN(J719,0)</f>
        <v>26</v>
      </c>
      <c r="N719" s="12">
        <f>ROUNDDOWN(K719*'04-Variant Rules'!$D$12,0)</f>
        <v>12</v>
      </c>
      <c r="O719" s="9">
        <v>7</v>
      </c>
    </row>
    <row r="720" spans="1:15" ht="21" customHeight="1">
      <c r="A720" s="9" t="s">
        <v>958</v>
      </c>
      <c r="B720" s="12">
        <f>IF(LEFT(H720,5)="VALID",M720,"")</f>
        <v>26</v>
      </c>
      <c r="C720" s="12">
        <f>IF(LEFT(H720,5)="VALID",N720,"")</f>
        <v>9</v>
      </c>
      <c r="D720" s="10" t="s">
        <v>82</v>
      </c>
      <c r="E720" s="10" t="s">
        <v>949</v>
      </c>
      <c r="F720" s="10" t="s">
        <v>147</v>
      </c>
      <c r="G720" s="10" t="s">
        <v>148</v>
      </c>
      <c r="H720" s="11" t="str">
        <f>IF(OR(M720&lt;=0,N720&lt;=0),"SKIPPED - NONPOSITIVE",IF(OR(M720&lt;L720,N720&lt;L720),"SKIPPED - BELOW MIN",IF(OR(M720&gt;J720,N720&gt;K720),"SKIPPED - EXCEEDS BASE",IF(COUNTIFS($M$712:M719,M720,$N$712:N719,N720)&gt;0,"SKIPPED - DUPLICATE","VALID - GENERATED"))))</f>
        <v>VALID - GENERATED</v>
      </c>
      <c r="I720" s="10" t="s">
        <v>950</v>
      </c>
      <c r="J720" s="12">
        <f>'05-ISO Reference'!$B$15</f>
        <v>26</v>
      </c>
      <c r="K720" s="12">
        <f>'05-ISO Reference'!$C$15</f>
        <v>37</v>
      </c>
      <c r="L720" s="12">
        <f>'01-Process Controls'!$G$5</f>
        <v>3</v>
      </c>
      <c r="M720" s="12">
        <f>ROUNDDOWN(J720,0)</f>
        <v>26</v>
      </c>
      <c r="N720" s="12">
        <f>ROUNDDOWN(K720*'04-Variant Rules'!$D$13,0)</f>
        <v>9</v>
      </c>
      <c r="O720" s="9">
        <v>8</v>
      </c>
    </row>
    <row r="721" spans="1:15" ht="21" customHeight="1">
      <c r="A721" s="9" t="s">
        <v>959</v>
      </c>
      <c r="B721" s="12">
        <f>IF(LEFT(H721,5)="VALID",M721,"")</f>
        <v>26</v>
      </c>
      <c r="C721" s="12">
        <f>IF(LEFT(H721,5)="VALID",N721,"")</f>
        <v>24</v>
      </c>
      <c r="D721" s="10" t="s">
        <v>82</v>
      </c>
      <c r="E721" s="10" t="s">
        <v>949</v>
      </c>
      <c r="F721" s="10" t="s">
        <v>150</v>
      </c>
      <c r="G721" s="10" t="s">
        <v>151</v>
      </c>
      <c r="H721" s="11" t="str">
        <f>IF(OR(M721&lt;=0,N721&lt;=0),"SKIPPED - NONPOSITIVE",IF(OR(M721&lt;L721,N721&lt;L721),"SKIPPED - BELOW MIN",IF(OR(M721&gt;J721,N721&gt;K721),"SKIPPED - EXCEEDS BASE",IF(COUNTIFS($M$712:M720,M721,$N$712:N720,N721)&gt;0,"SKIPPED - DUPLICATE","VALID - GENERATED"))))</f>
        <v>VALID - GENERATED</v>
      </c>
      <c r="I721" s="10" t="s">
        <v>950</v>
      </c>
      <c r="J721" s="12">
        <f>'05-ISO Reference'!$B$15</f>
        <v>26</v>
      </c>
      <c r="K721" s="12">
        <f>'05-ISO Reference'!$C$15</f>
        <v>37</v>
      </c>
      <c r="L721" s="12">
        <f>'01-Process Controls'!$G$5</f>
        <v>3</v>
      </c>
      <c r="M721" s="12">
        <f>ROUNDDOWN(J721,0)</f>
        <v>26</v>
      </c>
      <c r="N721" s="12">
        <f>ROUNDDOWN(K721*'04-Variant Rules'!$D$14,0)</f>
        <v>24</v>
      </c>
      <c r="O721" s="9">
        <v>9</v>
      </c>
    </row>
    <row r="722" spans="1:15" ht="21" customHeight="1">
      <c r="A722" s="9" t="s">
        <v>960</v>
      </c>
      <c r="B722" s="12">
        <f>IF(LEFT(H722,5)="VALID",M722,"")</f>
        <v>26</v>
      </c>
      <c r="C722" s="12">
        <f>IF(LEFT(H722,5)="VALID",N722,"")</f>
        <v>27</v>
      </c>
      <c r="D722" s="10" t="s">
        <v>82</v>
      </c>
      <c r="E722" s="10" t="s">
        <v>949</v>
      </c>
      <c r="F722" s="10" t="s">
        <v>153</v>
      </c>
      <c r="G722" s="10" t="s">
        <v>154</v>
      </c>
      <c r="H722" s="11" t="str">
        <f>IF(OR(M722&lt;=0,N722&lt;=0),"SKIPPED - NONPOSITIVE",IF(OR(M722&lt;L722,N722&lt;L722),"SKIPPED - BELOW MIN",IF(OR(M722&gt;J722,N722&gt;K722),"SKIPPED - EXCEEDS BASE",IF(COUNTIFS($M$712:M721,M722,$N$712:N721,N722)&gt;0,"SKIPPED - DUPLICATE","VALID - GENERATED"))))</f>
        <v>VALID - GENERATED</v>
      </c>
      <c r="I722" s="10" t="s">
        <v>950</v>
      </c>
      <c r="J722" s="12">
        <f>'05-ISO Reference'!$B$15</f>
        <v>26</v>
      </c>
      <c r="K722" s="12">
        <f>'05-ISO Reference'!$C$15</f>
        <v>37</v>
      </c>
      <c r="L722" s="12">
        <f>'01-Process Controls'!$G$5</f>
        <v>3</v>
      </c>
      <c r="M722" s="12">
        <f>ROUNDDOWN(J722,0)</f>
        <v>26</v>
      </c>
      <c r="N722" s="12">
        <f>ROUNDDOWN(K722*'04-Variant Rules'!$D$15,0)</f>
        <v>27</v>
      </c>
      <c r="O722" s="9">
        <v>10</v>
      </c>
    </row>
    <row r="723" spans="1:15" ht="21" customHeight="1">
      <c r="A723" s="9" t="s">
        <v>961</v>
      </c>
      <c r="B723" s="12">
        <f>IF(LEFT(H723,5)="VALID",M723,"")</f>
        <v>13</v>
      </c>
      <c r="C723" s="12">
        <f>IF(LEFT(H723,5)="VALID",N723,"")</f>
        <v>18</v>
      </c>
      <c r="D723" s="10" t="s">
        <v>82</v>
      </c>
      <c r="E723" s="10" t="s">
        <v>949</v>
      </c>
      <c r="F723" s="10" t="s">
        <v>156</v>
      </c>
      <c r="G723" s="10" t="s">
        <v>157</v>
      </c>
      <c r="H723" s="11" t="str">
        <f>IF(OR(M723&lt;=0,N723&lt;=0),"SKIPPED - NONPOSITIVE",IF(OR(M723&lt;L723,N723&lt;L723),"SKIPPED - BELOW MIN",IF(OR(M723&gt;J723,N723&gt;K723),"SKIPPED - EXCEEDS BASE",IF(COUNTIFS($M$712:M722,M723,$N$712:N722,N723)&gt;0,"SKIPPED - DUPLICATE","VALID - GENERATED"))))</f>
        <v>VALID - GENERATED</v>
      </c>
      <c r="I723" s="10" t="s">
        <v>950</v>
      </c>
      <c r="J723" s="12">
        <f>'05-ISO Reference'!$B$15</f>
        <v>26</v>
      </c>
      <c r="K723" s="12">
        <f>'05-ISO Reference'!$C$15</f>
        <v>37</v>
      </c>
      <c r="L723" s="12">
        <f>'01-Process Controls'!$G$5</f>
        <v>3</v>
      </c>
      <c r="M723" s="12">
        <f>ROUNDDOWN(J723*'04-Variant Rules'!$D$16,0)</f>
        <v>13</v>
      </c>
      <c r="N723" s="12">
        <f>ROUNDDOWN(K723*'04-Variant Rules'!$E$16,0)</f>
        <v>18</v>
      </c>
      <c r="O723" s="9">
        <v>11</v>
      </c>
    </row>
    <row r="724" spans="1:15" ht="21" customHeight="1">
      <c r="A724" s="9" t="s">
        <v>962</v>
      </c>
      <c r="B724" s="12">
        <f>IF(LEFT(H724,5)="VALID",M724,"")</f>
        <v>8</v>
      </c>
      <c r="C724" s="12">
        <f>IF(LEFT(H724,5)="VALID",N724,"")</f>
        <v>12</v>
      </c>
      <c r="D724" s="10" t="s">
        <v>82</v>
      </c>
      <c r="E724" s="10" t="s">
        <v>949</v>
      </c>
      <c r="F724" s="10" t="s">
        <v>159</v>
      </c>
      <c r="G724" s="10" t="s">
        <v>160</v>
      </c>
      <c r="H724" s="11" t="str">
        <f>IF(OR(M724&lt;=0,N724&lt;=0),"SKIPPED - NONPOSITIVE",IF(OR(M724&lt;L724,N724&lt;L724),"SKIPPED - BELOW MIN",IF(OR(M724&gt;J724,N724&gt;K724),"SKIPPED - EXCEEDS BASE",IF(COUNTIFS($M$712:M723,M724,$N$712:N723,N724)&gt;0,"SKIPPED - DUPLICATE","VALID - GENERATED"))))</f>
        <v>VALID - GENERATED</v>
      </c>
      <c r="I724" s="10" t="s">
        <v>950</v>
      </c>
      <c r="J724" s="12">
        <f>'05-ISO Reference'!$B$15</f>
        <v>26</v>
      </c>
      <c r="K724" s="12">
        <f>'05-ISO Reference'!$C$15</f>
        <v>37</v>
      </c>
      <c r="L724" s="12">
        <f>'01-Process Controls'!$G$5</f>
        <v>3</v>
      </c>
      <c r="M724" s="12">
        <f>ROUNDDOWN(J724*'04-Variant Rules'!$D$17,0)</f>
        <v>8</v>
      </c>
      <c r="N724" s="12">
        <f>ROUNDDOWN(K724*'04-Variant Rules'!$E$17,0)</f>
        <v>12</v>
      </c>
      <c r="O724" s="9">
        <v>12</v>
      </c>
    </row>
    <row r="725" spans="1:15" ht="21" customHeight="1">
      <c r="A725" s="9" t="s">
        <v>963</v>
      </c>
      <c r="B725" s="12">
        <f>IF(LEFT(H725,5)="VALID",M725,"")</f>
        <v>6</v>
      </c>
      <c r="C725" s="12">
        <f>IF(LEFT(H725,5)="VALID",N725,"")</f>
        <v>9</v>
      </c>
      <c r="D725" s="10" t="s">
        <v>82</v>
      </c>
      <c r="E725" s="10" t="s">
        <v>949</v>
      </c>
      <c r="F725" s="10" t="s">
        <v>162</v>
      </c>
      <c r="G725" s="10" t="s">
        <v>163</v>
      </c>
      <c r="H725" s="11" t="str">
        <f>IF(OR(M725&lt;=0,N725&lt;=0),"SKIPPED - NONPOSITIVE",IF(OR(M725&lt;L725,N725&lt;L725),"SKIPPED - BELOW MIN",IF(OR(M725&gt;J725,N725&gt;K725),"SKIPPED - EXCEEDS BASE",IF(COUNTIFS($M$712:M724,M725,$N$712:N724,N725)&gt;0,"SKIPPED - DUPLICATE","VALID - GENERATED"))))</f>
        <v>VALID - GENERATED</v>
      </c>
      <c r="I725" s="10" t="s">
        <v>950</v>
      </c>
      <c r="J725" s="12">
        <f>'05-ISO Reference'!$B$15</f>
        <v>26</v>
      </c>
      <c r="K725" s="12">
        <f>'05-ISO Reference'!$C$15</f>
        <v>37</v>
      </c>
      <c r="L725" s="12">
        <f>'01-Process Controls'!$G$5</f>
        <v>3</v>
      </c>
      <c r="M725" s="12">
        <f>ROUNDDOWN(J725*'04-Variant Rules'!$D$18,0)</f>
        <v>6</v>
      </c>
      <c r="N725" s="12">
        <f>ROUNDDOWN(K725*'04-Variant Rules'!$E$18,0)</f>
        <v>9</v>
      </c>
      <c r="O725" s="9">
        <v>13</v>
      </c>
    </row>
    <row r="726" spans="1:15" ht="21" customHeight="1">
      <c r="A726" s="9" t="s">
        <v>964</v>
      </c>
      <c r="B726" s="12">
        <f>IF(LEFT(H726,5)="VALID",M726,"")</f>
        <v>13</v>
      </c>
      <c r="C726" s="12">
        <f>IF(LEFT(H726,5)="VALID",N726,"")</f>
        <v>12</v>
      </c>
      <c r="D726" s="10" t="s">
        <v>82</v>
      </c>
      <c r="E726" s="10" t="s">
        <v>949</v>
      </c>
      <c r="F726" s="10" t="s">
        <v>165</v>
      </c>
      <c r="G726" s="10" t="s">
        <v>166</v>
      </c>
      <c r="H726" s="11" t="str">
        <f>IF(OR(M726&lt;=0,N726&lt;=0),"SKIPPED - NONPOSITIVE",IF(OR(M726&lt;L726,N726&lt;L726),"SKIPPED - BELOW MIN",IF(OR(M726&gt;J726,N726&gt;K726),"SKIPPED - EXCEEDS BASE",IF(COUNTIFS($M$712:M725,M726,$N$712:N725,N726)&gt;0,"SKIPPED - DUPLICATE","VALID - GENERATED"))))</f>
        <v>VALID - GENERATED</v>
      </c>
      <c r="I726" s="10" t="s">
        <v>950</v>
      </c>
      <c r="J726" s="12">
        <f>'05-ISO Reference'!$B$15</f>
        <v>26</v>
      </c>
      <c r="K726" s="12">
        <f>'05-ISO Reference'!$C$15</f>
        <v>37</v>
      </c>
      <c r="L726" s="12">
        <f>'01-Process Controls'!$G$5</f>
        <v>3</v>
      </c>
      <c r="M726" s="12">
        <f>ROUNDDOWN(J726*'04-Variant Rules'!$D$19,0)</f>
        <v>13</v>
      </c>
      <c r="N726" s="12">
        <f>ROUNDDOWN(K726*'04-Variant Rules'!$E$19,0)</f>
        <v>12</v>
      </c>
      <c r="O726" s="9">
        <v>14</v>
      </c>
    </row>
    <row r="727" spans="1:15" ht="21" customHeight="1">
      <c r="A727" s="9" t="s">
        <v>965</v>
      </c>
      <c r="B727" s="12">
        <f>IF(LEFT(H727,5)="VALID",M727,"")</f>
        <v>8</v>
      </c>
      <c r="C727" s="12">
        <f>IF(LEFT(H727,5)="VALID",N727,"")</f>
        <v>18</v>
      </c>
      <c r="D727" s="10" t="s">
        <v>82</v>
      </c>
      <c r="E727" s="10" t="s">
        <v>949</v>
      </c>
      <c r="F727" s="10" t="s">
        <v>168</v>
      </c>
      <c r="G727" s="10" t="s">
        <v>166</v>
      </c>
      <c r="H727" s="11" t="str">
        <f>IF(OR(M727&lt;=0,N727&lt;=0),"SKIPPED - NONPOSITIVE",IF(OR(M727&lt;L727,N727&lt;L727),"SKIPPED - BELOW MIN",IF(OR(M727&gt;J727,N727&gt;K727),"SKIPPED - EXCEEDS BASE",IF(COUNTIFS($M$712:M726,M727,$N$712:N726,N727)&gt;0,"SKIPPED - DUPLICATE","VALID - GENERATED"))))</f>
        <v>VALID - GENERATED</v>
      </c>
      <c r="I727" s="10" t="s">
        <v>950</v>
      </c>
      <c r="J727" s="12">
        <f>'05-ISO Reference'!$B$15</f>
        <v>26</v>
      </c>
      <c r="K727" s="12">
        <f>'05-ISO Reference'!$C$15</f>
        <v>37</v>
      </c>
      <c r="L727" s="12">
        <f>'01-Process Controls'!$G$5</f>
        <v>3</v>
      </c>
      <c r="M727" s="12">
        <f>ROUNDDOWN(J727*'04-Variant Rules'!$D$20,0)</f>
        <v>8</v>
      </c>
      <c r="N727" s="12">
        <f>ROUNDDOWN(K727*'04-Variant Rules'!$E$20,0)</f>
        <v>18</v>
      </c>
      <c r="O727" s="9">
        <v>15</v>
      </c>
    </row>
    <row r="728" spans="1:15" ht="21" customHeight="1">
      <c r="A728" s="9" t="s">
        <v>966</v>
      </c>
      <c r="B728" s="12">
        <f>IF(LEFT(H728,5)="VALID",M728,"")</f>
        <v>13</v>
      </c>
      <c r="C728" s="12">
        <f>IF(LEFT(H728,5)="VALID",N728,"")</f>
        <v>9</v>
      </c>
      <c r="D728" s="10" t="s">
        <v>82</v>
      </c>
      <c r="E728" s="10" t="s">
        <v>949</v>
      </c>
      <c r="F728" s="10" t="s">
        <v>170</v>
      </c>
      <c r="G728" s="10" t="s">
        <v>166</v>
      </c>
      <c r="H728" s="11" t="str">
        <f>IF(OR(M728&lt;=0,N728&lt;=0),"SKIPPED - NONPOSITIVE",IF(OR(M728&lt;L728,N728&lt;L728),"SKIPPED - BELOW MIN",IF(OR(M728&gt;J728,N728&gt;K728),"SKIPPED - EXCEEDS BASE",IF(COUNTIFS($M$712:M727,M728,$N$712:N727,N728)&gt;0,"SKIPPED - DUPLICATE","VALID - GENERATED"))))</f>
        <v>VALID - GENERATED</v>
      </c>
      <c r="I728" s="10" t="s">
        <v>950</v>
      </c>
      <c r="J728" s="12">
        <f>'05-ISO Reference'!$B$15</f>
        <v>26</v>
      </c>
      <c r="K728" s="12">
        <f>'05-ISO Reference'!$C$15</f>
        <v>37</v>
      </c>
      <c r="L728" s="12">
        <f>'01-Process Controls'!$G$5</f>
        <v>3</v>
      </c>
      <c r="M728" s="12">
        <f>ROUNDDOWN(J728*'04-Variant Rules'!$D$21,0)</f>
        <v>13</v>
      </c>
      <c r="N728" s="12">
        <f>ROUNDDOWN(K728*'04-Variant Rules'!$E$21,0)</f>
        <v>9</v>
      </c>
      <c r="O728" s="9">
        <v>16</v>
      </c>
    </row>
    <row r="729" spans="1:15" ht="21" customHeight="1">
      <c r="A729" s="9" t="s">
        <v>967</v>
      </c>
      <c r="B729" s="12">
        <f>IF(LEFT(H729,5)="VALID",M729,"")</f>
        <v>6</v>
      </c>
      <c r="C729" s="12">
        <f>IF(LEFT(H729,5)="VALID",N729,"")</f>
        <v>18</v>
      </c>
      <c r="D729" s="10" t="s">
        <v>82</v>
      </c>
      <c r="E729" s="10" t="s">
        <v>949</v>
      </c>
      <c r="F729" s="10" t="s">
        <v>172</v>
      </c>
      <c r="G729" s="10" t="s">
        <v>166</v>
      </c>
      <c r="H729" s="11" t="str">
        <f>IF(OR(M729&lt;=0,N729&lt;=0),"SKIPPED - NONPOSITIVE",IF(OR(M729&lt;L729,N729&lt;L729),"SKIPPED - BELOW MIN",IF(OR(M729&gt;J729,N729&gt;K729),"SKIPPED - EXCEEDS BASE",IF(COUNTIFS($M$712:M728,M729,$N$712:N728,N729)&gt;0,"SKIPPED - DUPLICATE","VALID - GENERATED"))))</f>
        <v>VALID - GENERATED</v>
      </c>
      <c r="I729" s="10" t="s">
        <v>950</v>
      </c>
      <c r="J729" s="12">
        <f>'05-ISO Reference'!$B$15</f>
        <v>26</v>
      </c>
      <c r="K729" s="12">
        <f>'05-ISO Reference'!$C$15</f>
        <v>37</v>
      </c>
      <c r="L729" s="12">
        <f>'01-Process Controls'!$G$5</f>
        <v>3</v>
      </c>
      <c r="M729" s="12">
        <f>ROUNDDOWN(J729*'04-Variant Rules'!$D$22,0)</f>
        <v>6</v>
      </c>
      <c r="N729" s="12">
        <f>ROUNDDOWN(K729*'04-Variant Rules'!$E$22,0)</f>
        <v>18</v>
      </c>
      <c r="O729" s="9">
        <v>17</v>
      </c>
    </row>
    <row r="730" spans="1:15" ht="21" customHeight="1">
      <c r="A730" s="9" t="s">
        <v>968</v>
      </c>
      <c r="B730" s="12">
        <f>IF(LEFT(H730,5)="VALID",M730,"")</f>
        <v>17</v>
      </c>
      <c r="C730" s="12">
        <f>IF(LEFT(H730,5)="VALID",N730,"")</f>
        <v>18</v>
      </c>
      <c r="D730" s="10" t="s">
        <v>82</v>
      </c>
      <c r="E730" s="10" t="s">
        <v>949</v>
      </c>
      <c r="F730" s="10" t="s">
        <v>174</v>
      </c>
      <c r="G730" s="10" t="s">
        <v>166</v>
      </c>
      <c r="H730" s="11" t="str">
        <f>IF(OR(M730&lt;=0,N730&lt;=0),"SKIPPED - NONPOSITIVE",IF(OR(M730&lt;L730,N730&lt;L730),"SKIPPED - BELOW MIN",IF(OR(M730&gt;J730,N730&gt;K730),"SKIPPED - EXCEEDS BASE",IF(COUNTIFS($M$712:M729,M730,$N$712:N729,N730)&gt;0,"SKIPPED - DUPLICATE","VALID - GENERATED"))))</f>
        <v>VALID - GENERATED</v>
      </c>
      <c r="I730" s="10" t="s">
        <v>950</v>
      </c>
      <c r="J730" s="12">
        <f>'05-ISO Reference'!$B$15</f>
        <v>26</v>
      </c>
      <c r="K730" s="12">
        <f>'05-ISO Reference'!$C$15</f>
        <v>37</v>
      </c>
      <c r="L730" s="12">
        <f>'01-Process Controls'!$G$5</f>
        <v>3</v>
      </c>
      <c r="M730" s="12">
        <f>ROUNDDOWN(J730*'04-Variant Rules'!$D$23,0)</f>
        <v>17</v>
      </c>
      <c r="N730" s="12">
        <f>ROUNDDOWN(K730*'04-Variant Rules'!$E$23,0)</f>
        <v>18</v>
      </c>
      <c r="O730" s="9">
        <v>18</v>
      </c>
    </row>
    <row r="731" spans="1:15" ht="21" customHeight="1">
      <c r="A731" s="9" t="s">
        <v>969</v>
      </c>
      <c r="B731" s="12">
        <f>IF(LEFT(H731,5)="VALID",M731,"")</f>
        <v>13</v>
      </c>
      <c r="C731" s="12">
        <f>IF(LEFT(H731,5)="VALID",N731,"")</f>
        <v>24</v>
      </c>
      <c r="D731" s="10" t="s">
        <v>82</v>
      </c>
      <c r="E731" s="10" t="s">
        <v>949</v>
      </c>
      <c r="F731" s="10" t="s">
        <v>176</v>
      </c>
      <c r="G731" s="10" t="s">
        <v>166</v>
      </c>
      <c r="H731" s="11" t="str">
        <f>IF(OR(M731&lt;=0,N731&lt;=0),"SKIPPED - NONPOSITIVE",IF(OR(M731&lt;L731,N731&lt;L731),"SKIPPED - BELOW MIN",IF(OR(M731&gt;J731,N731&gt;K731),"SKIPPED - EXCEEDS BASE",IF(COUNTIFS($M$712:M730,M731,$N$712:N730,N731)&gt;0,"SKIPPED - DUPLICATE","VALID - GENERATED"))))</f>
        <v>VALID - GENERATED</v>
      </c>
      <c r="I731" s="10" t="s">
        <v>950</v>
      </c>
      <c r="J731" s="12">
        <f>'05-ISO Reference'!$B$15</f>
        <v>26</v>
      </c>
      <c r="K731" s="12">
        <f>'05-ISO Reference'!$C$15</f>
        <v>37</v>
      </c>
      <c r="L731" s="12">
        <f>'01-Process Controls'!$G$5</f>
        <v>3</v>
      </c>
      <c r="M731" s="12">
        <f>ROUNDDOWN(J731*'04-Variant Rules'!$D$24,0)</f>
        <v>13</v>
      </c>
      <c r="N731" s="12">
        <f>ROUNDDOWN(K731*'04-Variant Rules'!$E$24,0)</f>
        <v>24</v>
      </c>
      <c r="O731" s="9">
        <v>19</v>
      </c>
    </row>
    <row r="732" spans="1:15" ht="21" customHeight="1">
      <c r="A732" s="9" t="s">
        <v>970</v>
      </c>
      <c r="B732" s="12">
        <f>IF(LEFT(H732,5)="VALID",M732,"")</f>
        <v>19</v>
      </c>
      <c r="C732" s="12">
        <f>IF(LEFT(H732,5)="VALID",N732,"")</f>
        <v>18</v>
      </c>
      <c r="D732" s="10" t="s">
        <v>82</v>
      </c>
      <c r="E732" s="10" t="s">
        <v>949</v>
      </c>
      <c r="F732" s="10" t="s">
        <v>178</v>
      </c>
      <c r="G732" s="10" t="s">
        <v>166</v>
      </c>
      <c r="H732" s="11" t="str">
        <f>IF(OR(M732&lt;=0,N732&lt;=0),"SKIPPED - NONPOSITIVE",IF(OR(M732&lt;L732,N732&lt;L732),"SKIPPED - BELOW MIN",IF(OR(M732&gt;J732,N732&gt;K732),"SKIPPED - EXCEEDS BASE",IF(COUNTIFS($M$712:M731,M732,$N$712:N731,N732)&gt;0,"SKIPPED - DUPLICATE","VALID - GENERATED"))))</f>
        <v>VALID - GENERATED</v>
      </c>
      <c r="I732" s="10" t="s">
        <v>950</v>
      </c>
      <c r="J732" s="12">
        <f>'05-ISO Reference'!$B$15</f>
        <v>26</v>
      </c>
      <c r="K732" s="12">
        <f>'05-ISO Reference'!$C$15</f>
        <v>37</v>
      </c>
      <c r="L732" s="12">
        <f>'01-Process Controls'!$G$5</f>
        <v>3</v>
      </c>
      <c r="M732" s="12">
        <f>ROUNDDOWN(J732*'04-Variant Rules'!$D$25,0)</f>
        <v>19</v>
      </c>
      <c r="N732" s="12">
        <f>ROUNDDOWN(K732*'04-Variant Rules'!$E$25,0)</f>
        <v>18</v>
      </c>
      <c r="O732" s="9">
        <v>20</v>
      </c>
    </row>
    <row r="733" spans="1:15" ht="21" customHeight="1">
      <c r="A733" s="9" t="s">
        <v>971</v>
      </c>
      <c r="B733" s="12">
        <f>IF(LEFT(H733,5)="VALID",M733,"")</f>
        <v>13</v>
      </c>
      <c r="C733" s="12">
        <f>IF(LEFT(H733,5)="VALID",N733,"")</f>
        <v>27</v>
      </c>
      <c r="D733" s="10" t="s">
        <v>82</v>
      </c>
      <c r="E733" s="10" t="s">
        <v>949</v>
      </c>
      <c r="F733" s="10" t="s">
        <v>180</v>
      </c>
      <c r="G733" s="10" t="s">
        <v>166</v>
      </c>
      <c r="H733" s="11" t="str">
        <f>IF(OR(M733&lt;=0,N733&lt;=0),"SKIPPED - NONPOSITIVE",IF(OR(M733&lt;L733,N733&lt;L733),"SKIPPED - BELOW MIN",IF(OR(M733&gt;J733,N733&gt;K733),"SKIPPED - EXCEEDS BASE",IF(COUNTIFS($M$712:M732,M733,$N$712:N732,N733)&gt;0,"SKIPPED - DUPLICATE","VALID - GENERATED"))))</f>
        <v>VALID - GENERATED</v>
      </c>
      <c r="I733" s="10" t="s">
        <v>950</v>
      </c>
      <c r="J733" s="12">
        <f>'05-ISO Reference'!$B$15</f>
        <v>26</v>
      </c>
      <c r="K733" s="12">
        <f>'05-ISO Reference'!$C$15</f>
        <v>37</v>
      </c>
      <c r="L733" s="12">
        <f>'01-Process Controls'!$G$5</f>
        <v>3</v>
      </c>
      <c r="M733" s="12">
        <f>ROUNDDOWN(J733*'04-Variant Rules'!$D$26,0)</f>
        <v>13</v>
      </c>
      <c r="N733" s="12">
        <f>ROUNDDOWN(K733*'04-Variant Rules'!$E$26,0)</f>
        <v>27</v>
      </c>
      <c r="O733" s="9">
        <v>21</v>
      </c>
    </row>
    <row r="734" spans="1:15" ht="21" customHeight="1">
      <c r="A734" s="9" t="s">
        <v>972</v>
      </c>
      <c r="B734" s="12">
        <f>IF(LEFT(H734,5)="VALID",M734,"")</f>
        <v>24</v>
      </c>
      <c r="C734" s="12">
        <f>IF(LEFT(H734,5)="VALID",N734,"")</f>
        <v>35</v>
      </c>
      <c r="D734" s="10" t="s">
        <v>82</v>
      </c>
      <c r="E734" s="10" t="s">
        <v>949</v>
      </c>
      <c r="F734" s="10" t="s">
        <v>182</v>
      </c>
      <c r="G734" s="10" t="s">
        <v>183</v>
      </c>
      <c r="H734" s="11" t="str">
        <f>IF(OR(M734&lt;=0,N734&lt;=0),"SKIPPED - NONPOSITIVE",IF(OR(M734&lt;L734,N734&lt;L734),"SKIPPED - BELOW MIN",IF(OR(M734&gt;J734,N734&gt;K734),"SKIPPED - EXCEEDS BASE",IF(COUNTIFS($M$712:M733,M734,$N$712:N733,N734)&gt;0,"SKIPPED - DUPLICATE","VALID - GENERATED"))))</f>
        <v>VALID - GENERATED</v>
      </c>
      <c r="I734" s="10" t="s">
        <v>950</v>
      </c>
      <c r="J734" s="12">
        <f>'05-ISO Reference'!$B$15</f>
        <v>26</v>
      </c>
      <c r="K734" s="12">
        <f>'05-ISO Reference'!$C$15</f>
        <v>37</v>
      </c>
      <c r="L734" s="12">
        <f>'01-Process Controls'!$G$5</f>
        <v>3</v>
      </c>
      <c r="M734" s="12">
        <f>ROUNDDOWN(J734*'04-Variant Rules'!$D$27,0)</f>
        <v>24</v>
      </c>
      <c r="N734" s="12">
        <f>ROUNDDOWN(K734*'04-Variant Rules'!$E$27,0)</f>
        <v>35</v>
      </c>
      <c r="O734" s="9">
        <v>22</v>
      </c>
    </row>
    <row r="735" spans="1:15" ht="21" customHeight="1">
      <c r="A735" s="9" t="s">
        <v>973</v>
      </c>
      <c r="B735" s="12">
        <f>IF(LEFT(H735,5)="VALID",M735,"")</f>
        <v>23</v>
      </c>
      <c r="C735" s="12">
        <f>IF(LEFT(H735,5)="VALID",N735,"")</f>
        <v>33</v>
      </c>
      <c r="D735" s="10" t="s">
        <v>82</v>
      </c>
      <c r="E735" s="10" t="s">
        <v>949</v>
      </c>
      <c r="F735" s="10" t="s">
        <v>185</v>
      </c>
      <c r="G735" s="10" t="s">
        <v>186</v>
      </c>
      <c r="H735" s="11" t="str">
        <f>IF(OR(M735&lt;=0,N735&lt;=0),"SKIPPED - NONPOSITIVE",IF(OR(M735&lt;L735,N735&lt;L735),"SKIPPED - BELOW MIN",IF(OR(M735&gt;J735,N735&gt;K735),"SKIPPED - EXCEEDS BASE",IF(COUNTIFS($M$712:M734,M735,$N$712:N734,N735)&gt;0,"SKIPPED - DUPLICATE","VALID - GENERATED"))))</f>
        <v>VALID - GENERATED</v>
      </c>
      <c r="I735" s="10" t="s">
        <v>950</v>
      </c>
      <c r="J735" s="12">
        <f>'05-ISO Reference'!$B$15</f>
        <v>26</v>
      </c>
      <c r="K735" s="12">
        <f>'05-ISO Reference'!$C$15</f>
        <v>37</v>
      </c>
      <c r="L735" s="12">
        <f>'01-Process Controls'!$G$5</f>
        <v>3</v>
      </c>
      <c r="M735" s="12">
        <f>ROUNDDOWN(J735*'04-Variant Rules'!$D$28,0)</f>
        <v>23</v>
      </c>
      <c r="N735" s="12">
        <f>ROUNDDOWN(K735*'04-Variant Rules'!$E$28,0)</f>
        <v>33</v>
      </c>
      <c r="O735" s="9">
        <v>23</v>
      </c>
    </row>
    <row r="736" spans="1:15" ht="21" customHeight="1">
      <c r="A736" s="9" t="s">
        <v>974</v>
      </c>
      <c r="B736" s="12">
        <f>IF(LEFT(H736,5)="VALID",M736,"")</f>
        <v>22</v>
      </c>
      <c r="C736" s="12">
        <f>IF(LEFT(H736,5)="VALID",N736,"")</f>
        <v>31</v>
      </c>
      <c r="D736" s="10" t="s">
        <v>82</v>
      </c>
      <c r="E736" s="10" t="s">
        <v>949</v>
      </c>
      <c r="F736" s="10" t="s">
        <v>188</v>
      </c>
      <c r="G736" s="10" t="s">
        <v>186</v>
      </c>
      <c r="H736" s="11" t="str">
        <f>IF(OR(M736&lt;=0,N736&lt;=0),"SKIPPED - NONPOSITIVE",IF(OR(M736&lt;L736,N736&lt;L736),"SKIPPED - BELOW MIN",IF(OR(M736&gt;J736,N736&gt;K736),"SKIPPED - EXCEEDS BASE",IF(COUNTIFS($M$712:M735,M736,$N$712:N735,N736)&gt;0,"SKIPPED - DUPLICATE","VALID - GENERATED"))))</f>
        <v>VALID - GENERATED</v>
      </c>
      <c r="I736" s="10" t="s">
        <v>950</v>
      </c>
      <c r="J736" s="12">
        <f>'05-ISO Reference'!$B$15</f>
        <v>26</v>
      </c>
      <c r="K736" s="12">
        <f>'05-ISO Reference'!$C$15</f>
        <v>37</v>
      </c>
      <c r="L736" s="12">
        <f>'01-Process Controls'!$G$5</f>
        <v>3</v>
      </c>
      <c r="M736" s="12">
        <f>ROUNDDOWN(J736*'04-Variant Rules'!$D$29,0)</f>
        <v>22</v>
      </c>
      <c r="N736" s="12">
        <f>ROUNDDOWN(K736*'04-Variant Rules'!$E$29,0)</f>
        <v>31</v>
      </c>
      <c r="O736" s="9">
        <v>24</v>
      </c>
    </row>
    <row r="737" spans="1:15" ht="21" customHeight="1">
      <c r="A737" s="9" t="s">
        <v>975</v>
      </c>
      <c r="B737" s="12">
        <f>IF(LEFT(H737,5)="VALID",M737,"")</f>
        <v>20</v>
      </c>
      <c r="C737" s="12">
        <f>IF(LEFT(H737,5)="VALID",N737,"")</f>
        <v>29</v>
      </c>
      <c r="D737" s="10" t="s">
        <v>82</v>
      </c>
      <c r="E737" s="10" t="s">
        <v>949</v>
      </c>
      <c r="F737" s="10" t="s">
        <v>190</v>
      </c>
      <c r="G737" s="10" t="s">
        <v>186</v>
      </c>
      <c r="H737" s="11" t="str">
        <f>IF(OR(M737&lt;=0,N737&lt;=0),"SKIPPED - NONPOSITIVE",IF(OR(M737&lt;L737,N737&lt;L737),"SKIPPED - BELOW MIN",IF(OR(M737&gt;J737,N737&gt;K737),"SKIPPED - EXCEEDS BASE",IF(COUNTIFS($M$712:M736,M737,$N$712:N736,N737)&gt;0,"SKIPPED - DUPLICATE","VALID - GENERATED"))))</f>
        <v>VALID - GENERATED</v>
      </c>
      <c r="I737" s="10" t="s">
        <v>950</v>
      </c>
      <c r="J737" s="12">
        <f>'05-ISO Reference'!$B$15</f>
        <v>26</v>
      </c>
      <c r="K737" s="12">
        <f>'05-ISO Reference'!$C$15</f>
        <v>37</v>
      </c>
      <c r="L737" s="12">
        <f>'01-Process Controls'!$G$5</f>
        <v>3</v>
      </c>
      <c r="M737" s="12">
        <f>ROUNDDOWN(J737*'04-Variant Rules'!$D$30,0)</f>
        <v>20</v>
      </c>
      <c r="N737" s="12">
        <f>ROUNDDOWN(K737*'04-Variant Rules'!$E$30,0)</f>
        <v>29</v>
      </c>
      <c r="O737" s="9">
        <v>25</v>
      </c>
    </row>
    <row r="738" spans="1:15" ht="21" customHeight="1">
      <c r="A738" s="9" t="s">
        <v>976</v>
      </c>
      <c r="B738" s="12">
        <f>IF(LEFT(H738,5)="VALID",M738,"")</f>
        <v>19</v>
      </c>
      <c r="C738" s="12">
        <f>IF(LEFT(H738,5)="VALID",N738,"")</f>
        <v>27</v>
      </c>
      <c r="D738" s="10" t="s">
        <v>82</v>
      </c>
      <c r="E738" s="10" t="s">
        <v>949</v>
      </c>
      <c r="F738" s="10" t="s">
        <v>192</v>
      </c>
      <c r="G738" s="10" t="s">
        <v>186</v>
      </c>
      <c r="H738" s="11" t="str">
        <f>IF(OR(M738&lt;=0,N738&lt;=0),"SKIPPED - NONPOSITIVE",IF(OR(M738&lt;L738,N738&lt;L738),"SKIPPED - BELOW MIN",IF(OR(M738&gt;J738,N738&gt;K738),"SKIPPED - EXCEEDS BASE",IF(COUNTIFS($M$712:M737,M738,$N$712:N737,N738)&gt;0,"SKIPPED - DUPLICATE","VALID - GENERATED"))))</f>
        <v>VALID - GENERATED</v>
      </c>
      <c r="I738" s="10" t="s">
        <v>950</v>
      </c>
      <c r="J738" s="12">
        <f>'05-ISO Reference'!$B$15</f>
        <v>26</v>
      </c>
      <c r="K738" s="12">
        <f>'05-ISO Reference'!$C$15</f>
        <v>37</v>
      </c>
      <c r="L738" s="12">
        <f>'01-Process Controls'!$G$5</f>
        <v>3</v>
      </c>
      <c r="M738" s="12">
        <f>ROUNDDOWN(J738*'04-Variant Rules'!$D$31,0)</f>
        <v>19</v>
      </c>
      <c r="N738" s="12">
        <f>ROUNDDOWN(K738*'04-Variant Rules'!$E$31,0)</f>
        <v>27</v>
      </c>
      <c r="O738" s="9">
        <v>26</v>
      </c>
    </row>
    <row r="739" spans="1:15" ht="21" customHeight="1">
      <c r="A739" s="9" t="s">
        <v>977</v>
      </c>
      <c r="B739" s="12">
        <f>IF(LEFT(H739,5)="VALID",M739,"")</f>
        <v>18</v>
      </c>
      <c r="C739" s="12">
        <f>IF(LEFT(H739,5)="VALID",N739,"")</f>
        <v>25</v>
      </c>
      <c r="D739" s="10" t="s">
        <v>82</v>
      </c>
      <c r="E739" s="10" t="s">
        <v>949</v>
      </c>
      <c r="F739" s="10" t="s">
        <v>194</v>
      </c>
      <c r="G739" s="10" t="s">
        <v>186</v>
      </c>
      <c r="H739" s="11" t="str">
        <f>IF(OR(M739&lt;=0,N739&lt;=0),"SKIPPED - NONPOSITIVE",IF(OR(M739&lt;L739,N739&lt;L739),"SKIPPED - BELOW MIN",IF(OR(M739&gt;J739,N739&gt;K739),"SKIPPED - EXCEEDS BASE",IF(COUNTIFS($M$712:M738,M739,$N$712:N738,N739)&gt;0,"SKIPPED - DUPLICATE","VALID - GENERATED"))))</f>
        <v>VALID - GENERATED</v>
      </c>
      <c r="I739" s="10" t="s">
        <v>950</v>
      </c>
      <c r="J739" s="12">
        <f>'05-ISO Reference'!$B$15</f>
        <v>26</v>
      </c>
      <c r="K739" s="12">
        <f>'05-ISO Reference'!$C$15</f>
        <v>37</v>
      </c>
      <c r="L739" s="12">
        <f>'01-Process Controls'!$G$5</f>
        <v>3</v>
      </c>
      <c r="M739" s="12">
        <f>ROUNDDOWN(J739*'04-Variant Rules'!$D$32,0)</f>
        <v>18</v>
      </c>
      <c r="N739" s="12">
        <f>ROUNDDOWN(K739*'04-Variant Rules'!$E$32,0)</f>
        <v>25</v>
      </c>
      <c r="O739" s="9">
        <v>27</v>
      </c>
    </row>
    <row r="740" spans="1:15" ht="21" customHeight="1">
      <c r="A740" s="9" t="s">
        <v>978</v>
      </c>
      <c r="B740" s="12">
        <f>IF(LEFT(H740,5)="VALID",M740,"")</f>
        <v>17</v>
      </c>
      <c r="C740" s="12">
        <f>IF(LEFT(H740,5)="VALID",N740,"")</f>
        <v>24</v>
      </c>
      <c r="D740" s="10" t="s">
        <v>82</v>
      </c>
      <c r="E740" s="10" t="s">
        <v>949</v>
      </c>
      <c r="F740" s="10" t="s">
        <v>196</v>
      </c>
      <c r="G740" s="10" t="s">
        <v>186</v>
      </c>
      <c r="H740" s="11" t="str">
        <f>IF(OR(M740&lt;=0,N740&lt;=0),"SKIPPED - NONPOSITIVE",IF(OR(M740&lt;L740,N740&lt;L740),"SKIPPED - BELOW MIN",IF(OR(M740&gt;J740,N740&gt;K740),"SKIPPED - EXCEEDS BASE",IF(COUNTIFS($M$712:M739,M740,$N$712:N739,N740)&gt;0,"SKIPPED - DUPLICATE","VALID - GENERATED"))))</f>
        <v>VALID - GENERATED</v>
      </c>
      <c r="I740" s="10" t="s">
        <v>950</v>
      </c>
      <c r="J740" s="12">
        <f>'05-ISO Reference'!$B$15</f>
        <v>26</v>
      </c>
      <c r="K740" s="12">
        <f>'05-ISO Reference'!$C$15</f>
        <v>37</v>
      </c>
      <c r="L740" s="12">
        <f>'01-Process Controls'!$G$5</f>
        <v>3</v>
      </c>
      <c r="M740" s="12">
        <f>ROUNDDOWN(J740*'04-Variant Rules'!$D$33,0)</f>
        <v>17</v>
      </c>
      <c r="N740" s="12">
        <f>ROUNDDOWN(K740*'04-Variant Rules'!$E$33,0)</f>
        <v>24</v>
      </c>
      <c r="O740" s="9">
        <v>28</v>
      </c>
    </row>
    <row r="741" spans="1:15" ht="21" customHeight="1">
      <c r="A741" s="9" t="s">
        <v>979</v>
      </c>
      <c r="B741" s="12">
        <f>IF(LEFT(H741,5)="VALID",M741,"")</f>
        <v>15</v>
      </c>
      <c r="C741" s="12">
        <f>IF(LEFT(H741,5)="VALID",N741,"")</f>
        <v>22</v>
      </c>
      <c r="D741" s="10" t="s">
        <v>82</v>
      </c>
      <c r="E741" s="10" t="s">
        <v>949</v>
      </c>
      <c r="F741" s="10" t="s">
        <v>198</v>
      </c>
      <c r="G741" s="10" t="s">
        <v>186</v>
      </c>
      <c r="H741" s="11" t="str">
        <f>IF(OR(M741&lt;=0,N741&lt;=0),"SKIPPED - NONPOSITIVE",IF(OR(M741&lt;L741,N741&lt;L741),"SKIPPED - BELOW MIN",IF(OR(M741&gt;J741,N741&gt;K741),"SKIPPED - EXCEEDS BASE",IF(COUNTIFS($M$712:M740,M741,$N$712:N740,N741)&gt;0,"SKIPPED - DUPLICATE","VALID - GENERATED"))))</f>
        <v>VALID - GENERATED</v>
      </c>
      <c r="I741" s="10" t="s">
        <v>950</v>
      </c>
      <c r="J741" s="12">
        <f>'05-ISO Reference'!$B$15</f>
        <v>26</v>
      </c>
      <c r="K741" s="12">
        <f>'05-ISO Reference'!$C$15</f>
        <v>37</v>
      </c>
      <c r="L741" s="12">
        <f>'01-Process Controls'!$G$5</f>
        <v>3</v>
      </c>
      <c r="M741" s="12">
        <f>ROUNDDOWN(J741*'04-Variant Rules'!$D$34,0)</f>
        <v>15</v>
      </c>
      <c r="N741" s="12">
        <f>ROUNDDOWN(K741*'04-Variant Rules'!$E$34,0)</f>
        <v>22</v>
      </c>
      <c r="O741" s="9">
        <v>29</v>
      </c>
    </row>
    <row r="742" spans="1:15" ht="21" customHeight="1">
      <c r="A742" s="9" t="s">
        <v>980</v>
      </c>
      <c r="B742" s="12">
        <f>IF(LEFT(H742,5)="VALID",M742,"")</f>
        <v>14</v>
      </c>
      <c r="C742" s="12">
        <f>IF(LEFT(H742,5)="VALID",N742,"")</f>
        <v>20</v>
      </c>
      <c r="D742" s="10" t="s">
        <v>82</v>
      </c>
      <c r="E742" s="10" t="s">
        <v>949</v>
      </c>
      <c r="F742" s="10" t="s">
        <v>200</v>
      </c>
      <c r="G742" s="10" t="s">
        <v>186</v>
      </c>
      <c r="H742" s="11" t="str">
        <f>IF(OR(M742&lt;=0,N742&lt;=0),"SKIPPED - NONPOSITIVE",IF(OR(M742&lt;L742,N742&lt;L742),"SKIPPED - BELOW MIN",IF(OR(M742&gt;J742,N742&gt;K742),"SKIPPED - EXCEEDS BASE",IF(COUNTIFS($M$712:M741,M742,$N$712:N741,N742)&gt;0,"SKIPPED - DUPLICATE","VALID - GENERATED"))))</f>
        <v>VALID - GENERATED</v>
      </c>
      <c r="I742" s="10" t="s">
        <v>950</v>
      </c>
      <c r="J742" s="12">
        <f>'05-ISO Reference'!$B$15</f>
        <v>26</v>
      </c>
      <c r="K742" s="12">
        <f>'05-ISO Reference'!$C$15</f>
        <v>37</v>
      </c>
      <c r="L742" s="12">
        <f>'01-Process Controls'!$G$5</f>
        <v>3</v>
      </c>
      <c r="M742" s="12">
        <f>ROUNDDOWN(J742*'04-Variant Rules'!$D$35,0)</f>
        <v>14</v>
      </c>
      <c r="N742" s="12">
        <f>ROUNDDOWN(K742*'04-Variant Rules'!$E$35,0)</f>
        <v>20</v>
      </c>
      <c r="O742" s="9">
        <v>30</v>
      </c>
    </row>
    <row r="743" spans="1:15" ht="21" customHeight="1">
      <c r="A743" s="9" t="s">
        <v>981</v>
      </c>
      <c r="B743" s="12">
        <f>IF(LEFT(H743,5)="VALID",M743,"")</f>
        <v>11</v>
      </c>
      <c r="C743" s="12">
        <f>IF(LEFT(H743,5)="VALID",N743,"")</f>
        <v>16</v>
      </c>
      <c r="D743" s="10" t="s">
        <v>82</v>
      </c>
      <c r="E743" s="10" t="s">
        <v>949</v>
      </c>
      <c r="F743" s="10" t="s">
        <v>202</v>
      </c>
      <c r="G743" s="10" t="s">
        <v>186</v>
      </c>
      <c r="H743" s="11" t="str">
        <f>IF(OR(M743&lt;=0,N743&lt;=0),"SKIPPED - NONPOSITIVE",IF(OR(M743&lt;L743,N743&lt;L743),"SKIPPED - BELOW MIN",IF(OR(M743&gt;J743,N743&gt;K743),"SKIPPED - EXCEEDS BASE",IF(COUNTIFS($M$712:M742,M743,$N$712:N742,N743)&gt;0,"SKIPPED - DUPLICATE","VALID - GENERATED"))))</f>
        <v>VALID - GENERATED</v>
      </c>
      <c r="I743" s="10" t="s">
        <v>950</v>
      </c>
      <c r="J743" s="12">
        <f>'05-ISO Reference'!$B$15</f>
        <v>26</v>
      </c>
      <c r="K743" s="12">
        <f>'05-ISO Reference'!$C$15</f>
        <v>37</v>
      </c>
      <c r="L743" s="12">
        <f>'01-Process Controls'!$G$5</f>
        <v>3</v>
      </c>
      <c r="M743" s="12">
        <f>ROUNDDOWN(J743*'04-Variant Rules'!$D$36,0)</f>
        <v>11</v>
      </c>
      <c r="N743" s="12">
        <f>ROUNDDOWN(K743*'04-Variant Rules'!$E$36,0)</f>
        <v>16</v>
      </c>
      <c r="O743" s="9">
        <v>31</v>
      </c>
    </row>
    <row r="744" spans="1:15" ht="21" customHeight="1">
      <c r="A744" s="9" t="s">
        <v>982</v>
      </c>
      <c r="B744" s="12">
        <f>IF(LEFT(H744,5)="VALID",M744,"")</f>
        <v>10</v>
      </c>
      <c r="C744" s="12">
        <f>IF(LEFT(H744,5)="VALID",N744,"")</f>
        <v>14</v>
      </c>
      <c r="D744" s="10" t="s">
        <v>82</v>
      </c>
      <c r="E744" s="10" t="s">
        <v>949</v>
      </c>
      <c r="F744" s="10" t="s">
        <v>204</v>
      </c>
      <c r="G744" s="10" t="s">
        <v>186</v>
      </c>
      <c r="H744" s="11" t="str">
        <f>IF(OR(M744&lt;=0,N744&lt;=0),"SKIPPED - NONPOSITIVE",IF(OR(M744&lt;L744,N744&lt;L744),"SKIPPED - BELOW MIN",IF(OR(M744&gt;J744,N744&gt;K744),"SKIPPED - EXCEEDS BASE",IF(COUNTIFS($M$712:M743,M744,$N$712:N743,N744)&gt;0,"SKIPPED - DUPLICATE","VALID - GENERATED"))))</f>
        <v>VALID - GENERATED</v>
      </c>
      <c r="I744" s="10" t="s">
        <v>950</v>
      </c>
      <c r="J744" s="12">
        <f>'05-ISO Reference'!$B$15</f>
        <v>26</v>
      </c>
      <c r="K744" s="12">
        <f>'05-ISO Reference'!$C$15</f>
        <v>37</v>
      </c>
      <c r="L744" s="12">
        <f>'01-Process Controls'!$G$5</f>
        <v>3</v>
      </c>
      <c r="M744" s="12">
        <f>ROUNDDOWN(J744*'04-Variant Rules'!$D$37,0)</f>
        <v>10</v>
      </c>
      <c r="N744" s="12">
        <f>ROUNDDOWN(K744*'04-Variant Rules'!$E$37,0)</f>
        <v>14</v>
      </c>
      <c r="O744" s="9">
        <v>32</v>
      </c>
    </row>
    <row r="745" spans="1:15" ht="21" customHeight="1">
      <c r="A745" s="9" t="s">
        <v>983</v>
      </c>
      <c r="B745" s="12">
        <f>IF(LEFT(H745,5)="VALID",M745,"")</f>
        <v>9</v>
      </c>
      <c r="C745" s="12">
        <f>IF(LEFT(H745,5)="VALID",N745,"")</f>
        <v>12</v>
      </c>
      <c r="D745" s="10" t="s">
        <v>82</v>
      </c>
      <c r="E745" s="10" t="s">
        <v>949</v>
      </c>
      <c r="F745" s="10" t="s">
        <v>206</v>
      </c>
      <c r="G745" s="10" t="s">
        <v>186</v>
      </c>
      <c r="H745" s="11" t="str">
        <f>IF(OR(M745&lt;=0,N745&lt;=0),"SKIPPED - NONPOSITIVE",IF(OR(M745&lt;L745,N745&lt;L745),"SKIPPED - BELOW MIN",IF(OR(M745&gt;J745,N745&gt;K745),"SKIPPED - EXCEEDS BASE",IF(COUNTIFS($M$712:M744,M745,$N$712:N744,N745)&gt;0,"SKIPPED - DUPLICATE","VALID - GENERATED"))))</f>
        <v>VALID - GENERATED</v>
      </c>
      <c r="I745" s="10" t="s">
        <v>950</v>
      </c>
      <c r="J745" s="12">
        <f>'05-ISO Reference'!$B$15</f>
        <v>26</v>
      </c>
      <c r="K745" s="12">
        <f>'05-ISO Reference'!$C$15</f>
        <v>37</v>
      </c>
      <c r="L745" s="12">
        <f>'01-Process Controls'!$G$5</f>
        <v>3</v>
      </c>
      <c r="M745" s="12">
        <f>ROUNDDOWN(J745*'04-Variant Rules'!$D$38,0)</f>
        <v>9</v>
      </c>
      <c r="N745" s="12">
        <f>ROUNDDOWN(K745*'04-Variant Rules'!$E$38,0)</f>
        <v>12</v>
      </c>
      <c r="O745" s="9">
        <v>33</v>
      </c>
    </row>
    <row r="746" spans="1:15" ht="21" customHeight="1">
      <c r="A746" s="9" t="s">
        <v>984</v>
      </c>
      <c r="B746" s="12">
        <f>IF(LEFT(H746,5)="VALID",M746,"")</f>
        <v>7</v>
      </c>
      <c r="C746" s="12">
        <f>IF(LEFT(H746,5)="VALID",N746,"")</f>
        <v>11</v>
      </c>
      <c r="D746" s="10" t="s">
        <v>82</v>
      </c>
      <c r="E746" s="10" t="s">
        <v>949</v>
      </c>
      <c r="F746" s="10" t="s">
        <v>208</v>
      </c>
      <c r="G746" s="10" t="s">
        <v>186</v>
      </c>
      <c r="H746" s="11" t="str">
        <f>IF(OR(M746&lt;=0,N746&lt;=0),"SKIPPED - NONPOSITIVE",IF(OR(M746&lt;L746,N746&lt;L746),"SKIPPED - BELOW MIN",IF(OR(M746&gt;J746,N746&gt;K746),"SKIPPED - EXCEEDS BASE",IF(COUNTIFS($M$712:M745,M746,$N$712:N745,N746)&gt;0,"SKIPPED - DUPLICATE","VALID - GENERATED"))))</f>
        <v>VALID - GENERATED</v>
      </c>
      <c r="I746" s="10" t="s">
        <v>950</v>
      </c>
      <c r="J746" s="12">
        <f>'05-ISO Reference'!$B$15</f>
        <v>26</v>
      </c>
      <c r="K746" s="12">
        <f>'05-ISO Reference'!$C$15</f>
        <v>37</v>
      </c>
      <c r="L746" s="12">
        <f>'01-Process Controls'!$G$5</f>
        <v>3</v>
      </c>
      <c r="M746" s="12">
        <f>ROUNDDOWN(J746*'04-Variant Rules'!$D$39,0)</f>
        <v>7</v>
      </c>
      <c r="N746" s="12">
        <f>ROUNDDOWN(K746*'04-Variant Rules'!$E$39,0)</f>
        <v>11</v>
      </c>
      <c r="O746" s="9">
        <v>34</v>
      </c>
    </row>
    <row r="747" spans="1:15" ht="21" customHeight="1">
      <c r="A747" s="9" t="s">
        <v>985</v>
      </c>
      <c r="B747" s="12">
        <f>IF(LEFT(H747,5)="VALID",M747,"")</f>
        <v>5</v>
      </c>
      <c r="C747" s="12">
        <f>IF(LEFT(H747,5)="VALID",N747,"")</f>
        <v>7</v>
      </c>
      <c r="D747" s="10" t="s">
        <v>82</v>
      </c>
      <c r="E747" s="10" t="s">
        <v>949</v>
      </c>
      <c r="F747" s="10" t="s">
        <v>210</v>
      </c>
      <c r="G747" s="10" t="s">
        <v>186</v>
      </c>
      <c r="H747" s="11" t="str">
        <f>IF(OR(M747&lt;=0,N747&lt;=0),"SKIPPED - NONPOSITIVE",IF(OR(M747&lt;L747,N747&lt;L747),"SKIPPED - BELOW MIN",IF(OR(M747&gt;J747,N747&gt;K747),"SKIPPED - EXCEEDS BASE",IF(COUNTIFS($M$712:M746,M747,$N$712:N746,N747)&gt;0,"SKIPPED - DUPLICATE","VALID - GENERATED"))))</f>
        <v>VALID - GENERATED</v>
      </c>
      <c r="I747" s="10" t="s">
        <v>950</v>
      </c>
      <c r="J747" s="12">
        <f>'05-ISO Reference'!$B$15</f>
        <v>26</v>
      </c>
      <c r="K747" s="12">
        <f>'05-ISO Reference'!$C$15</f>
        <v>37</v>
      </c>
      <c r="L747" s="12">
        <f>'01-Process Controls'!$G$5</f>
        <v>3</v>
      </c>
      <c r="M747" s="12">
        <f>ROUNDDOWN(J747*'04-Variant Rules'!$D$40,0)</f>
        <v>5</v>
      </c>
      <c r="N747" s="12">
        <f>ROUNDDOWN(K747*'04-Variant Rules'!$E$40,0)</f>
        <v>7</v>
      </c>
      <c r="O747" s="9">
        <v>35</v>
      </c>
    </row>
    <row r="748" spans="1:15" ht="21" customHeight="1">
      <c r="A748" s="9" t="s">
        <v>986</v>
      </c>
      <c r="B748" s="12">
        <f>IF(LEFT(H748,5)="VALID",M748,"")</f>
        <v>3</v>
      </c>
      <c r="C748" s="12">
        <f>IF(LEFT(H748,5)="VALID",N748,"")</f>
        <v>5</v>
      </c>
      <c r="D748" s="10" t="s">
        <v>82</v>
      </c>
      <c r="E748" s="10" t="s">
        <v>949</v>
      </c>
      <c r="F748" s="10" t="s">
        <v>212</v>
      </c>
      <c r="G748" s="10" t="s">
        <v>213</v>
      </c>
      <c r="H748" s="11" t="str">
        <f>IF(OR(M748&lt;=0,N748&lt;=0),"SKIPPED - NONPOSITIVE",IF(OR(M748&lt;L748,N748&lt;L748),"SKIPPED - BELOW MIN",IF(OR(M748&gt;J748,N748&gt;K748),"SKIPPED - EXCEEDS BASE",IF(COUNTIFS($M$712:M747,M748,$N$712:N747,N748)&gt;0,"SKIPPED - DUPLICATE","VALID - GENERATED"))))</f>
        <v>VALID - GENERATED</v>
      </c>
      <c r="I748" s="10" t="s">
        <v>950</v>
      </c>
      <c r="J748" s="12">
        <f>'05-ISO Reference'!$B$15</f>
        <v>26</v>
      </c>
      <c r="K748" s="12">
        <f>'05-ISO Reference'!$C$15</f>
        <v>37</v>
      </c>
      <c r="L748" s="12">
        <f>'01-Process Controls'!$G$5</f>
        <v>3</v>
      </c>
      <c r="M748" s="12">
        <f>ROUNDDOWN(J748*'04-Variant Rules'!$D$41,0)</f>
        <v>3</v>
      </c>
      <c r="N748" s="12">
        <f>ROUNDDOWN(K748*'04-Variant Rules'!$E$41,0)</f>
        <v>5</v>
      </c>
      <c r="O748" s="9">
        <v>36</v>
      </c>
    </row>
    <row r="749" spans="1:15" ht="21" customHeight="1">
      <c r="A749" s="9" t="s">
        <v>987</v>
      </c>
      <c r="B749" s="12">
        <f>IF(LEFT(H749,5)="VALID",M749,"")</f>
        <v>26</v>
      </c>
      <c r="C749" s="12">
        <f>IF(LEFT(H749,5)="VALID",N749,"")</f>
        <v>26</v>
      </c>
      <c r="D749" s="10" t="s">
        <v>82</v>
      </c>
      <c r="E749" s="10" t="s">
        <v>949</v>
      </c>
      <c r="F749" s="10" t="s">
        <v>215</v>
      </c>
      <c r="G749" s="10" t="s">
        <v>216</v>
      </c>
      <c r="H749" s="11" t="str">
        <f>IF(OR(M749&lt;=0,N749&lt;=0),"SKIPPED - NONPOSITIVE",IF(OR(M749&lt;L749,N749&lt;L749),"SKIPPED - BELOW MIN",IF(OR(M749&gt;J749,N749&gt;K749),"SKIPPED - EXCEEDS BASE",IF(COUNTIFS($M$712:M748,M749,$N$712:N748,N749)&gt;0,"SKIPPED - DUPLICATE","VALID - GENERATED"))))</f>
        <v>VALID - GENERATED</v>
      </c>
      <c r="I749" s="10" t="s">
        <v>950</v>
      </c>
      <c r="J749" s="12">
        <f>'05-ISO Reference'!$B$15</f>
        <v>26</v>
      </c>
      <c r="K749" s="12">
        <f>'05-ISO Reference'!$C$15</f>
        <v>37</v>
      </c>
      <c r="L749" s="12">
        <f>'01-Process Controls'!$G$5</f>
        <v>3</v>
      </c>
      <c r="M749" s="12">
        <f>ROUNDDOWN(MIN(J749,K749)*'04-Variant Rules'!$D$42,0)</f>
        <v>26</v>
      </c>
      <c r="N749" s="12">
        <f>ROUNDDOWN(MIN(J749,K749)*'04-Variant Rules'!$D$42,0)</f>
        <v>26</v>
      </c>
      <c r="O749" s="9">
        <v>37</v>
      </c>
    </row>
    <row r="750" spans="1:15" ht="21" customHeight="1">
      <c r="A750" s="9" t="s">
        <v>988</v>
      </c>
      <c r="B750" s="12">
        <f>IF(LEFT(H750,5)="VALID",M750,"")</f>
        <v>23</v>
      </c>
      <c r="C750" s="12">
        <f>IF(LEFT(H750,5)="VALID",N750,"")</f>
        <v>23</v>
      </c>
      <c r="D750" s="10" t="s">
        <v>82</v>
      </c>
      <c r="E750" s="10" t="s">
        <v>949</v>
      </c>
      <c r="F750" s="10" t="s">
        <v>218</v>
      </c>
      <c r="G750" s="10" t="s">
        <v>219</v>
      </c>
      <c r="H750" s="11" t="str">
        <f>IF(OR(M750&lt;=0,N750&lt;=0),"SKIPPED - NONPOSITIVE",IF(OR(M750&lt;L750,N750&lt;L750),"SKIPPED - BELOW MIN",IF(OR(M750&gt;J750,N750&gt;K750),"SKIPPED - EXCEEDS BASE",IF(COUNTIFS($M$712:M749,M750,$N$712:N749,N750)&gt;0,"SKIPPED - DUPLICATE","VALID - GENERATED"))))</f>
        <v>VALID - GENERATED</v>
      </c>
      <c r="I750" s="10" t="s">
        <v>950</v>
      </c>
      <c r="J750" s="12">
        <f>'05-ISO Reference'!$B$15</f>
        <v>26</v>
      </c>
      <c r="K750" s="12">
        <f>'05-ISO Reference'!$C$15</f>
        <v>37</v>
      </c>
      <c r="L750" s="12">
        <f>'01-Process Controls'!$G$5</f>
        <v>3</v>
      </c>
      <c r="M750" s="12">
        <f>ROUNDDOWN(MIN(J750,K750)*'04-Variant Rules'!$D$43,0)</f>
        <v>23</v>
      </c>
      <c r="N750" s="12">
        <f>ROUNDDOWN(MIN(J750,K750)*'04-Variant Rules'!$D$43,0)</f>
        <v>23</v>
      </c>
      <c r="O750" s="9">
        <v>38</v>
      </c>
    </row>
    <row r="751" spans="1:15" ht="21" customHeight="1">
      <c r="A751" s="9" t="s">
        <v>989</v>
      </c>
      <c r="B751" s="12">
        <f>IF(LEFT(H751,5)="VALID",M751,"")</f>
        <v>20</v>
      </c>
      <c r="C751" s="12">
        <f>IF(LEFT(H751,5)="VALID",N751,"")</f>
        <v>20</v>
      </c>
      <c r="D751" s="10" t="s">
        <v>82</v>
      </c>
      <c r="E751" s="10" t="s">
        <v>949</v>
      </c>
      <c r="F751" s="10" t="s">
        <v>221</v>
      </c>
      <c r="G751" s="10" t="s">
        <v>219</v>
      </c>
      <c r="H751" s="11" t="str">
        <f>IF(OR(M751&lt;=0,N751&lt;=0),"SKIPPED - NONPOSITIVE",IF(OR(M751&lt;L751,N751&lt;L751),"SKIPPED - BELOW MIN",IF(OR(M751&gt;J751,N751&gt;K751),"SKIPPED - EXCEEDS BASE",IF(COUNTIFS($M$712:M750,M751,$N$712:N750,N751)&gt;0,"SKIPPED - DUPLICATE","VALID - GENERATED"))))</f>
        <v>VALID - GENERATED</v>
      </c>
      <c r="I751" s="10" t="s">
        <v>950</v>
      </c>
      <c r="J751" s="12">
        <f>'05-ISO Reference'!$B$15</f>
        <v>26</v>
      </c>
      <c r="K751" s="12">
        <f>'05-ISO Reference'!$C$15</f>
        <v>37</v>
      </c>
      <c r="L751" s="12">
        <f>'01-Process Controls'!$G$5</f>
        <v>3</v>
      </c>
      <c r="M751" s="12">
        <f>ROUNDDOWN(MIN(J751,K751)*'04-Variant Rules'!$D$44,0)</f>
        <v>20</v>
      </c>
      <c r="N751" s="12">
        <f>ROUNDDOWN(MIN(J751,K751)*'04-Variant Rules'!$D$44,0)</f>
        <v>20</v>
      </c>
      <c r="O751" s="9">
        <v>39</v>
      </c>
    </row>
    <row r="752" spans="1:15" ht="21" customHeight="1">
      <c r="A752" s="9" t="s">
        <v>990</v>
      </c>
      <c r="B752" s="12">
        <f>IF(LEFT(H752,5)="VALID",M752,"")</f>
        <v>19</v>
      </c>
      <c r="C752" s="12">
        <f>IF(LEFT(H752,5)="VALID",N752,"")</f>
        <v>19</v>
      </c>
      <c r="D752" s="10" t="s">
        <v>82</v>
      </c>
      <c r="E752" s="10" t="s">
        <v>949</v>
      </c>
      <c r="F752" s="10" t="s">
        <v>223</v>
      </c>
      <c r="G752" s="10" t="s">
        <v>219</v>
      </c>
      <c r="H752" s="11" t="str">
        <f>IF(OR(M752&lt;=0,N752&lt;=0),"SKIPPED - NONPOSITIVE",IF(OR(M752&lt;L752,N752&lt;L752),"SKIPPED - BELOW MIN",IF(OR(M752&gt;J752,N752&gt;K752),"SKIPPED - EXCEEDS BASE",IF(COUNTIFS($M$712:M751,M752,$N$712:N751,N752)&gt;0,"SKIPPED - DUPLICATE","VALID - GENERATED"))))</f>
        <v>VALID - GENERATED</v>
      </c>
      <c r="I752" s="10" t="s">
        <v>950</v>
      </c>
      <c r="J752" s="12">
        <f>'05-ISO Reference'!$B$15</f>
        <v>26</v>
      </c>
      <c r="K752" s="12">
        <f>'05-ISO Reference'!$C$15</f>
        <v>37</v>
      </c>
      <c r="L752" s="12">
        <f>'01-Process Controls'!$G$5</f>
        <v>3</v>
      </c>
      <c r="M752" s="12">
        <f>ROUNDDOWN(MIN(J752,K752)*'04-Variant Rules'!$D$45,0)</f>
        <v>19</v>
      </c>
      <c r="N752" s="12">
        <f>ROUNDDOWN(MIN(J752,K752)*'04-Variant Rules'!$D$45,0)</f>
        <v>19</v>
      </c>
      <c r="O752" s="9">
        <v>40</v>
      </c>
    </row>
    <row r="753" spans="1:15" ht="21" customHeight="1">
      <c r="A753" s="9" t="s">
        <v>991</v>
      </c>
      <c r="B753" s="12">
        <f>IF(LEFT(H753,5)="VALID",M753,"")</f>
        <v>17</v>
      </c>
      <c r="C753" s="12">
        <f>IF(LEFT(H753,5)="VALID",N753,"")</f>
        <v>17</v>
      </c>
      <c r="D753" s="10" t="s">
        <v>82</v>
      </c>
      <c r="E753" s="10" t="s">
        <v>949</v>
      </c>
      <c r="F753" s="10" t="s">
        <v>225</v>
      </c>
      <c r="G753" s="10" t="s">
        <v>219</v>
      </c>
      <c r="H753" s="11" t="str">
        <f>IF(OR(M753&lt;=0,N753&lt;=0),"SKIPPED - NONPOSITIVE",IF(OR(M753&lt;L753,N753&lt;L753),"SKIPPED - BELOW MIN",IF(OR(M753&gt;J753,N753&gt;K753),"SKIPPED - EXCEEDS BASE",IF(COUNTIFS($M$712:M752,M753,$N$712:N752,N753)&gt;0,"SKIPPED - DUPLICATE","VALID - GENERATED"))))</f>
        <v>VALID - GENERATED</v>
      </c>
      <c r="I753" s="10" t="s">
        <v>950</v>
      </c>
      <c r="J753" s="12">
        <f>'05-ISO Reference'!$B$15</f>
        <v>26</v>
      </c>
      <c r="K753" s="12">
        <f>'05-ISO Reference'!$C$15</f>
        <v>37</v>
      </c>
      <c r="L753" s="12">
        <f>'01-Process Controls'!$G$5</f>
        <v>3</v>
      </c>
      <c r="M753" s="12">
        <f>ROUNDDOWN(MIN(J753,K753)*'04-Variant Rules'!$D$46,0)</f>
        <v>17</v>
      </c>
      <c r="N753" s="12">
        <f>ROUNDDOWN(MIN(J753,K753)*'04-Variant Rules'!$D$46,0)</f>
        <v>17</v>
      </c>
      <c r="O753" s="9">
        <v>41</v>
      </c>
    </row>
    <row r="754" spans="1:15" ht="21" customHeight="1">
      <c r="A754" s="9" t="s">
        <v>992</v>
      </c>
      <c r="B754" s="12">
        <f>IF(LEFT(H754,5)="VALID",M754,"")</f>
        <v>15</v>
      </c>
      <c r="C754" s="12">
        <f>IF(LEFT(H754,5)="VALID",N754,"")</f>
        <v>15</v>
      </c>
      <c r="D754" s="10" t="s">
        <v>82</v>
      </c>
      <c r="E754" s="10" t="s">
        <v>949</v>
      </c>
      <c r="F754" s="10" t="s">
        <v>227</v>
      </c>
      <c r="G754" s="10" t="s">
        <v>219</v>
      </c>
      <c r="H754" s="11" t="str">
        <f>IF(OR(M754&lt;=0,N754&lt;=0),"SKIPPED - NONPOSITIVE",IF(OR(M754&lt;L754,N754&lt;L754),"SKIPPED - BELOW MIN",IF(OR(M754&gt;J754,N754&gt;K754),"SKIPPED - EXCEEDS BASE",IF(COUNTIFS($M$712:M753,M754,$N$712:N753,N754)&gt;0,"SKIPPED - DUPLICATE","VALID - GENERATED"))))</f>
        <v>VALID - GENERATED</v>
      </c>
      <c r="I754" s="10" t="s">
        <v>950</v>
      </c>
      <c r="J754" s="12">
        <f>'05-ISO Reference'!$B$15</f>
        <v>26</v>
      </c>
      <c r="K754" s="12">
        <f>'05-ISO Reference'!$C$15</f>
        <v>37</v>
      </c>
      <c r="L754" s="12">
        <f>'01-Process Controls'!$G$5</f>
        <v>3</v>
      </c>
      <c r="M754" s="12">
        <f>ROUNDDOWN(MIN(J754,K754)*'04-Variant Rules'!$D$47,0)</f>
        <v>15</v>
      </c>
      <c r="N754" s="12">
        <f>ROUNDDOWN(MIN(J754,K754)*'04-Variant Rules'!$D$47,0)</f>
        <v>15</v>
      </c>
      <c r="O754" s="9">
        <v>42</v>
      </c>
    </row>
    <row r="755" spans="1:15" ht="21" customHeight="1">
      <c r="A755" s="9" t="s">
        <v>993</v>
      </c>
      <c r="B755" s="12">
        <f>IF(LEFT(H755,5)="VALID",M755,"")</f>
        <v>13</v>
      </c>
      <c r="C755" s="12">
        <f>IF(LEFT(H755,5)="VALID",N755,"")</f>
        <v>13</v>
      </c>
      <c r="D755" s="10" t="s">
        <v>82</v>
      </c>
      <c r="E755" s="10" t="s">
        <v>949</v>
      </c>
      <c r="F755" s="10" t="s">
        <v>229</v>
      </c>
      <c r="G755" s="10" t="s">
        <v>219</v>
      </c>
      <c r="H755" s="11" t="str">
        <f>IF(OR(M755&lt;=0,N755&lt;=0),"SKIPPED - NONPOSITIVE",IF(OR(M755&lt;L755,N755&lt;L755),"SKIPPED - BELOW MIN",IF(OR(M755&gt;J755,N755&gt;K755),"SKIPPED - EXCEEDS BASE",IF(COUNTIFS($M$712:M754,M755,$N$712:N754,N755)&gt;0,"SKIPPED - DUPLICATE","VALID - GENERATED"))))</f>
        <v>VALID - GENERATED</v>
      </c>
      <c r="I755" s="10" t="s">
        <v>950</v>
      </c>
      <c r="J755" s="12">
        <f>'05-ISO Reference'!$B$15</f>
        <v>26</v>
      </c>
      <c r="K755" s="12">
        <f>'05-ISO Reference'!$C$15</f>
        <v>37</v>
      </c>
      <c r="L755" s="12">
        <f>'01-Process Controls'!$G$5</f>
        <v>3</v>
      </c>
      <c r="M755" s="12">
        <f>ROUNDDOWN(MIN(J755,K755)*'04-Variant Rules'!$D$48,0)</f>
        <v>13</v>
      </c>
      <c r="N755" s="12">
        <f>ROUNDDOWN(MIN(J755,K755)*'04-Variant Rules'!$D$48,0)</f>
        <v>13</v>
      </c>
      <c r="O755" s="9">
        <v>43</v>
      </c>
    </row>
    <row r="756" spans="1:15" ht="21" customHeight="1">
      <c r="A756" s="9" t="s">
        <v>994</v>
      </c>
      <c r="B756" s="12">
        <f>IF(LEFT(H756,5)="VALID",M756,"")</f>
        <v>10</v>
      </c>
      <c r="C756" s="12">
        <f>IF(LEFT(H756,5)="VALID",N756,"")</f>
        <v>10</v>
      </c>
      <c r="D756" s="10" t="s">
        <v>82</v>
      </c>
      <c r="E756" s="10" t="s">
        <v>949</v>
      </c>
      <c r="F756" s="10" t="s">
        <v>231</v>
      </c>
      <c r="G756" s="10" t="s">
        <v>219</v>
      </c>
      <c r="H756" s="11" t="str">
        <f>IF(OR(M756&lt;=0,N756&lt;=0),"SKIPPED - NONPOSITIVE",IF(OR(M756&lt;L756,N756&lt;L756),"SKIPPED - BELOW MIN",IF(OR(M756&gt;J756,N756&gt;K756),"SKIPPED - EXCEEDS BASE",IF(COUNTIFS($M$712:M755,M756,$N$712:N755,N756)&gt;0,"SKIPPED - DUPLICATE","VALID - GENERATED"))))</f>
        <v>VALID - GENERATED</v>
      </c>
      <c r="I756" s="10" t="s">
        <v>950</v>
      </c>
      <c r="J756" s="12">
        <f>'05-ISO Reference'!$B$15</f>
        <v>26</v>
      </c>
      <c r="K756" s="12">
        <f>'05-ISO Reference'!$C$15</f>
        <v>37</v>
      </c>
      <c r="L756" s="12">
        <f>'01-Process Controls'!$G$5</f>
        <v>3</v>
      </c>
      <c r="M756" s="12">
        <f>ROUNDDOWN(MIN(J756,K756)*'04-Variant Rules'!$D$49,0)</f>
        <v>10</v>
      </c>
      <c r="N756" s="12">
        <f>ROUNDDOWN(MIN(J756,K756)*'04-Variant Rules'!$D$49,0)</f>
        <v>10</v>
      </c>
      <c r="O756" s="9">
        <v>44</v>
      </c>
    </row>
    <row r="757" spans="1:15" ht="21" customHeight="1">
      <c r="A757" s="9" t="s">
        <v>995</v>
      </c>
      <c r="B757" s="12">
        <f>IF(LEFT(H757,5)="VALID",M757,"")</f>
        <v>8</v>
      </c>
      <c r="C757" s="12">
        <f>IF(LEFT(H757,5)="VALID",N757,"")</f>
        <v>8</v>
      </c>
      <c r="D757" s="10" t="s">
        <v>82</v>
      </c>
      <c r="E757" s="10" t="s">
        <v>949</v>
      </c>
      <c r="F757" s="10" t="s">
        <v>233</v>
      </c>
      <c r="G757" s="10" t="s">
        <v>219</v>
      </c>
      <c r="H757" s="11" t="str">
        <f>IF(OR(M757&lt;=0,N757&lt;=0),"SKIPPED - NONPOSITIVE",IF(OR(M757&lt;L757,N757&lt;L757),"SKIPPED - BELOW MIN",IF(OR(M757&gt;J757,N757&gt;K757),"SKIPPED - EXCEEDS BASE",IF(COUNTIFS($M$712:M756,M757,$N$712:N756,N757)&gt;0,"SKIPPED - DUPLICATE","VALID - GENERATED"))))</f>
        <v>VALID - GENERATED</v>
      </c>
      <c r="I757" s="10" t="s">
        <v>950</v>
      </c>
      <c r="J757" s="12">
        <f>'05-ISO Reference'!$B$15</f>
        <v>26</v>
      </c>
      <c r="K757" s="12">
        <f>'05-ISO Reference'!$C$15</f>
        <v>37</v>
      </c>
      <c r="L757" s="12">
        <f>'01-Process Controls'!$G$5</f>
        <v>3</v>
      </c>
      <c r="M757" s="12">
        <f>ROUNDDOWN(MIN(J757,K757)*'04-Variant Rules'!$D$50,0)</f>
        <v>8</v>
      </c>
      <c r="N757" s="12">
        <f>ROUNDDOWN(MIN(J757,K757)*'04-Variant Rules'!$D$50,0)</f>
        <v>8</v>
      </c>
      <c r="O757" s="9">
        <v>45</v>
      </c>
    </row>
    <row r="758" spans="1:15" ht="21" customHeight="1">
      <c r="A758" s="9" t="s">
        <v>996</v>
      </c>
      <c r="B758" s="12">
        <f>IF(LEFT(H758,5)="VALID",M758,"")</f>
        <v>6</v>
      </c>
      <c r="C758" s="12">
        <f>IF(LEFT(H758,5)="VALID",N758,"")</f>
        <v>6</v>
      </c>
      <c r="D758" s="10" t="s">
        <v>82</v>
      </c>
      <c r="E758" s="10" t="s">
        <v>949</v>
      </c>
      <c r="F758" s="10" t="s">
        <v>235</v>
      </c>
      <c r="G758" s="10" t="s">
        <v>219</v>
      </c>
      <c r="H758" s="11" t="str">
        <f>IF(OR(M758&lt;=0,N758&lt;=0),"SKIPPED - NONPOSITIVE",IF(OR(M758&lt;L758,N758&lt;L758),"SKIPPED - BELOW MIN",IF(OR(M758&gt;J758,N758&gt;K758),"SKIPPED - EXCEEDS BASE",IF(COUNTIFS($M$712:M757,M758,$N$712:N757,N758)&gt;0,"SKIPPED - DUPLICATE","VALID - GENERATED"))))</f>
        <v>VALID - GENERATED</v>
      </c>
      <c r="I758" s="10" t="s">
        <v>950</v>
      </c>
      <c r="J758" s="12">
        <f>'05-ISO Reference'!$B$15</f>
        <v>26</v>
      </c>
      <c r="K758" s="12">
        <f>'05-ISO Reference'!$C$15</f>
        <v>37</v>
      </c>
      <c r="L758" s="12">
        <f>'01-Process Controls'!$G$5</f>
        <v>3</v>
      </c>
      <c r="M758" s="12">
        <f>ROUNDDOWN(MIN(J758,K758)*'04-Variant Rules'!$D$51,0)</f>
        <v>6</v>
      </c>
      <c r="N758" s="12">
        <f>ROUNDDOWN(MIN(J758,K758)*'04-Variant Rules'!$D$51,0)</f>
        <v>6</v>
      </c>
      <c r="O758" s="9">
        <v>46</v>
      </c>
    </row>
    <row r="759" spans="1:15" ht="21" customHeight="1">
      <c r="A759" s="9" t="s">
        <v>997</v>
      </c>
      <c r="B759" s="12">
        <f>IF(LEFT(H759,5)="VALID",M759,"")</f>
        <v>5</v>
      </c>
      <c r="C759" s="12">
        <f>IF(LEFT(H759,5)="VALID",N759,"")</f>
        <v>5</v>
      </c>
      <c r="D759" s="10" t="s">
        <v>82</v>
      </c>
      <c r="E759" s="10" t="s">
        <v>949</v>
      </c>
      <c r="F759" s="10" t="s">
        <v>237</v>
      </c>
      <c r="G759" s="10" t="s">
        <v>219</v>
      </c>
      <c r="H759" s="11" t="str">
        <f>IF(OR(M759&lt;=0,N759&lt;=0),"SKIPPED - NONPOSITIVE",IF(OR(M759&lt;L759,N759&lt;L759),"SKIPPED - BELOW MIN",IF(OR(M759&gt;J759,N759&gt;K759),"SKIPPED - EXCEEDS BASE",IF(COUNTIFS($M$712:M758,M759,$N$712:N758,N759)&gt;0,"SKIPPED - DUPLICATE","VALID - GENERATED"))))</f>
        <v>VALID - GENERATED</v>
      </c>
      <c r="I759" s="10" t="s">
        <v>950</v>
      </c>
      <c r="J759" s="12">
        <f>'05-ISO Reference'!$B$15</f>
        <v>26</v>
      </c>
      <c r="K759" s="12">
        <f>'05-ISO Reference'!$C$15</f>
        <v>37</v>
      </c>
      <c r="L759" s="12">
        <f>'01-Process Controls'!$G$5</f>
        <v>3</v>
      </c>
      <c r="M759" s="12">
        <f>ROUNDDOWN(MIN(J759,K759)*'04-Variant Rules'!$D$52,0)</f>
        <v>5</v>
      </c>
      <c r="N759" s="12">
        <f>ROUNDDOWN(MIN(J759,K759)*'04-Variant Rules'!$D$52,0)</f>
        <v>5</v>
      </c>
      <c r="O759" s="9">
        <v>47</v>
      </c>
    </row>
    <row r="760" spans="1:15" ht="21" customHeight="1">
      <c r="A760" s="9" t="s">
        <v>998</v>
      </c>
      <c r="B760" s="12">
        <f>IF(LEFT(H760,5)="VALID",M760,"")</f>
        <v>26</v>
      </c>
      <c r="C760" s="12">
        <f>IF(LEFT(H760,5)="VALID",N760,"")</f>
        <v>19</v>
      </c>
      <c r="D760" s="10" t="s">
        <v>82</v>
      </c>
      <c r="E760" s="10" t="s">
        <v>949</v>
      </c>
      <c r="F760" s="10" t="s">
        <v>239</v>
      </c>
      <c r="G760" s="10" t="s">
        <v>240</v>
      </c>
      <c r="H760" s="11" t="str">
        <f>IF(OR(M760&lt;=0,N760&lt;=0),"SKIPPED - NONPOSITIVE",IF(OR(M760&lt;L760,N760&lt;L760),"SKIPPED - BELOW MIN",IF(OR(M760&gt;J760,N760&gt;K760),"SKIPPED - EXCEEDS BASE",IF(COUNTIFS($M$712:M759,M760,$N$712:N759,N760)&gt;0,"SKIPPED - DUPLICATE","VALID - GENERATED"))))</f>
        <v>VALID - GENERATED</v>
      </c>
      <c r="I760" s="10" t="s">
        <v>950</v>
      </c>
      <c r="J760" s="12">
        <f>'05-ISO Reference'!$B$15</f>
        <v>26</v>
      </c>
      <c r="K760" s="12">
        <f>'05-ISO Reference'!$C$15</f>
        <v>37</v>
      </c>
      <c r="L760" s="12">
        <f>'01-Process Controls'!$G$5</f>
        <v>3</v>
      </c>
      <c r="M760" s="12">
        <f>ROUNDDOWN(MIN(J760,K760*'04-Variant Rules'!$D$53),0)</f>
        <v>26</v>
      </c>
      <c r="N760" s="12">
        <f>ROUNDDOWN(M760/'04-Variant Rules'!$D$53,0)</f>
        <v>19</v>
      </c>
      <c r="O760" s="9">
        <v>48</v>
      </c>
    </row>
    <row r="761" spans="1:15" ht="21" customHeight="1">
      <c r="A761" s="9" t="s">
        <v>999</v>
      </c>
      <c r="B761" s="12">
        <f>IF(LEFT(H761,5)="VALID",M761,"")</f>
        <v>26</v>
      </c>
      <c r="C761" s="12">
        <f>IF(LEFT(H761,5)="VALID",N761,"")</f>
        <v>34</v>
      </c>
      <c r="D761" s="10" t="s">
        <v>82</v>
      </c>
      <c r="E761" s="10" t="s">
        <v>949</v>
      </c>
      <c r="F761" s="10" t="s">
        <v>242</v>
      </c>
      <c r="G761" s="10" t="s">
        <v>243</v>
      </c>
      <c r="H761" s="11" t="str">
        <f>IF(OR(M761&lt;=0,N761&lt;=0),"SKIPPED - NONPOSITIVE",IF(OR(M761&lt;L761,N761&lt;L761),"SKIPPED - BELOW MIN",IF(OR(M761&gt;J761,N761&gt;K761),"SKIPPED - EXCEEDS BASE",IF(COUNTIFS($M$712:M760,M761,$N$712:N760,N761)&gt;0,"SKIPPED - DUPLICATE","VALID - GENERATED"))))</f>
        <v>VALID - GENERATED</v>
      </c>
      <c r="I761" s="10" t="s">
        <v>950</v>
      </c>
      <c r="J761" s="12">
        <f>'05-ISO Reference'!$B$15</f>
        <v>26</v>
      </c>
      <c r="K761" s="12">
        <f>'05-ISO Reference'!$C$15</f>
        <v>37</v>
      </c>
      <c r="L761" s="12">
        <f>'01-Process Controls'!$G$5</f>
        <v>3</v>
      </c>
      <c r="M761" s="12">
        <f>ROUNDDOWN(MIN(J761,K761*'04-Variant Rules'!$D$54),0)</f>
        <v>26</v>
      </c>
      <c r="N761" s="12">
        <f>ROUNDDOWN(M761/'04-Variant Rules'!$D$54,0)</f>
        <v>34</v>
      </c>
      <c r="O761" s="9">
        <v>49</v>
      </c>
    </row>
    <row r="762" spans="1:15" ht="21" customHeight="1">
      <c r="A762" s="9" t="s">
        <v>1000</v>
      </c>
      <c r="B762" s="12">
        <f>IF(LEFT(H762,5)="VALID",M762,"")</f>
        <v>26</v>
      </c>
      <c r="C762" s="12">
        <f>IF(LEFT(H762,5)="VALID",N762,"")</f>
        <v>17</v>
      </c>
      <c r="D762" s="10" t="s">
        <v>82</v>
      </c>
      <c r="E762" s="10" t="s">
        <v>949</v>
      </c>
      <c r="F762" s="10" t="s">
        <v>245</v>
      </c>
      <c r="G762" s="10" t="s">
        <v>246</v>
      </c>
      <c r="H762" s="11" t="str">
        <f>IF(OR(M762&lt;=0,N762&lt;=0),"SKIPPED - NONPOSITIVE",IF(OR(M762&lt;L762,N762&lt;L762),"SKIPPED - BELOW MIN",IF(OR(M762&gt;J762,N762&gt;K762),"SKIPPED - EXCEEDS BASE",IF(COUNTIFS($M$712:M761,M762,$N$712:N761,N762)&gt;0,"SKIPPED - DUPLICATE","VALID - GENERATED"))))</f>
        <v>VALID - GENERATED</v>
      </c>
      <c r="I762" s="10" t="s">
        <v>950</v>
      </c>
      <c r="J762" s="12">
        <f>'05-ISO Reference'!$B$15</f>
        <v>26</v>
      </c>
      <c r="K762" s="12">
        <f>'05-ISO Reference'!$C$15</f>
        <v>37</v>
      </c>
      <c r="L762" s="12">
        <f>'01-Process Controls'!$G$5</f>
        <v>3</v>
      </c>
      <c r="M762" s="12">
        <f>ROUNDDOWN(MIN(J762,K762*'04-Variant Rules'!$D$55),0)</f>
        <v>26</v>
      </c>
      <c r="N762" s="12">
        <f>ROUNDDOWN(M762/'04-Variant Rules'!$D$55,0)</f>
        <v>17</v>
      </c>
      <c r="O762" s="9">
        <v>50</v>
      </c>
    </row>
    <row r="763" spans="1:15" ht="21" customHeight="1">
      <c r="A763" s="9" t="s">
        <v>1001</v>
      </c>
      <c r="B763" s="12">
        <f>IF(LEFT(H763,5)="VALID",M763,"")</f>
        <v>24</v>
      </c>
      <c r="C763" s="12">
        <f>IF(LEFT(H763,5)="VALID",N763,"")</f>
        <v>36</v>
      </c>
      <c r="D763" s="10" t="s">
        <v>82</v>
      </c>
      <c r="E763" s="10" t="s">
        <v>949</v>
      </c>
      <c r="F763" s="10" t="s">
        <v>248</v>
      </c>
      <c r="G763" s="10" t="s">
        <v>249</v>
      </c>
      <c r="H763" s="11" t="str">
        <f>IF(OR(M763&lt;=0,N763&lt;=0),"SKIPPED - NONPOSITIVE",IF(OR(M763&lt;L763,N763&lt;L763),"SKIPPED - BELOW MIN",IF(OR(M763&gt;J763,N763&gt;K763),"SKIPPED - EXCEEDS BASE",IF(COUNTIFS($M$712:M762,M763,$N$712:N762,N763)&gt;0,"SKIPPED - DUPLICATE","VALID - GENERATED"))))</f>
        <v>VALID - GENERATED</v>
      </c>
      <c r="I763" s="10" t="s">
        <v>950</v>
      </c>
      <c r="J763" s="12">
        <f>'05-ISO Reference'!$B$15</f>
        <v>26</v>
      </c>
      <c r="K763" s="12">
        <f>'05-ISO Reference'!$C$15</f>
        <v>37</v>
      </c>
      <c r="L763" s="12">
        <f>'01-Process Controls'!$G$5</f>
        <v>3</v>
      </c>
      <c r="M763" s="12">
        <f>ROUNDDOWN(MIN(J763,K763*'04-Variant Rules'!$D$56),0)</f>
        <v>24</v>
      </c>
      <c r="N763" s="12">
        <f>ROUNDDOWN(M763/'04-Variant Rules'!$D$56,0)</f>
        <v>36</v>
      </c>
      <c r="O763" s="9">
        <v>51</v>
      </c>
    </row>
    <row r="764" spans="1:15" ht="21" customHeight="1">
      <c r="A764" s="9" t="s">
        <v>1002</v>
      </c>
      <c r="B764" s="12">
        <f>IF(LEFT(H764,5)="VALID",M764,"")</f>
        <v>26</v>
      </c>
      <c r="C764" s="12">
        <f>IF(LEFT(H764,5)="VALID",N764,"")</f>
        <v>14</v>
      </c>
      <c r="D764" s="10" t="s">
        <v>82</v>
      </c>
      <c r="E764" s="10" t="s">
        <v>949</v>
      </c>
      <c r="F764" s="10" t="s">
        <v>251</v>
      </c>
      <c r="G764" s="10" t="s">
        <v>252</v>
      </c>
      <c r="H764" s="11" t="str">
        <f>IF(OR(M764&lt;=0,N764&lt;=0),"SKIPPED - NONPOSITIVE",IF(OR(M764&lt;L764,N764&lt;L764),"SKIPPED - BELOW MIN",IF(OR(M764&gt;J764,N764&gt;K764),"SKIPPED - EXCEEDS BASE",IF(COUNTIFS($M$712:M763,M764,$N$712:N763,N764)&gt;0,"SKIPPED - DUPLICATE","VALID - GENERATED"))))</f>
        <v>VALID - GENERATED</v>
      </c>
      <c r="I764" s="10" t="s">
        <v>950</v>
      </c>
      <c r="J764" s="12">
        <f>'05-ISO Reference'!$B$15</f>
        <v>26</v>
      </c>
      <c r="K764" s="12">
        <f>'05-ISO Reference'!$C$15</f>
        <v>37</v>
      </c>
      <c r="L764" s="12">
        <f>'01-Process Controls'!$G$5</f>
        <v>3</v>
      </c>
      <c r="M764" s="12">
        <f>ROUNDDOWN(MIN(J764,K764*'04-Variant Rules'!$D$57),0)</f>
        <v>26</v>
      </c>
      <c r="N764" s="12">
        <f>ROUNDDOWN(M764/'04-Variant Rules'!$D$57,0)</f>
        <v>14</v>
      </c>
      <c r="O764" s="9">
        <v>52</v>
      </c>
    </row>
    <row r="765" spans="1:15" ht="21" customHeight="1">
      <c r="A765" s="9" t="s">
        <v>1003</v>
      </c>
      <c r="B765" s="12">
        <f>IF(LEFT(H765,5)="VALID",M765,"")</f>
        <v>20</v>
      </c>
      <c r="C765" s="12">
        <f>IF(LEFT(H765,5)="VALID",N765,"")</f>
        <v>35</v>
      </c>
      <c r="D765" s="10" t="s">
        <v>82</v>
      </c>
      <c r="E765" s="10" t="s">
        <v>949</v>
      </c>
      <c r="F765" s="10" t="s">
        <v>254</v>
      </c>
      <c r="G765" s="10" t="s">
        <v>255</v>
      </c>
      <c r="H765" s="11" t="str">
        <f>IF(OR(M765&lt;=0,N765&lt;=0),"SKIPPED - NONPOSITIVE",IF(OR(M765&lt;L765,N765&lt;L765),"SKIPPED - BELOW MIN",IF(OR(M765&gt;J765,N765&gt;K765),"SKIPPED - EXCEEDS BASE",IF(COUNTIFS($M$712:M764,M765,$N$712:N764,N765)&gt;0,"SKIPPED - DUPLICATE","VALID - GENERATED"))))</f>
        <v>VALID - GENERATED</v>
      </c>
      <c r="I765" s="10" t="s">
        <v>950</v>
      </c>
      <c r="J765" s="12">
        <f>'05-ISO Reference'!$B$15</f>
        <v>26</v>
      </c>
      <c r="K765" s="12">
        <f>'05-ISO Reference'!$C$15</f>
        <v>37</v>
      </c>
      <c r="L765" s="12">
        <f>'01-Process Controls'!$G$5</f>
        <v>3</v>
      </c>
      <c r="M765" s="12">
        <f>ROUNDDOWN(MIN(J765,K765*'04-Variant Rules'!$D$58),0)</f>
        <v>20</v>
      </c>
      <c r="N765" s="12">
        <f>ROUNDDOWN(M765/'04-Variant Rules'!$D$58,0)</f>
        <v>35</v>
      </c>
      <c r="O765" s="9">
        <v>53</v>
      </c>
    </row>
    <row r="766" spans="1:15" ht="21" customHeight="1">
      <c r="A766" s="9" t="s">
        <v>1004</v>
      </c>
      <c r="B766" s="12">
        <f>IF(LEFT(H766,5)="VALID",M766,"")</f>
        <v>26</v>
      </c>
      <c r="C766" s="12">
        <f>IF(LEFT(H766,5)="VALID",N766,"")</f>
        <v>13</v>
      </c>
      <c r="D766" s="10" t="s">
        <v>82</v>
      </c>
      <c r="E766" s="10" t="s">
        <v>949</v>
      </c>
      <c r="F766" s="10" t="s">
        <v>257</v>
      </c>
      <c r="G766" s="10" t="s">
        <v>258</v>
      </c>
      <c r="H766" s="11" t="str">
        <f>IF(OR(M766&lt;=0,N766&lt;=0),"SKIPPED - NONPOSITIVE",IF(OR(M766&lt;L766,N766&lt;L766),"SKIPPED - BELOW MIN",IF(OR(M766&gt;J766,N766&gt;K766),"SKIPPED - EXCEEDS BASE",IF(COUNTIFS($M$712:M765,M766,$N$712:N765,N766)&gt;0,"SKIPPED - DUPLICATE","VALID - GENERATED"))))</f>
        <v>VALID - GENERATED</v>
      </c>
      <c r="I766" s="10" t="s">
        <v>950</v>
      </c>
      <c r="J766" s="12">
        <f>'05-ISO Reference'!$B$15</f>
        <v>26</v>
      </c>
      <c r="K766" s="12">
        <f>'05-ISO Reference'!$C$15</f>
        <v>37</v>
      </c>
      <c r="L766" s="12">
        <f>'01-Process Controls'!$G$5</f>
        <v>3</v>
      </c>
      <c r="M766" s="12">
        <f>ROUNDDOWN(MIN(J766,K766*'04-Variant Rules'!$D$59),0)</f>
        <v>26</v>
      </c>
      <c r="N766" s="12">
        <f>ROUNDDOWN(M766/'04-Variant Rules'!$D$59,0)</f>
        <v>13</v>
      </c>
      <c r="O766" s="9">
        <v>54</v>
      </c>
    </row>
    <row r="767" spans="1:15" ht="21" customHeight="1">
      <c r="A767" s="9" t="s">
        <v>1005</v>
      </c>
      <c r="B767" s="12">
        <f>IF(LEFT(H767,5)="VALID",M767,"")</f>
        <v>18</v>
      </c>
      <c r="C767" s="12">
        <f>IF(LEFT(H767,5)="VALID",N767,"")</f>
        <v>36</v>
      </c>
      <c r="D767" s="10" t="s">
        <v>82</v>
      </c>
      <c r="E767" s="10" t="s">
        <v>949</v>
      </c>
      <c r="F767" s="10" t="s">
        <v>260</v>
      </c>
      <c r="G767" s="10" t="s">
        <v>261</v>
      </c>
      <c r="H767" s="11" t="str">
        <f>IF(OR(M767&lt;=0,N767&lt;=0),"SKIPPED - NONPOSITIVE",IF(OR(M767&lt;L767,N767&lt;L767),"SKIPPED - BELOW MIN",IF(OR(M767&gt;J767,N767&gt;K767),"SKIPPED - EXCEEDS BASE",IF(COUNTIFS($M$712:M766,M767,$N$712:N766,N767)&gt;0,"SKIPPED - DUPLICATE","VALID - GENERATED"))))</f>
        <v>VALID - GENERATED</v>
      </c>
      <c r="I767" s="10" t="s">
        <v>950</v>
      </c>
      <c r="J767" s="12">
        <f>'05-ISO Reference'!$B$15</f>
        <v>26</v>
      </c>
      <c r="K767" s="12">
        <f>'05-ISO Reference'!$C$15</f>
        <v>37</v>
      </c>
      <c r="L767" s="12">
        <f>'01-Process Controls'!$G$5</f>
        <v>3</v>
      </c>
      <c r="M767" s="12">
        <f>ROUNDDOWN(MIN(J767,K767*'04-Variant Rules'!$D$60),0)</f>
        <v>18</v>
      </c>
      <c r="N767" s="12">
        <f>ROUNDDOWN(M767/'04-Variant Rules'!$D$60,0)</f>
        <v>36</v>
      </c>
      <c r="O767" s="9">
        <v>55</v>
      </c>
    </row>
    <row r="768" spans="1:15" ht="21" customHeight="1">
      <c r="A768" s="9" t="s">
        <v>1006</v>
      </c>
      <c r="B768" s="48"/>
      <c r="C768" s="48"/>
      <c r="D768" s="10" t="s">
        <v>263</v>
      </c>
      <c r="E768" s="10" t="s">
        <v>1007</v>
      </c>
      <c r="F768" s="10" t="s">
        <v>265</v>
      </c>
      <c r="G768" s="10" t="s">
        <v>266</v>
      </c>
      <c r="H768" s="11" t="str">
        <f>IF(AND(B768="",C768=""),"CUSTOM BLANK",IF(OR(B768="",C768=""),"ERROR - ENTER BOTH",IF(OR(B768&lt;=0,C768&lt;=0),"ERROR - NONPOSITIVE",IF(OR(B768&lt;L768,C768&lt;L768),"ERROR - BELOW MIN",IF(OR(AND(B768&lt;=J768,C768&lt;=K768),AND(B768&lt;=K768,C768&lt;=J768)),"VALID - CUSTOM","ERROR - EXCEEDS BASE")))))</f>
        <v>CUSTOM BLANK</v>
      </c>
      <c r="I768" s="10" t="s">
        <v>267</v>
      </c>
      <c r="J768" s="12">
        <f>'05-ISO Reference'!$B$15</f>
        <v>26</v>
      </c>
      <c r="K768" s="12">
        <f>'05-ISO Reference'!$C$15</f>
        <v>37</v>
      </c>
      <c r="L768" s="12">
        <f>'01-Process Controls'!$G$5</f>
        <v>3</v>
      </c>
      <c r="M768" s="8"/>
      <c r="N768" s="8"/>
    </row>
    <row r="769" spans="1:15" ht="21" customHeight="1">
      <c r="A769" s="9" t="s">
        <v>1008</v>
      </c>
      <c r="B769" s="48"/>
      <c r="C769" s="48"/>
      <c r="D769" s="10" t="s">
        <v>263</v>
      </c>
      <c r="E769" s="10" t="s">
        <v>1007</v>
      </c>
      <c r="F769" s="10" t="s">
        <v>265</v>
      </c>
      <c r="G769" s="10" t="s">
        <v>266</v>
      </c>
      <c r="H769" s="11" t="str">
        <f>IF(AND(B769="",C769=""),"CUSTOM BLANK",IF(OR(B769="",C769=""),"ERROR - ENTER BOTH",IF(OR(B769&lt;=0,C769&lt;=0),"ERROR - NONPOSITIVE",IF(OR(B769&lt;L769,C769&lt;L769),"ERROR - BELOW MIN",IF(OR(AND(B769&lt;=J769,C769&lt;=K769),AND(B769&lt;=K769,C769&lt;=J769)),"VALID - CUSTOM","ERROR - EXCEEDS BASE")))))</f>
        <v>CUSTOM BLANK</v>
      </c>
      <c r="I769" s="10" t="s">
        <v>267</v>
      </c>
      <c r="J769" s="12">
        <f>'05-ISO Reference'!$B$15</f>
        <v>26</v>
      </c>
      <c r="K769" s="12">
        <f>'05-ISO Reference'!$C$15</f>
        <v>37</v>
      </c>
      <c r="L769" s="12">
        <f>'01-Process Controls'!$G$5</f>
        <v>3</v>
      </c>
      <c r="M769" s="8"/>
      <c r="N769" s="8"/>
    </row>
    <row r="770" spans="1:15" ht="21" customHeight="1">
      <c r="A770" s="9" t="s">
        <v>1009</v>
      </c>
      <c r="B770" s="48"/>
      <c r="C770" s="48"/>
      <c r="D770" s="10" t="s">
        <v>263</v>
      </c>
      <c r="E770" s="10" t="s">
        <v>1007</v>
      </c>
      <c r="F770" s="10" t="s">
        <v>265</v>
      </c>
      <c r="G770" s="10" t="s">
        <v>266</v>
      </c>
      <c r="H770" s="11" t="str">
        <f>IF(AND(B770="",C770=""),"CUSTOM BLANK",IF(OR(B770="",C770=""),"ERROR - ENTER BOTH",IF(OR(B770&lt;=0,C770&lt;=0),"ERROR - NONPOSITIVE",IF(OR(B770&lt;L770,C770&lt;L770),"ERROR - BELOW MIN",IF(OR(AND(B770&lt;=J770,C770&lt;=K770),AND(B770&lt;=K770,C770&lt;=J770)),"VALID - CUSTOM","ERROR - EXCEEDS BASE")))))</f>
        <v>CUSTOM BLANK</v>
      </c>
      <c r="I770" s="10" t="s">
        <v>267</v>
      </c>
      <c r="J770" s="12">
        <f>'05-ISO Reference'!$B$15</f>
        <v>26</v>
      </c>
      <c r="K770" s="12">
        <f>'05-ISO Reference'!$C$15</f>
        <v>37</v>
      </c>
      <c r="L770" s="12">
        <f>'01-Process Controls'!$G$5</f>
        <v>3</v>
      </c>
      <c r="M770" s="8"/>
      <c r="N770" s="8"/>
    </row>
    <row r="771" spans="1:15" ht="21" customHeight="1">
      <c r="A771" s="9" t="s">
        <v>1010</v>
      </c>
      <c r="B771" s="48"/>
      <c r="C771" s="48"/>
      <c r="D771" s="10" t="s">
        <v>263</v>
      </c>
      <c r="E771" s="10" t="s">
        <v>1007</v>
      </c>
      <c r="F771" s="10" t="s">
        <v>265</v>
      </c>
      <c r="G771" s="10" t="s">
        <v>266</v>
      </c>
      <c r="H771" s="11" t="str">
        <f>IF(AND(B771="",C771=""),"CUSTOM BLANK",IF(OR(B771="",C771=""),"ERROR - ENTER BOTH",IF(OR(B771&lt;=0,C771&lt;=0),"ERROR - NONPOSITIVE",IF(OR(B771&lt;L771,C771&lt;L771),"ERROR - BELOW MIN",IF(OR(AND(B771&lt;=J771,C771&lt;=K771),AND(B771&lt;=K771,C771&lt;=J771)),"VALID - CUSTOM","ERROR - EXCEEDS BASE")))))</f>
        <v>CUSTOM BLANK</v>
      </c>
      <c r="I771" s="10" t="s">
        <v>267</v>
      </c>
      <c r="J771" s="12">
        <f>'05-ISO Reference'!$B$15</f>
        <v>26</v>
      </c>
      <c r="K771" s="12">
        <f>'05-ISO Reference'!$C$15</f>
        <v>37</v>
      </c>
      <c r="L771" s="12">
        <f>'01-Process Controls'!$G$5</f>
        <v>3</v>
      </c>
      <c r="M771" s="8"/>
      <c r="N771" s="8"/>
    </row>
    <row r="772" spans="1:15" ht="21" customHeight="1">
      <c r="A772" s="9" t="s">
        <v>1011</v>
      </c>
      <c r="B772" s="48"/>
      <c r="C772" s="48"/>
      <c r="D772" s="10" t="s">
        <v>263</v>
      </c>
      <c r="E772" s="10" t="s">
        <v>1007</v>
      </c>
      <c r="F772" s="10" t="s">
        <v>265</v>
      </c>
      <c r="G772" s="10" t="s">
        <v>266</v>
      </c>
      <c r="H772" s="11" t="str">
        <f>IF(AND(B772="",C772=""),"CUSTOM BLANK",IF(OR(B772="",C772=""),"ERROR - ENTER BOTH",IF(OR(B772&lt;=0,C772&lt;=0),"ERROR - NONPOSITIVE",IF(OR(B772&lt;L772,C772&lt;L772),"ERROR - BELOW MIN",IF(OR(AND(B772&lt;=J772,C772&lt;=K772),AND(B772&lt;=K772,C772&lt;=J772)),"VALID - CUSTOM","ERROR - EXCEEDS BASE")))))</f>
        <v>CUSTOM BLANK</v>
      </c>
      <c r="I772" s="10" t="s">
        <v>267</v>
      </c>
      <c r="J772" s="12">
        <f>'05-ISO Reference'!$B$15</f>
        <v>26</v>
      </c>
      <c r="K772" s="12">
        <f>'05-ISO Reference'!$C$15</f>
        <v>37</v>
      </c>
      <c r="L772" s="12">
        <f>'01-Process Controls'!$G$5</f>
        <v>3</v>
      </c>
      <c r="M772" s="8"/>
      <c r="N772" s="8"/>
    </row>
    <row r="773" spans="1:15" ht="21" customHeight="1">
      <c r="A773" s="9" t="s">
        <v>1012</v>
      </c>
      <c r="B773" s="48"/>
      <c r="C773" s="48"/>
      <c r="D773" s="10" t="s">
        <v>263</v>
      </c>
      <c r="E773" s="10" t="s">
        <v>1007</v>
      </c>
      <c r="F773" s="10" t="s">
        <v>265</v>
      </c>
      <c r="G773" s="10" t="s">
        <v>266</v>
      </c>
      <c r="H773" s="11" t="str">
        <f>IF(AND(B773="",C773=""),"CUSTOM BLANK",IF(OR(B773="",C773=""),"ERROR - ENTER BOTH",IF(OR(B773&lt;=0,C773&lt;=0),"ERROR - NONPOSITIVE",IF(OR(B773&lt;L773,C773&lt;L773),"ERROR - BELOW MIN",IF(OR(AND(B773&lt;=J773,C773&lt;=K773),AND(B773&lt;=K773,C773&lt;=J773)),"VALID - CUSTOM","ERROR - EXCEEDS BASE")))))</f>
        <v>CUSTOM BLANK</v>
      </c>
      <c r="I773" s="10" t="s">
        <v>267</v>
      </c>
      <c r="J773" s="12">
        <f>'05-ISO Reference'!$B$15</f>
        <v>26</v>
      </c>
      <c r="K773" s="12">
        <f>'05-ISO Reference'!$C$15</f>
        <v>37</v>
      </c>
      <c r="L773" s="12">
        <f>'01-Process Controls'!$G$5</f>
        <v>3</v>
      </c>
      <c r="M773" s="8"/>
      <c r="N773" s="8"/>
    </row>
    <row r="774" spans="1:15" ht="21" customHeight="1">
      <c r="A774" s="9" t="s">
        <v>1013</v>
      </c>
      <c r="B774" s="48"/>
      <c r="C774" s="48"/>
      <c r="D774" s="10" t="s">
        <v>263</v>
      </c>
      <c r="E774" s="10" t="s">
        <v>1007</v>
      </c>
      <c r="F774" s="10" t="s">
        <v>265</v>
      </c>
      <c r="G774" s="10" t="s">
        <v>266</v>
      </c>
      <c r="H774" s="11" t="str">
        <f>IF(AND(B774="",C774=""),"CUSTOM BLANK",IF(OR(B774="",C774=""),"ERROR - ENTER BOTH",IF(OR(B774&lt;=0,C774&lt;=0),"ERROR - NONPOSITIVE",IF(OR(B774&lt;L774,C774&lt;L774),"ERROR - BELOW MIN",IF(OR(AND(B774&lt;=J774,C774&lt;=K774),AND(B774&lt;=K774,C774&lt;=J774)),"VALID - CUSTOM","ERROR - EXCEEDS BASE")))))</f>
        <v>CUSTOM BLANK</v>
      </c>
      <c r="I774" s="10" t="s">
        <v>267</v>
      </c>
      <c r="J774" s="12">
        <f>'05-ISO Reference'!$B$15</f>
        <v>26</v>
      </c>
      <c r="K774" s="12">
        <f>'05-ISO Reference'!$C$15</f>
        <v>37</v>
      </c>
      <c r="L774" s="12">
        <f>'01-Process Controls'!$G$5</f>
        <v>3</v>
      </c>
      <c r="M774" s="8"/>
      <c r="N774" s="8"/>
    </row>
    <row r="775" spans="1:15" ht="21" customHeight="1">
      <c r="A775" s="9" t="s">
        <v>1014</v>
      </c>
      <c r="B775" s="48"/>
      <c r="C775" s="48"/>
      <c r="D775" s="10" t="s">
        <v>263</v>
      </c>
      <c r="E775" s="10" t="s">
        <v>1007</v>
      </c>
      <c r="F775" s="10" t="s">
        <v>265</v>
      </c>
      <c r="G775" s="10" t="s">
        <v>266</v>
      </c>
      <c r="H775" s="11" t="str">
        <f>IF(AND(B775="",C775=""),"CUSTOM BLANK",IF(OR(B775="",C775=""),"ERROR - ENTER BOTH",IF(OR(B775&lt;=0,C775&lt;=0),"ERROR - NONPOSITIVE",IF(OR(B775&lt;L775,C775&lt;L775),"ERROR - BELOW MIN",IF(OR(AND(B775&lt;=J775,C775&lt;=K775),AND(B775&lt;=K775,C775&lt;=J775)),"VALID - CUSTOM","ERROR - EXCEEDS BASE")))))</f>
        <v>CUSTOM BLANK</v>
      </c>
      <c r="I775" s="10" t="s">
        <v>267</v>
      </c>
      <c r="J775" s="12">
        <f>'05-ISO Reference'!$B$15</f>
        <v>26</v>
      </c>
      <c r="K775" s="12">
        <f>'05-ISO Reference'!$C$15</f>
        <v>37</v>
      </c>
      <c r="L775" s="12">
        <f>'01-Process Controls'!$G$5</f>
        <v>3</v>
      </c>
      <c r="M775" s="8"/>
      <c r="N775" s="8"/>
    </row>
    <row r="776" spans="1:15" ht="21" customHeight="1">
      <c r="A776" s="9" t="s">
        <v>1015</v>
      </c>
      <c r="B776" s="48"/>
      <c r="C776" s="48"/>
      <c r="D776" s="10" t="s">
        <v>263</v>
      </c>
      <c r="E776" s="10" t="s">
        <v>1007</v>
      </c>
      <c r="F776" s="10" t="s">
        <v>265</v>
      </c>
      <c r="G776" s="10" t="s">
        <v>266</v>
      </c>
      <c r="H776" s="11" t="str">
        <f>IF(AND(B776="",C776=""),"CUSTOM BLANK",IF(OR(B776="",C776=""),"ERROR - ENTER BOTH",IF(OR(B776&lt;=0,C776&lt;=0),"ERROR - NONPOSITIVE",IF(OR(B776&lt;L776,C776&lt;L776),"ERROR - BELOW MIN",IF(OR(AND(B776&lt;=J776,C776&lt;=K776),AND(B776&lt;=K776,C776&lt;=J776)),"VALID - CUSTOM","ERROR - EXCEEDS BASE")))))</f>
        <v>CUSTOM BLANK</v>
      </c>
      <c r="I776" s="10" t="s">
        <v>267</v>
      </c>
      <c r="J776" s="12">
        <f>'05-ISO Reference'!$B$15</f>
        <v>26</v>
      </c>
      <c r="K776" s="12">
        <f>'05-ISO Reference'!$C$15</f>
        <v>37</v>
      </c>
      <c r="L776" s="12">
        <f>'01-Process Controls'!$G$5</f>
        <v>3</v>
      </c>
      <c r="M776" s="8"/>
      <c r="N776" s="8"/>
    </row>
    <row r="777" spans="1:15" ht="21" customHeight="1">
      <c r="A777" s="9" t="s">
        <v>1016</v>
      </c>
      <c r="B777" s="48"/>
      <c r="C777" s="48"/>
      <c r="D777" s="10" t="s">
        <v>263</v>
      </c>
      <c r="E777" s="10" t="s">
        <v>1007</v>
      </c>
      <c r="F777" s="10" t="s">
        <v>265</v>
      </c>
      <c r="G777" s="10" t="s">
        <v>266</v>
      </c>
      <c r="H777" s="11" t="str">
        <f>IF(AND(B777="",C777=""),"CUSTOM BLANK",IF(OR(B777="",C777=""),"ERROR - ENTER BOTH",IF(OR(B777&lt;=0,C777&lt;=0),"ERROR - NONPOSITIVE",IF(OR(B777&lt;L777,C777&lt;L777),"ERROR - BELOW MIN",IF(OR(AND(B777&lt;=J777,C777&lt;=K777),AND(B777&lt;=K777,C777&lt;=J777)),"VALID - CUSTOM","ERROR - EXCEEDS BASE")))))</f>
        <v>CUSTOM BLANK</v>
      </c>
      <c r="I777" s="10" t="s">
        <v>267</v>
      </c>
      <c r="J777" s="12">
        <f>'05-ISO Reference'!$B$15</f>
        <v>26</v>
      </c>
      <c r="K777" s="12">
        <f>'05-ISO Reference'!$C$15</f>
        <v>37</v>
      </c>
      <c r="L777" s="12">
        <f>'01-Process Controls'!$G$5</f>
        <v>3</v>
      </c>
      <c r="M777" s="8"/>
      <c r="N777" s="8"/>
    </row>
    <row r="778" spans="1:15" ht="21" customHeight="1">
      <c r="A778" s="9" t="s">
        <v>1017</v>
      </c>
      <c r="B778" s="48"/>
      <c r="C778" s="48"/>
      <c r="D778" s="10" t="s">
        <v>263</v>
      </c>
      <c r="E778" s="10" t="s">
        <v>1007</v>
      </c>
      <c r="F778" s="10" t="s">
        <v>265</v>
      </c>
      <c r="G778" s="10" t="s">
        <v>266</v>
      </c>
      <c r="H778" s="11" t="str">
        <f>IF(AND(B778="",C778=""),"CUSTOM BLANK",IF(OR(B778="",C778=""),"ERROR - ENTER BOTH",IF(OR(B778&lt;=0,C778&lt;=0),"ERROR - NONPOSITIVE",IF(OR(B778&lt;L778,C778&lt;L778),"ERROR - BELOW MIN",IF(OR(AND(B778&lt;=J778,C778&lt;=K778),AND(B778&lt;=K778,C778&lt;=J778)),"VALID - CUSTOM","ERROR - EXCEEDS BASE")))))</f>
        <v>CUSTOM BLANK</v>
      </c>
      <c r="I778" s="10" t="s">
        <v>267</v>
      </c>
      <c r="J778" s="12">
        <f>'05-ISO Reference'!$B$15</f>
        <v>26</v>
      </c>
      <c r="K778" s="12">
        <f>'05-ISO Reference'!$C$15</f>
        <v>37</v>
      </c>
      <c r="L778" s="12">
        <f>'01-Process Controls'!$G$5</f>
        <v>3</v>
      </c>
      <c r="M778" s="8"/>
      <c r="N778" s="8"/>
    </row>
    <row r="779" spans="1:15" ht="21" customHeight="1">
      <c r="A779" s="9" t="s">
        <v>1018</v>
      </c>
      <c r="B779" s="48"/>
      <c r="C779" s="48"/>
      <c r="D779" s="10" t="s">
        <v>263</v>
      </c>
      <c r="E779" s="10" t="s">
        <v>1007</v>
      </c>
      <c r="F779" s="10" t="s">
        <v>265</v>
      </c>
      <c r="G779" s="10" t="s">
        <v>266</v>
      </c>
      <c r="H779" s="11" t="str">
        <f>IF(AND(B779="",C779=""),"CUSTOM BLANK",IF(OR(B779="",C779=""),"ERROR - ENTER BOTH",IF(OR(B779&lt;=0,C779&lt;=0),"ERROR - NONPOSITIVE",IF(OR(B779&lt;L779,C779&lt;L779),"ERROR - BELOW MIN",IF(OR(AND(B779&lt;=J779,C779&lt;=K779),AND(B779&lt;=K779,C779&lt;=J779)),"VALID - CUSTOM","ERROR - EXCEEDS BASE")))))</f>
        <v>CUSTOM BLANK</v>
      </c>
      <c r="I779" s="10" t="s">
        <v>267</v>
      </c>
      <c r="J779" s="12">
        <f>'05-ISO Reference'!$B$15</f>
        <v>26</v>
      </c>
      <c r="K779" s="12">
        <f>'05-ISO Reference'!$C$15</f>
        <v>37</v>
      </c>
      <c r="L779" s="12">
        <f>'01-Process Controls'!$G$5</f>
        <v>3</v>
      </c>
      <c r="M779" s="8"/>
      <c r="N779" s="8"/>
    </row>
    <row r="780" spans="1:15" ht="21" customHeight="1">
      <c r="A780" s="9" t="s">
        <v>1019</v>
      </c>
      <c r="B780" s="48"/>
      <c r="C780" s="48"/>
      <c r="D780" s="10" t="s">
        <v>263</v>
      </c>
      <c r="E780" s="10" t="s">
        <v>1007</v>
      </c>
      <c r="F780" s="10" t="s">
        <v>265</v>
      </c>
      <c r="G780" s="10" t="s">
        <v>266</v>
      </c>
      <c r="H780" s="11" t="str">
        <f>IF(AND(B780="",C780=""),"CUSTOM BLANK",IF(OR(B780="",C780=""),"ERROR - ENTER BOTH",IF(OR(B780&lt;=0,C780&lt;=0),"ERROR - NONPOSITIVE",IF(OR(B780&lt;L780,C780&lt;L780),"ERROR - BELOW MIN",IF(OR(AND(B780&lt;=J780,C780&lt;=K780),AND(B780&lt;=K780,C780&lt;=J780)),"VALID - CUSTOM","ERROR - EXCEEDS BASE")))))</f>
        <v>CUSTOM BLANK</v>
      </c>
      <c r="I780" s="10" t="s">
        <v>267</v>
      </c>
      <c r="J780" s="12">
        <f>'05-ISO Reference'!$B$15</f>
        <v>26</v>
      </c>
      <c r="K780" s="12">
        <f>'05-ISO Reference'!$C$15</f>
        <v>37</v>
      </c>
      <c r="L780" s="12">
        <f>'01-Process Controls'!$G$5</f>
        <v>3</v>
      </c>
      <c r="M780" s="8"/>
      <c r="N780" s="8"/>
    </row>
    <row r="781" spans="1:15" ht="21" customHeight="1">
      <c r="A781" s="9" t="s">
        <v>1020</v>
      </c>
      <c r="B781" s="48"/>
      <c r="C781" s="48"/>
      <c r="D781" s="10" t="s">
        <v>263</v>
      </c>
      <c r="E781" s="10" t="s">
        <v>1007</v>
      </c>
      <c r="F781" s="10" t="s">
        <v>265</v>
      </c>
      <c r="G781" s="10" t="s">
        <v>266</v>
      </c>
      <c r="H781" s="11" t="str">
        <f>IF(AND(B781="",C781=""),"CUSTOM BLANK",IF(OR(B781="",C781=""),"ERROR - ENTER BOTH",IF(OR(B781&lt;=0,C781&lt;=0),"ERROR - NONPOSITIVE",IF(OR(B781&lt;L781,C781&lt;L781),"ERROR - BELOW MIN",IF(OR(AND(B781&lt;=J781,C781&lt;=K781),AND(B781&lt;=K781,C781&lt;=J781)),"VALID - CUSTOM","ERROR - EXCEEDS BASE")))))</f>
        <v>CUSTOM BLANK</v>
      </c>
      <c r="I781" s="10" t="s">
        <v>267</v>
      </c>
      <c r="J781" s="12">
        <f>'05-ISO Reference'!$B$15</f>
        <v>26</v>
      </c>
      <c r="K781" s="12">
        <f>'05-ISO Reference'!$C$15</f>
        <v>37</v>
      </c>
      <c r="L781" s="12">
        <f>'01-Process Controls'!$G$5</f>
        <v>3</v>
      </c>
      <c r="M781" s="8"/>
      <c r="N781" s="8"/>
    </row>
    <row r="782" spans="1:15" ht="21" customHeight="1">
      <c r="A782" s="9" t="s">
        <v>1021</v>
      </c>
      <c r="B782" s="48"/>
      <c r="C782" s="48"/>
      <c r="D782" s="10" t="s">
        <v>263</v>
      </c>
      <c r="E782" s="10" t="s">
        <v>1007</v>
      </c>
      <c r="F782" s="10" t="s">
        <v>265</v>
      </c>
      <c r="G782" s="10" t="s">
        <v>266</v>
      </c>
      <c r="H782" s="11" t="str">
        <f>IF(AND(B782="",C782=""),"CUSTOM BLANK",IF(OR(B782="",C782=""),"ERROR - ENTER BOTH",IF(OR(B782&lt;=0,C782&lt;=0),"ERROR - NONPOSITIVE",IF(OR(B782&lt;L782,C782&lt;L782),"ERROR - BELOW MIN",IF(OR(AND(B782&lt;=J782,C782&lt;=K782),AND(B782&lt;=K782,C782&lt;=J782)),"VALID - CUSTOM","ERROR - EXCEEDS BASE")))))</f>
        <v>CUSTOM BLANK</v>
      </c>
      <c r="I782" s="10" t="s">
        <v>267</v>
      </c>
      <c r="J782" s="12">
        <f>'05-ISO Reference'!$B$15</f>
        <v>26</v>
      </c>
      <c r="K782" s="12">
        <f>'05-ISO Reference'!$C$15</f>
        <v>37</v>
      </c>
      <c r="L782" s="12">
        <f>'01-Process Controls'!$G$5</f>
        <v>3</v>
      </c>
      <c r="M782" s="8"/>
      <c r="N782" s="8"/>
    </row>
    <row r="783" spans="1:15" ht="21" customHeight="1">
      <c r="A783" s="44" t="s">
        <v>1022</v>
      </c>
      <c r="B783" s="45">
        <f>IF(LEFT(H783,5)="VALID",M783,"")</f>
        <v>18</v>
      </c>
      <c r="C783" s="45">
        <f>IF(LEFT(H783,5)="VALID",N783,"")</f>
        <v>26</v>
      </c>
      <c r="D783" s="46" t="s">
        <v>82</v>
      </c>
      <c r="E783" s="46" t="s">
        <v>1023</v>
      </c>
      <c r="F783" s="46" t="s">
        <v>122</v>
      </c>
      <c r="G783" s="46" t="s">
        <v>123</v>
      </c>
      <c r="H783" s="47" t="str">
        <f>"VALID - BASE"</f>
        <v>VALID - BASE</v>
      </c>
      <c r="I783" s="46" t="s">
        <v>1024</v>
      </c>
      <c r="J783" s="12">
        <f>'05-ISO Reference'!$B$16</f>
        <v>18</v>
      </c>
      <c r="K783" s="12">
        <f>'05-ISO Reference'!$C$16</f>
        <v>26</v>
      </c>
      <c r="L783" s="12">
        <f>'01-Process Controls'!$G$5</f>
        <v>3</v>
      </c>
      <c r="M783" s="12">
        <f>ROUNDDOWN(J783,0)</f>
        <v>18</v>
      </c>
      <c r="N783" s="12">
        <f>ROUNDDOWN(K783,0)</f>
        <v>26</v>
      </c>
      <c r="O783" s="9">
        <v>0</v>
      </c>
    </row>
    <row r="784" spans="1:15" ht="21" customHeight="1">
      <c r="A784" s="9" t="s">
        <v>1025</v>
      </c>
      <c r="B784" s="12">
        <f>IF(LEFT(H784,5)="VALID",M784,"")</f>
        <v>9</v>
      </c>
      <c r="C784" s="12">
        <f>IF(LEFT(H784,5)="VALID",N784,"")</f>
        <v>26</v>
      </c>
      <c r="D784" s="10" t="s">
        <v>82</v>
      </c>
      <c r="E784" s="10" t="s">
        <v>1023</v>
      </c>
      <c r="F784" s="10" t="s">
        <v>126</v>
      </c>
      <c r="G784" s="10" t="s">
        <v>127</v>
      </c>
      <c r="H784" s="11" t="str">
        <f>IF(OR(M784&lt;=0,N784&lt;=0),"SKIPPED - NONPOSITIVE",IF(OR(M784&lt;L784,N784&lt;L784),"SKIPPED - BELOW MIN",IF(OR(M784&gt;J784,N784&gt;K784),"SKIPPED - EXCEEDS BASE",IF(COUNTIFS($M$783:M783,M784,$N$783:N783,N784)&gt;0,"SKIPPED - DUPLICATE","VALID - GENERATED"))))</f>
        <v>VALID - GENERATED</v>
      </c>
      <c r="I784" s="10" t="s">
        <v>1024</v>
      </c>
      <c r="J784" s="12">
        <f>'05-ISO Reference'!$B$16</f>
        <v>18</v>
      </c>
      <c r="K784" s="12">
        <f>'05-ISO Reference'!$C$16</f>
        <v>26</v>
      </c>
      <c r="L784" s="12">
        <f>'01-Process Controls'!$G$5</f>
        <v>3</v>
      </c>
      <c r="M784" s="12">
        <f>ROUNDDOWN(J784*'04-Variant Rules'!$D$6,0)</f>
        <v>9</v>
      </c>
      <c r="N784" s="12">
        <f>ROUNDDOWN(K784,0)</f>
        <v>26</v>
      </c>
      <c r="O784" s="9">
        <v>1</v>
      </c>
    </row>
    <row r="785" spans="1:15" ht="21" customHeight="1">
      <c r="A785" s="9" t="s">
        <v>1026</v>
      </c>
      <c r="B785" s="12">
        <f>IF(LEFT(H785,5)="VALID",M785,"")</f>
        <v>6</v>
      </c>
      <c r="C785" s="12">
        <f>IF(LEFT(H785,5)="VALID",N785,"")</f>
        <v>26</v>
      </c>
      <c r="D785" s="10" t="s">
        <v>82</v>
      </c>
      <c r="E785" s="10" t="s">
        <v>1023</v>
      </c>
      <c r="F785" s="10" t="s">
        <v>129</v>
      </c>
      <c r="G785" s="10" t="s">
        <v>130</v>
      </c>
      <c r="H785" s="11" t="str">
        <f>IF(OR(M785&lt;=0,N785&lt;=0),"SKIPPED - NONPOSITIVE",IF(OR(M785&lt;L785,N785&lt;L785),"SKIPPED - BELOW MIN",IF(OR(M785&gt;J785,N785&gt;K785),"SKIPPED - EXCEEDS BASE",IF(COUNTIFS($M$783:M784,M785,$N$783:N784,N785)&gt;0,"SKIPPED - DUPLICATE","VALID - GENERATED"))))</f>
        <v>VALID - GENERATED</v>
      </c>
      <c r="I785" s="10" t="s">
        <v>1024</v>
      </c>
      <c r="J785" s="12">
        <f>'05-ISO Reference'!$B$16</f>
        <v>18</v>
      </c>
      <c r="K785" s="12">
        <f>'05-ISO Reference'!$C$16</f>
        <v>26</v>
      </c>
      <c r="L785" s="12">
        <f>'01-Process Controls'!$G$5</f>
        <v>3</v>
      </c>
      <c r="M785" s="12">
        <f>ROUNDDOWN(J785*'04-Variant Rules'!$D$7,0)</f>
        <v>6</v>
      </c>
      <c r="N785" s="12">
        <f>ROUNDDOWN(K785,0)</f>
        <v>26</v>
      </c>
      <c r="O785" s="9">
        <v>2</v>
      </c>
    </row>
    <row r="786" spans="1:15" ht="21" customHeight="1">
      <c r="A786" s="9" t="s">
        <v>1027</v>
      </c>
      <c r="B786" s="12">
        <f>IF(LEFT(H786,5)="VALID",M786,"")</f>
        <v>4</v>
      </c>
      <c r="C786" s="12">
        <f>IF(LEFT(H786,5)="VALID",N786,"")</f>
        <v>26</v>
      </c>
      <c r="D786" s="10" t="s">
        <v>82</v>
      </c>
      <c r="E786" s="10" t="s">
        <v>1023</v>
      </c>
      <c r="F786" s="10" t="s">
        <v>132</v>
      </c>
      <c r="G786" s="10" t="s">
        <v>133</v>
      </c>
      <c r="H786" s="11" t="str">
        <f>IF(OR(M786&lt;=0,N786&lt;=0),"SKIPPED - NONPOSITIVE",IF(OR(M786&lt;L786,N786&lt;L786),"SKIPPED - BELOW MIN",IF(OR(M786&gt;J786,N786&gt;K786),"SKIPPED - EXCEEDS BASE",IF(COUNTIFS($M$783:M785,M786,$N$783:N785,N786)&gt;0,"SKIPPED - DUPLICATE","VALID - GENERATED"))))</f>
        <v>VALID - GENERATED</v>
      </c>
      <c r="I786" s="10" t="s">
        <v>1024</v>
      </c>
      <c r="J786" s="12">
        <f>'05-ISO Reference'!$B$16</f>
        <v>18</v>
      </c>
      <c r="K786" s="12">
        <f>'05-ISO Reference'!$C$16</f>
        <v>26</v>
      </c>
      <c r="L786" s="12">
        <f>'01-Process Controls'!$G$5</f>
        <v>3</v>
      </c>
      <c r="M786" s="12">
        <f>ROUNDDOWN(J786*'04-Variant Rules'!$D$8,0)</f>
        <v>4</v>
      </c>
      <c r="N786" s="12">
        <f>ROUNDDOWN(K786,0)</f>
        <v>26</v>
      </c>
      <c r="O786" s="9">
        <v>3</v>
      </c>
    </row>
    <row r="787" spans="1:15" ht="21" customHeight="1">
      <c r="A787" s="9" t="s">
        <v>1028</v>
      </c>
      <c r="B787" s="12">
        <f>IF(LEFT(H787,5)="VALID",M787,"")</f>
        <v>12</v>
      </c>
      <c r="C787" s="12">
        <f>IF(LEFT(H787,5)="VALID",N787,"")</f>
        <v>26</v>
      </c>
      <c r="D787" s="10" t="s">
        <v>82</v>
      </c>
      <c r="E787" s="10" t="s">
        <v>1023</v>
      </c>
      <c r="F787" s="10" t="s">
        <v>135</v>
      </c>
      <c r="G787" s="10" t="s">
        <v>136</v>
      </c>
      <c r="H787" s="11" t="str">
        <f>IF(OR(M787&lt;=0,N787&lt;=0),"SKIPPED - NONPOSITIVE",IF(OR(M787&lt;L787,N787&lt;L787),"SKIPPED - BELOW MIN",IF(OR(M787&gt;J787,N787&gt;K787),"SKIPPED - EXCEEDS BASE",IF(COUNTIFS($M$783:M786,M787,$N$783:N786,N787)&gt;0,"SKIPPED - DUPLICATE","VALID - GENERATED"))))</f>
        <v>VALID - GENERATED</v>
      </c>
      <c r="I787" s="10" t="s">
        <v>1024</v>
      </c>
      <c r="J787" s="12">
        <f>'05-ISO Reference'!$B$16</f>
        <v>18</v>
      </c>
      <c r="K787" s="12">
        <f>'05-ISO Reference'!$C$16</f>
        <v>26</v>
      </c>
      <c r="L787" s="12">
        <f>'01-Process Controls'!$G$5</f>
        <v>3</v>
      </c>
      <c r="M787" s="12">
        <f>ROUNDDOWN(J787*'04-Variant Rules'!$D$9,0)</f>
        <v>12</v>
      </c>
      <c r="N787" s="12">
        <f>ROUNDDOWN(K787,0)</f>
        <v>26</v>
      </c>
      <c r="O787" s="9">
        <v>4</v>
      </c>
    </row>
    <row r="788" spans="1:15" ht="21" customHeight="1">
      <c r="A788" s="9" t="s">
        <v>1029</v>
      </c>
      <c r="B788" s="12">
        <f>IF(LEFT(H788,5)="VALID",M788,"")</f>
        <v>13</v>
      </c>
      <c r="C788" s="12">
        <f>IF(LEFT(H788,5)="VALID",N788,"")</f>
        <v>26</v>
      </c>
      <c r="D788" s="10" t="s">
        <v>82</v>
      </c>
      <c r="E788" s="10" t="s">
        <v>1023</v>
      </c>
      <c r="F788" s="10" t="s">
        <v>138</v>
      </c>
      <c r="G788" s="10" t="s">
        <v>139</v>
      </c>
      <c r="H788" s="11" t="str">
        <f>IF(OR(M788&lt;=0,N788&lt;=0),"SKIPPED - NONPOSITIVE",IF(OR(M788&lt;L788,N788&lt;L788),"SKIPPED - BELOW MIN",IF(OR(M788&gt;J788,N788&gt;K788),"SKIPPED - EXCEEDS BASE",IF(COUNTIFS($M$783:M787,M788,$N$783:N787,N788)&gt;0,"SKIPPED - DUPLICATE","VALID - GENERATED"))))</f>
        <v>VALID - GENERATED</v>
      </c>
      <c r="I788" s="10" t="s">
        <v>1024</v>
      </c>
      <c r="J788" s="12">
        <f>'05-ISO Reference'!$B$16</f>
        <v>18</v>
      </c>
      <c r="K788" s="12">
        <f>'05-ISO Reference'!$C$16</f>
        <v>26</v>
      </c>
      <c r="L788" s="12">
        <f>'01-Process Controls'!$G$5</f>
        <v>3</v>
      </c>
      <c r="M788" s="12">
        <f>ROUNDDOWN(J788*'04-Variant Rules'!$D$10,0)</f>
        <v>13</v>
      </c>
      <c r="N788" s="12">
        <f>ROUNDDOWN(K788,0)</f>
        <v>26</v>
      </c>
      <c r="O788" s="9">
        <v>5</v>
      </c>
    </row>
    <row r="789" spans="1:15" ht="21" customHeight="1">
      <c r="A789" s="9" t="s">
        <v>1030</v>
      </c>
      <c r="B789" s="12">
        <f>IF(LEFT(H789,5)="VALID",M789,"")</f>
        <v>18</v>
      </c>
      <c r="C789" s="12">
        <f>IF(LEFT(H789,5)="VALID",N789,"")</f>
        <v>13</v>
      </c>
      <c r="D789" s="10" t="s">
        <v>82</v>
      </c>
      <c r="E789" s="10" t="s">
        <v>1023</v>
      </c>
      <c r="F789" s="10" t="s">
        <v>141</v>
      </c>
      <c r="G789" s="10" t="s">
        <v>142</v>
      </c>
      <c r="H789" s="11" t="str">
        <f>IF(OR(M789&lt;=0,N789&lt;=0),"SKIPPED - NONPOSITIVE",IF(OR(M789&lt;L789,N789&lt;L789),"SKIPPED - BELOW MIN",IF(OR(M789&gt;J789,N789&gt;K789),"SKIPPED - EXCEEDS BASE",IF(COUNTIFS($M$783:M788,M789,$N$783:N788,N789)&gt;0,"SKIPPED - DUPLICATE","VALID - GENERATED"))))</f>
        <v>VALID - GENERATED</v>
      </c>
      <c r="I789" s="10" t="s">
        <v>1024</v>
      </c>
      <c r="J789" s="12">
        <f>'05-ISO Reference'!$B$16</f>
        <v>18</v>
      </c>
      <c r="K789" s="12">
        <f>'05-ISO Reference'!$C$16</f>
        <v>26</v>
      </c>
      <c r="L789" s="12">
        <f>'01-Process Controls'!$G$5</f>
        <v>3</v>
      </c>
      <c r="M789" s="12">
        <f>ROUNDDOWN(J789,0)</f>
        <v>18</v>
      </c>
      <c r="N789" s="12">
        <f>ROUNDDOWN(K789*'04-Variant Rules'!$D$11,0)</f>
        <v>13</v>
      </c>
      <c r="O789" s="9">
        <v>6</v>
      </c>
    </row>
    <row r="790" spans="1:15" ht="21" customHeight="1">
      <c r="A790" s="9" t="s">
        <v>1031</v>
      </c>
      <c r="B790" s="12">
        <f>IF(LEFT(H790,5)="VALID",M790,"")</f>
        <v>18</v>
      </c>
      <c r="C790" s="12">
        <f>IF(LEFT(H790,5)="VALID",N790,"")</f>
        <v>8</v>
      </c>
      <c r="D790" s="10" t="s">
        <v>82</v>
      </c>
      <c r="E790" s="10" t="s">
        <v>1023</v>
      </c>
      <c r="F790" s="10" t="s">
        <v>144</v>
      </c>
      <c r="G790" s="10" t="s">
        <v>145</v>
      </c>
      <c r="H790" s="11" t="str">
        <f>IF(OR(M790&lt;=0,N790&lt;=0),"SKIPPED - NONPOSITIVE",IF(OR(M790&lt;L790,N790&lt;L790),"SKIPPED - BELOW MIN",IF(OR(M790&gt;J790,N790&gt;K790),"SKIPPED - EXCEEDS BASE",IF(COUNTIFS($M$783:M789,M790,$N$783:N789,N790)&gt;0,"SKIPPED - DUPLICATE","VALID - GENERATED"))))</f>
        <v>VALID - GENERATED</v>
      </c>
      <c r="I790" s="10" t="s">
        <v>1024</v>
      </c>
      <c r="J790" s="12">
        <f>'05-ISO Reference'!$B$16</f>
        <v>18</v>
      </c>
      <c r="K790" s="12">
        <f>'05-ISO Reference'!$C$16</f>
        <v>26</v>
      </c>
      <c r="L790" s="12">
        <f>'01-Process Controls'!$G$5</f>
        <v>3</v>
      </c>
      <c r="M790" s="12">
        <f>ROUNDDOWN(J790,0)</f>
        <v>18</v>
      </c>
      <c r="N790" s="12">
        <f>ROUNDDOWN(K790*'04-Variant Rules'!$D$12,0)</f>
        <v>8</v>
      </c>
      <c r="O790" s="9">
        <v>7</v>
      </c>
    </row>
    <row r="791" spans="1:15" ht="21" customHeight="1">
      <c r="A791" s="9" t="s">
        <v>1032</v>
      </c>
      <c r="B791" s="12">
        <f>IF(LEFT(H791,5)="VALID",M791,"")</f>
        <v>18</v>
      </c>
      <c r="C791" s="12">
        <f>IF(LEFT(H791,5)="VALID",N791,"")</f>
        <v>6</v>
      </c>
      <c r="D791" s="10" t="s">
        <v>82</v>
      </c>
      <c r="E791" s="10" t="s">
        <v>1023</v>
      </c>
      <c r="F791" s="10" t="s">
        <v>147</v>
      </c>
      <c r="G791" s="10" t="s">
        <v>148</v>
      </c>
      <c r="H791" s="11" t="str">
        <f>IF(OR(M791&lt;=0,N791&lt;=0),"SKIPPED - NONPOSITIVE",IF(OR(M791&lt;L791,N791&lt;L791),"SKIPPED - BELOW MIN",IF(OR(M791&gt;J791,N791&gt;K791),"SKIPPED - EXCEEDS BASE",IF(COUNTIFS($M$783:M790,M791,$N$783:N790,N791)&gt;0,"SKIPPED - DUPLICATE","VALID - GENERATED"))))</f>
        <v>VALID - GENERATED</v>
      </c>
      <c r="I791" s="10" t="s">
        <v>1024</v>
      </c>
      <c r="J791" s="12">
        <f>'05-ISO Reference'!$B$16</f>
        <v>18</v>
      </c>
      <c r="K791" s="12">
        <f>'05-ISO Reference'!$C$16</f>
        <v>26</v>
      </c>
      <c r="L791" s="12">
        <f>'01-Process Controls'!$G$5</f>
        <v>3</v>
      </c>
      <c r="M791" s="12">
        <f>ROUNDDOWN(J791,0)</f>
        <v>18</v>
      </c>
      <c r="N791" s="12">
        <f>ROUNDDOWN(K791*'04-Variant Rules'!$D$13,0)</f>
        <v>6</v>
      </c>
      <c r="O791" s="9">
        <v>8</v>
      </c>
    </row>
    <row r="792" spans="1:15" ht="21" customHeight="1">
      <c r="A792" s="9" t="s">
        <v>1033</v>
      </c>
      <c r="B792" s="12">
        <f>IF(LEFT(H792,5)="VALID",M792,"")</f>
        <v>18</v>
      </c>
      <c r="C792" s="12">
        <f>IF(LEFT(H792,5)="VALID",N792,"")</f>
        <v>17</v>
      </c>
      <c r="D792" s="10" t="s">
        <v>82</v>
      </c>
      <c r="E792" s="10" t="s">
        <v>1023</v>
      </c>
      <c r="F792" s="10" t="s">
        <v>150</v>
      </c>
      <c r="G792" s="10" t="s">
        <v>151</v>
      </c>
      <c r="H792" s="11" t="str">
        <f>IF(OR(M792&lt;=0,N792&lt;=0),"SKIPPED - NONPOSITIVE",IF(OR(M792&lt;L792,N792&lt;L792),"SKIPPED - BELOW MIN",IF(OR(M792&gt;J792,N792&gt;K792),"SKIPPED - EXCEEDS BASE",IF(COUNTIFS($M$783:M791,M792,$N$783:N791,N792)&gt;0,"SKIPPED - DUPLICATE","VALID - GENERATED"))))</f>
        <v>VALID - GENERATED</v>
      </c>
      <c r="I792" s="10" t="s">
        <v>1024</v>
      </c>
      <c r="J792" s="12">
        <f>'05-ISO Reference'!$B$16</f>
        <v>18</v>
      </c>
      <c r="K792" s="12">
        <f>'05-ISO Reference'!$C$16</f>
        <v>26</v>
      </c>
      <c r="L792" s="12">
        <f>'01-Process Controls'!$G$5</f>
        <v>3</v>
      </c>
      <c r="M792" s="12">
        <f>ROUNDDOWN(J792,0)</f>
        <v>18</v>
      </c>
      <c r="N792" s="12">
        <f>ROUNDDOWN(K792*'04-Variant Rules'!$D$14,0)</f>
        <v>17</v>
      </c>
      <c r="O792" s="9">
        <v>9</v>
      </c>
    </row>
    <row r="793" spans="1:15" ht="21" customHeight="1">
      <c r="A793" s="9" t="s">
        <v>1034</v>
      </c>
      <c r="B793" s="12">
        <f>IF(LEFT(H793,5)="VALID",M793,"")</f>
        <v>18</v>
      </c>
      <c r="C793" s="12">
        <f>IF(LEFT(H793,5)="VALID",N793,"")</f>
        <v>19</v>
      </c>
      <c r="D793" s="10" t="s">
        <v>82</v>
      </c>
      <c r="E793" s="10" t="s">
        <v>1023</v>
      </c>
      <c r="F793" s="10" t="s">
        <v>153</v>
      </c>
      <c r="G793" s="10" t="s">
        <v>154</v>
      </c>
      <c r="H793" s="11" t="str">
        <f>IF(OR(M793&lt;=0,N793&lt;=0),"SKIPPED - NONPOSITIVE",IF(OR(M793&lt;L793,N793&lt;L793),"SKIPPED - BELOW MIN",IF(OR(M793&gt;J793,N793&gt;K793),"SKIPPED - EXCEEDS BASE",IF(COUNTIFS($M$783:M792,M793,$N$783:N792,N793)&gt;0,"SKIPPED - DUPLICATE","VALID - GENERATED"))))</f>
        <v>VALID - GENERATED</v>
      </c>
      <c r="I793" s="10" t="s">
        <v>1024</v>
      </c>
      <c r="J793" s="12">
        <f>'05-ISO Reference'!$B$16</f>
        <v>18</v>
      </c>
      <c r="K793" s="12">
        <f>'05-ISO Reference'!$C$16</f>
        <v>26</v>
      </c>
      <c r="L793" s="12">
        <f>'01-Process Controls'!$G$5</f>
        <v>3</v>
      </c>
      <c r="M793" s="12">
        <f>ROUNDDOWN(J793,0)</f>
        <v>18</v>
      </c>
      <c r="N793" s="12">
        <f>ROUNDDOWN(K793*'04-Variant Rules'!$D$15,0)</f>
        <v>19</v>
      </c>
      <c r="O793" s="9">
        <v>10</v>
      </c>
    </row>
    <row r="794" spans="1:15" ht="21" customHeight="1">
      <c r="A794" s="9" t="s">
        <v>1035</v>
      </c>
      <c r="B794" s="12">
        <f>IF(LEFT(H794,5)="VALID",M794,"")</f>
        <v>9</v>
      </c>
      <c r="C794" s="12">
        <f>IF(LEFT(H794,5)="VALID",N794,"")</f>
        <v>13</v>
      </c>
      <c r="D794" s="10" t="s">
        <v>82</v>
      </c>
      <c r="E794" s="10" t="s">
        <v>1023</v>
      </c>
      <c r="F794" s="10" t="s">
        <v>156</v>
      </c>
      <c r="G794" s="10" t="s">
        <v>157</v>
      </c>
      <c r="H794" s="11" t="str">
        <f>IF(OR(M794&lt;=0,N794&lt;=0),"SKIPPED - NONPOSITIVE",IF(OR(M794&lt;L794,N794&lt;L794),"SKIPPED - BELOW MIN",IF(OR(M794&gt;J794,N794&gt;K794),"SKIPPED - EXCEEDS BASE",IF(COUNTIFS($M$783:M793,M794,$N$783:N793,N794)&gt;0,"SKIPPED - DUPLICATE","VALID - GENERATED"))))</f>
        <v>VALID - GENERATED</v>
      </c>
      <c r="I794" s="10" t="s">
        <v>1024</v>
      </c>
      <c r="J794" s="12">
        <f>'05-ISO Reference'!$B$16</f>
        <v>18</v>
      </c>
      <c r="K794" s="12">
        <f>'05-ISO Reference'!$C$16</f>
        <v>26</v>
      </c>
      <c r="L794" s="12">
        <f>'01-Process Controls'!$G$5</f>
        <v>3</v>
      </c>
      <c r="M794" s="12">
        <f>ROUNDDOWN(J794*'04-Variant Rules'!$D$16,0)</f>
        <v>9</v>
      </c>
      <c r="N794" s="12">
        <f>ROUNDDOWN(K794*'04-Variant Rules'!$E$16,0)</f>
        <v>13</v>
      </c>
      <c r="O794" s="9">
        <v>11</v>
      </c>
    </row>
    <row r="795" spans="1:15" ht="21" customHeight="1">
      <c r="A795" s="9" t="s">
        <v>1036</v>
      </c>
      <c r="B795" s="12">
        <f>IF(LEFT(H795,5)="VALID",M795,"")</f>
        <v>6</v>
      </c>
      <c r="C795" s="12">
        <f>IF(LEFT(H795,5)="VALID",N795,"")</f>
        <v>8</v>
      </c>
      <c r="D795" s="10" t="s">
        <v>82</v>
      </c>
      <c r="E795" s="10" t="s">
        <v>1023</v>
      </c>
      <c r="F795" s="10" t="s">
        <v>159</v>
      </c>
      <c r="G795" s="10" t="s">
        <v>160</v>
      </c>
      <c r="H795" s="11" t="str">
        <f>IF(OR(M795&lt;=0,N795&lt;=0),"SKIPPED - NONPOSITIVE",IF(OR(M795&lt;L795,N795&lt;L795),"SKIPPED - BELOW MIN",IF(OR(M795&gt;J795,N795&gt;K795),"SKIPPED - EXCEEDS BASE",IF(COUNTIFS($M$783:M794,M795,$N$783:N794,N795)&gt;0,"SKIPPED - DUPLICATE","VALID - GENERATED"))))</f>
        <v>VALID - GENERATED</v>
      </c>
      <c r="I795" s="10" t="s">
        <v>1024</v>
      </c>
      <c r="J795" s="12">
        <f>'05-ISO Reference'!$B$16</f>
        <v>18</v>
      </c>
      <c r="K795" s="12">
        <f>'05-ISO Reference'!$C$16</f>
        <v>26</v>
      </c>
      <c r="L795" s="12">
        <f>'01-Process Controls'!$G$5</f>
        <v>3</v>
      </c>
      <c r="M795" s="12">
        <f>ROUNDDOWN(J795*'04-Variant Rules'!$D$17,0)</f>
        <v>6</v>
      </c>
      <c r="N795" s="12">
        <f>ROUNDDOWN(K795*'04-Variant Rules'!$E$17,0)</f>
        <v>8</v>
      </c>
      <c r="O795" s="9">
        <v>12</v>
      </c>
    </row>
    <row r="796" spans="1:15" ht="21" customHeight="1">
      <c r="A796" s="9" t="s">
        <v>1037</v>
      </c>
      <c r="B796" s="12">
        <f>IF(LEFT(H796,5)="VALID",M796,"")</f>
        <v>4</v>
      </c>
      <c r="C796" s="12">
        <f>IF(LEFT(H796,5)="VALID",N796,"")</f>
        <v>6</v>
      </c>
      <c r="D796" s="10" t="s">
        <v>82</v>
      </c>
      <c r="E796" s="10" t="s">
        <v>1023</v>
      </c>
      <c r="F796" s="10" t="s">
        <v>162</v>
      </c>
      <c r="G796" s="10" t="s">
        <v>163</v>
      </c>
      <c r="H796" s="11" t="str">
        <f>IF(OR(M796&lt;=0,N796&lt;=0),"SKIPPED - NONPOSITIVE",IF(OR(M796&lt;L796,N796&lt;L796),"SKIPPED - BELOW MIN",IF(OR(M796&gt;J796,N796&gt;K796),"SKIPPED - EXCEEDS BASE",IF(COUNTIFS($M$783:M795,M796,$N$783:N795,N796)&gt;0,"SKIPPED - DUPLICATE","VALID - GENERATED"))))</f>
        <v>VALID - GENERATED</v>
      </c>
      <c r="I796" s="10" t="s">
        <v>1024</v>
      </c>
      <c r="J796" s="12">
        <f>'05-ISO Reference'!$B$16</f>
        <v>18</v>
      </c>
      <c r="K796" s="12">
        <f>'05-ISO Reference'!$C$16</f>
        <v>26</v>
      </c>
      <c r="L796" s="12">
        <f>'01-Process Controls'!$G$5</f>
        <v>3</v>
      </c>
      <c r="M796" s="12">
        <f>ROUNDDOWN(J796*'04-Variant Rules'!$D$18,0)</f>
        <v>4</v>
      </c>
      <c r="N796" s="12">
        <f>ROUNDDOWN(K796*'04-Variant Rules'!$E$18,0)</f>
        <v>6</v>
      </c>
      <c r="O796" s="9">
        <v>13</v>
      </c>
    </row>
    <row r="797" spans="1:15" ht="21" customHeight="1">
      <c r="A797" s="9" t="s">
        <v>1038</v>
      </c>
      <c r="B797" s="12">
        <f>IF(LEFT(H797,5)="VALID",M797,"")</f>
        <v>9</v>
      </c>
      <c r="C797" s="12">
        <f>IF(LEFT(H797,5)="VALID",N797,"")</f>
        <v>8</v>
      </c>
      <c r="D797" s="10" t="s">
        <v>82</v>
      </c>
      <c r="E797" s="10" t="s">
        <v>1023</v>
      </c>
      <c r="F797" s="10" t="s">
        <v>165</v>
      </c>
      <c r="G797" s="10" t="s">
        <v>166</v>
      </c>
      <c r="H797" s="11" t="str">
        <f>IF(OR(M797&lt;=0,N797&lt;=0),"SKIPPED - NONPOSITIVE",IF(OR(M797&lt;L797,N797&lt;L797),"SKIPPED - BELOW MIN",IF(OR(M797&gt;J797,N797&gt;K797),"SKIPPED - EXCEEDS BASE",IF(COUNTIFS($M$783:M796,M797,$N$783:N796,N797)&gt;0,"SKIPPED - DUPLICATE","VALID - GENERATED"))))</f>
        <v>VALID - GENERATED</v>
      </c>
      <c r="I797" s="10" t="s">
        <v>1024</v>
      </c>
      <c r="J797" s="12">
        <f>'05-ISO Reference'!$B$16</f>
        <v>18</v>
      </c>
      <c r="K797" s="12">
        <f>'05-ISO Reference'!$C$16</f>
        <v>26</v>
      </c>
      <c r="L797" s="12">
        <f>'01-Process Controls'!$G$5</f>
        <v>3</v>
      </c>
      <c r="M797" s="12">
        <f>ROUNDDOWN(J797*'04-Variant Rules'!$D$19,0)</f>
        <v>9</v>
      </c>
      <c r="N797" s="12">
        <f>ROUNDDOWN(K797*'04-Variant Rules'!$E$19,0)</f>
        <v>8</v>
      </c>
      <c r="O797" s="9">
        <v>14</v>
      </c>
    </row>
    <row r="798" spans="1:15" ht="21" customHeight="1">
      <c r="A798" s="9" t="s">
        <v>1039</v>
      </c>
      <c r="B798" s="12">
        <f>IF(LEFT(H798,5)="VALID",M798,"")</f>
        <v>6</v>
      </c>
      <c r="C798" s="12">
        <f>IF(LEFT(H798,5)="VALID",N798,"")</f>
        <v>13</v>
      </c>
      <c r="D798" s="10" t="s">
        <v>82</v>
      </c>
      <c r="E798" s="10" t="s">
        <v>1023</v>
      </c>
      <c r="F798" s="10" t="s">
        <v>168</v>
      </c>
      <c r="G798" s="10" t="s">
        <v>166</v>
      </c>
      <c r="H798" s="11" t="str">
        <f>IF(OR(M798&lt;=0,N798&lt;=0),"SKIPPED - NONPOSITIVE",IF(OR(M798&lt;L798,N798&lt;L798),"SKIPPED - BELOW MIN",IF(OR(M798&gt;J798,N798&gt;K798),"SKIPPED - EXCEEDS BASE",IF(COUNTIFS($M$783:M797,M798,$N$783:N797,N798)&gt;0,"SKIPPED - DUPLICATE","VALID - GENERATED"))))</f>
        <v>VALID - GENERATED</v>
      </c>
      <c r="I798" s="10" t="s">
        <v>1024</v>
      </c>
      <c r="J798" s="12">
        <f>'05-ISO Reference'!$B$16</f>
        <v>18</v>
      </c>
      <c r="K798" s="12">
        <f>'05-ISO Reference'!$C$16</f>
        <v>26</v>
      </c>
      <c r="L798" s="12">
        <f>'01-Process Controls'!$G$5</f>
        <v>3</v>
      </c>
      <c r="M798" s="12">
        <f>ROUNDDOWN(J798*'04-Variant Rules'!$D$20,0)</f>
        <v>6</v>
      </c>
      <c r="N798" s="12">
        <f>ROUNDDOWN(K798*'04-Variant Rules'!$E$20,0)</f>
        <v>13</v>
      </c>
      <c r="O798" s="9">
        <v>15</v>
      </c>
    </row>
    <row r="799" spans="1:15" ht="21" customHeight="1">
      <c r="A799" s="9" t="s">
        <v>1040</v>
      </c>
      <c r="B799" s="12">
        <f>IF(LEFT(H799,5)="VALID",M799,"")</f>
        <v>9</v>
      </c>
      <c r="C799" s="12">
        <f>IF(LEFT(H799,5)="VALID",N799,"")</f>
        <v>6</v>
      </c>
      <c r="D799" s="10" t="s">
        <v>82</v>
      </c>
      <c r="E799" s="10" t="s">
        <v>1023</v>
      </c>
      <c r="F799" s="10" t="s">
        <v>170</v>
      </c>
      <c r="G799" s="10" t="s">
        <v>166</v>
      </c>
      <c r="H799" s="11" t="str">
        <f>IF(OR(M799&lt;=0,N799&lt;=0),"SKIPPED - NONPOSITIVE",IF(OR(M799&lt;L799,N799&lt;L799),"SKIPPED - BELOW MIN",IF(OR(M799&gt;J799,N799&gt;K799),"SKIPPED - EXCEEDS BASE",IF(COUNTIFS($M$783:M798,M799,$N$783:N798,N799)&gt;0,"SKIPPED - DUPLICATE","VALID - GENERATED"))))</f>
        <v>VALID - GENERATED</v>
      </c>
      <c r="I799" s="10" t="s">
        <v>1024</v>
      </c>
      <c r="J799" s="12">
        <f>'05-ISO Reference'!$B$16</f>
        <v>18</v>
      </c>
      <c r="K799" s="12">
        <f>'05-ISO Reference'!$C$16</f>
        <v>26</v>
      </c>
      <c r="L799" s="12">
        <f>'01-Process Controls'!$G$5</f>
        <v>3</v>
      </c>
      <c r="M799" s="12">
        <f>ROUNDDOWN(J799*'04-Variant Rules'!$D$21,0)</f>
        <v>9</v>
      </c>
      <c r="N799" s="12">
        <f>ROUNDDOWN(K799*'04-Variant Rules'!$E$21,0)</f>
        <v>6</v>
      </c>
      <c r="O799" s="9">
        <v>16</v>
      </c>
    </row>
    <row r="800" spans="1:15" ht="21" customHeight="1">
      <c r="A800" s="9" t="s">
        <v>1041</v>
      </c>
      <c r="B800" s="12">
        <f>IF(LEFT(H800,5)="VALID",M800,"")</f>
        <v>4</v>
      </c>
      <c r="C800" s="12">
        <f>IF(LEFT(H800,5)="VALID",N800,"")</f>
        <v>13</v>
      </c>
      <c r="D800" s="10" t="s">
        <v>82</v>
      </c>
      <c r="E800" s="10" t="s">
        <v>1023</v>
      </c>
      <c r="F800" s="10" t="s">
        <v>172</v>
      </c>
      <c r="G800" s="10" t="s">
        <v>166</v>
      </c>
      <c r="H800" s="11" t="str">
        <f>IF(OR(M800&lt;=0,N800&lt;=0),"SKIPPED - NONPOSITIVE",IF(OR(M800&lt;L800,N800&lt;L800),"SKIPPED - BELOW MIN",IF(OR(M800&gt;J800,N800&gt;K800),"SKIPPED - EXCEEDS BASE",IF(COUNTIFS($M$783:M799,M800,$N$783:N799,N800)&gt;0,"SKIPPED - DUPLICATE","VALID - GENERATED"))))</f>
        <v>VALID - GENERATED</v>
      </c>
      <c r="I800" s="10" t="s">
        <v>1024</v>
      </c>
      <c r="J800" s="12">
        <f>'05-ISO Reference'!$B$16</f>
        <v>18</v>
      </c>
      <c r="K800" s="12">
        <f>'05-ISO Reference'!$C$16</f>
        <v>26</v>
      </c>
      <c r="L800" s="12">
        <f>'01-Process Controls'!$G$5</f>
        <v>3</v>
      </c>
      <c r="M800" s="12">
        <f>ROUNDDOWN(J800*'04-Variant Rules'!$D$22,0)</f>
        <v>4</v>
      </c>
      <c r="N800" s="12">
        <f>ROUNDDOWN(K800*'04-Variant Rules'!$E$22,0)</f>
        <v>13</v>
      </c>
      <c r="O800" s="9">
        <v>17</v>
      </c>
    </row>
    <row r="801" spans="1:15" ht="21" customHeight="1">
      <c r="A801" s="9" t="s">
        <v>1042</v>
      </c>
      <c r="B801" s="12">
        <f>IF(LEFT(H801,5)="VALID",M801,"")</f>
        <v>12</v>
      </c>
      <c r="C801" s="12">
        <f>IF(LEFT(H801,5)="VALID",N801,"")</f>
        <v>13</v>
      </c>
      <c r="D801" s="10" t="s">
        <v>82</v>
      </c>
      <c r="E801" s="10" t="s">
        <v>1023</v>
      </c>
      <c r="F801" s="10" t="s">
        <v>174</v>
      </c>
      <c r="G801" s="10" t="s">
        <v>166</v>
      </c>
      <c r="H801" s="11" t="str">
        <f>IF(OR(M801&lt;=0,N801&lt;=0),"SKIPPED - NONPOSITIVE",IF(OR(M801&lt;L801,N801&lt;L801),"SKIPPED - BELOW MIN",IF(OR(M801&gt;J801,N801&gt;K801),"SKIPPED - EXCEEDS BASE",IF(COUNTIFS($M$783:M800,M801,$N$783:N800,N801)&gt;0,"SKIPPED - DUPLICATE","VALID - GENERATED"))))</f>
        <v>VALID - GENERATED</v>
      </c>
      <c r="I801" s="10" t="s">
        <v>1024</v>
      </c>
      <c r="J801" s="12">
        <f>'05-ISO Reference'!$B$16</f>
        <v>18</v>
      </c>
      <c r="K801" s="12">
        <f>'05-ISO Reference'!$C$16</f>
        <v>26</v>
      </c>
      <c r="L801" s="12">
        <f>'01-Process Controls'!$G$5</f>
        <v>3</v>
      </c>
      <c r="M801" s="12">
        <f>ROUNDDOWN(J801*'04-Variant Rules'!$D$23,0)</f>
        <v>12</v>
      </c>
      <c r="N801" s="12">
        <f>ROUNDDOWN(K801*'04-Variant Rules'!$E$23,0)</f>
        <v>13</v>
      </c>
      <c r="O801" s="9">
        <v>18</v>
      </c>
    </row>
    <row r="802" spans="1:15" ht="21" customHeight="1">
      <c r="A802" s="9" t="s">
        <v>1043</v>
      </c>
      <c r="B802" s="12">
        <f>IF(LEFT(H802,5)="VALID",M802,"")</f>
        <v>9</v>
      </c>
      <c r="C802" s="12">
        <f>IF(LEFT(H802,5)="VALID",N802,"")</f>
        <v>17</v>
      </c>
      <c r="D802" s="10" t="s">
        <v>82</v>
      </c>
      <c r="E802" s="10" t="s">
        <v>1023</v>
      </c>
      <c r="F802" s="10" t="s">
        <v>176</v>
      </c>
      <c r="G802" s="10" t="s">
        <v>166</v>
      </c>
      <c r="H802" s="11" t="str">
        <f>IF(OR(M802&lt;=0,N802&lt;=0),"SKIPPED - NONPOSITIVE",IF(OR(M802&lt;L802,N802&lt;L802),"SKIPPED - BELOW MIN",IF(OR(M802&gt;J802,N802&gt;K802),"SKIPPED - EXCEEDS BASE",IF(COUNTIFS($M$783:M801,M802,$N$783:N801,N802)&gt;0,"SKIPPED - DUPLICATE","VALID - GENERATED"))))</f>
        <v>VALID - GENERATED</v>
      </c>
      <c r="I802" s="10" t="s">
        <v>1024</v>
      </c>
      <c r="J802" s="12">
        <f>'05-ISO Reference'!$B$16</f>
        <v>18</v>
      </c>
      <c r="K802" s="12">
        <f>'05-ISO Reference'!$C$16</f>
        <v>26</v>
      </c>
      <c r="L802" s="12">
        <f>'01-Process Controls'!$G$5</f>
        <v>3</v>
      </c>
      <c r="M802" s="12">
        <f>ROUNDDOWN(J802*'04-Variant Rules'!$D$24,0)</f>
        <v>9</v>
      </c>
      <c r="N802" s="12">
        <f>ROUNDDOWN(K802*'04-Variant Rules'!$E$24,0)</f>
        <v>17</v>
      </c>
      <c r="O802" s="9">
        <v>19</v>
      </c>
    </row>
    <row r="803" spans="1:15" ht="21" customHeight="1">
      <c r="A803" s="9" t="s">
        <v>1044</v>
      </c>
      <c r="B803" s="12">
        <f>IF(LEFT(H803,5)="VALID",M803,"")</f>
        <v>13</v>
      </c>
      <c r="C803" s="12">
        <f>IF(LEFT(H803,5)="VALID",N803,"")</f>
        <v>13</v>
      </c>
      <c r="D803" s="10" t="s">
        <v>82</v>
      </c>
      <c r="E803" s="10" t="s">
        <v>1023</v>
      </c>
      <c r="F803" s="10" t="s">
        <v>178</v>
      </c>
      <c r="G803" s="10" t="s">
        <v>166</v>
      </c>
      <c r="H803" s="11" t="str">
        <f>IF(OR(M803&lt;=0,N803&lt;=0),"SKIPPED - NONPOSITIVE",IF(OR(M803&lt;L803,N803&lt;L803),"SKIPPED - BELOW MIN",IF(OR(M803&gt;J803,N803&gt;K803),"SKIPPED - EXCEEDS BASE",IF(COUNTIFS($M$783:M802,M803,$N$783:N802,N803)&gt;0,"SKIPPED - DUPLICATE","VALID - GENERATED"))))</f>
        <v>VALID - GENERATED</v>
      </c>
      <c r="I803" s="10" t="s">
        <v>1024</v>
      </c>
      <c r="J803" s="12">
        <f>'05-ISO Reference'!$B$16</f>
        <v>18</v>
      </c>
      <c r="K803" s="12">
        <f>'05-ISO Reference'!$C$16</f>
        <v>26</v>
      </c>
      <c r="L803" s="12">
        <f>'01-Process Controls'!$G$5</f>
        <v>3</v>
      </c>
      <c r="M803" s="12">
        <f>ROUNDDOWN(J803*'04-Variant Rules'!$D$25,0)</f>
        <v>13</v>
      </c>
      <c r="N803" s="12">
        <f>ROUNDDOWN(K803*'04-Variant Rules'!$E$25,0)</f>
        <v>13</v>
      </c>
      <c r="O803" s="9">
        <v>20</v>
      </c>
    </row>
    <row r="804" spans="1:15" ht="21" customHeight="1">
      <c r="A804" s="9" t="s">
        <v>1045</v>
      </c>
      <c r="B804" s="12">
        <f>IF(LEFT(H804,5)="VALID",M804,"")</f>
        <v>9</v>
      </c>
      <c r="C804" s="12">
        <f>IF(LEFT(H804,5)="VALID",N804,"")</f>
        <v>19</v>
      </c>
      <c r="D804" s="10" t="s">
        <v>82</v>
      </c>
      <c r="E804" s="10" t="s">
        <v>1023</v>
      </c>
      <c r="F804" s="10" t="s">
        <v>180</v>
      </c>
      <c r="G804" s="10" t="s">
        <v>166</v>
      </c>
      <c r="H804" s="11" t="str">
        <f>IF(OR(M804&lt;=0,N804&lt;=0),"SKIPPED - NONPOSITIVE",IF(OR(M804&lt;L804,N804&lt;L804),"SKIPPED - BELOW MIN",IF(OR(M804&gt;J804,N804&gt;K804),"SKIPPED - EXCEEDS BASE",IF(COUNTIFS($M$783:M803,M804,$N$783:N803,N804)&gt;0,"SKIPPED - DUPLICATE","VALID - GENERATED"))))</f>
        <v>VALID - GENERATED</v>
      </c>
      <c r="I804" s="10" t="s">
        <v>1024</v>
      </c>
      <c r="J804" s="12">
        <f>'05-ISO Reference'!$B$16</f>
        <v>18</v>
      </c>
      <c r="K804" s="12">
        <f>'05-ISO Reference'!$C$16</f>
        <v>26</v>
      </c>
      <c r="L804" s="12">
        <f>'01-Process Controls'!$G$5</f>
        <v>3</v>
      </c>
      <c r="M804" s="12">
        <f>ROUNDDOWN(J804*'04-Variant Rules'!$D$26,0)</f>
        <v>9</v>
      </c>
      <c r="N804" s="12">
        <f>ROUNDDOWN(K804*'04-Variant Rules'!$E$26,0)</f>
        <v>19</v>
      </c>
      <c r="O804" s="9">
        <v>21</v>
      </c>
    </row>
    <row r="805" spans="1:15" ht="21" customHeight="1">
      <c r="A805" s="9" t="s">
        <v>1046</v>
      </c>
      <c r="B805" s="12">
        <f>IF(LEFT(H805,5)="VALID",M805,"")</f>
        <v>17</v>
      </c>
      <c r="C805" s="12">
        <f>IF(LEFT(H805,5)="VALID",N805,"")</f>
        <v>24</v>
      </c>
      <c r="D805" s="10" t="s">
        <v>82</v>
      </c>
      <c r="E805" s="10" t="s">
        <v>1023</v>
      </c>
      <c r="F805" s="10" t="s">
        <v>182</v>
      </c>
      <c r="G805" s="10" t="s">
        <v>183</v>
      </c>
      <c r="H805" s="11" t="str">
        <f>IF(OR(M805&lt;=0,N805&lt;=0),"SKIPPED - NONPOSITIVE",IF(OR(M805&lt;L805,N805&lt;L805),"SKIPPED - BELOW MIN",IF(OR(M805&gt;J805,N805&gt;K805),"SKIPPED - EXCEEDS BASE",IF(COUNTIFS($M$783:M804,M805,$N$783:N804,N805)&gt;0,"SKIPPED - DUPLICATE","VALID - GENERATED"))))</f>
        <v>VALID - GENERATED</v>
      </c>
      <c r="I805" s="10" t="s">
        <v>1024</v>
      </c>
      <c r="J805" s="12">
        <f>'05-ISO Reference'!$B$16</f>
        <v>18</v>
      </c>
      <c r="K805" s="12">
        <f>'05-ISO Reference'!$C$16</f>
        <v>26</v>
      </c>
      <c r="L805" s="12">
        <f>'01-Process Controls'!$G$5</f>
        <v>3</v>
      </c>
      <c r="M805" s="12">
        <f>ROUNDDOWN(J805*'04-Variant Rules'!$D$27,0)</f>
        <v>17</v>
      </c>
      <c r="N805" s="12">
        <f>ROUNDDOWN(K805*'04-Variant Rules'!$E$27,0)</f>
        <v>24</v>
      </c>
      <c r="O805" s="9">
        <v>22</v>
      </c>
    </row>
    <row r="806" spans="1:15" ht="21" customHeight="1">
      <c r="A806" s="9" t="s">
        <v>1047</v>
      </c>
      <c r="B806" s="12">
        <f>IF(LEFT(H806,5)="VALID",M806,"")</f>
        <v>16</v>
      </c>
      <c r="C806" s="12">
        <f>IF(LEFT(H806,5)="VALID",N806,"")</f>
        <v>23</v>
      </c>
      <c r="D806" s="10" t="s">
        <v>82</v>
      </c>
      <c r="E806" s="10" t="s">
        <v>1023</v>
      </c>
      <c r="F806" s="10" t="s">
        <v>185</v>
      </c>
      <c r="G806" s="10" t="s">
        <v>186</v>
      </c>
      <c r="H806" s="11" t="str">
        <f>IF(OR(M806&lt;=0,N806&lt;=0),"SKIPPED - NONPOSITIVE",IF(OR(M806&lt;L806,N806&lt;L806),"SKIPPED - BELOW MIN",IF(OR(M806&gt;J806,N806&gt;K806),"SKIPPED - EXCEEDS BASE",IF(COUNTIFS($M$783:M805,M806,$N$783:N805,N806)&gt;0,"SKIPPED - DUPLICATE","VALID - GENERATED"))))</f>
        <v>VALID - GENERATED</v>
      </c>
      <c r="I806" s="10" t="s">
        <v>1024</v>
      </c>
      <c r="J806" s="12">
        <f>'05-ISO Reference'!$B$16</f>
        <v>18</v>
      </c>
      <c r="K806" s="12">
        <f>'05-ISO Reference'!$C$16</f>
        <v>26</v>
      </c>
      <c r="L806" s="12">
        <f>'01-Process Controls'!$G$5</f>
        <v>3</v>
      </c>
      <c r="M806" s="12">
        <f>ROUNDDOWN(J806*'04-Variant Rules'!$D$28,0)</f>
        <v>16</v>
      </c>
      <c r="N806" s="12">
        <f>ROUNDDOWN(K806*'04-Variant Rules'!$E$28,0)</f>
        <v>23</v>
      </c>
      <c r="O806" s="9">
        <v>23</v>
      </c>
    </row>
    <row r="807" spans="1:15" ht="21" customHeight="1">
      <c r="A807" s="9" t="s">
        <v>1048</v>
      </c>
      <c r="B807" s="12">
        <f>IF(LEFT(H807,5)="VALID",M807,"")</f>
        <v>15</v>
      </c>
      <c r="C807" s="12">
        <f>IF(LEFT(H807,5)="VALID",N807,"")</f>
        <v>22</v>
      </c>
      <c r="D807" s="10" t="s">
        <v>82</v>
      </c>
      <c r="E807" s="10" t="s">
        <v>1023</v>
      </c>
      <c r="F807" s="10" t="s">
        <v>188</v>
      </c>
      <c r="G807" s="10" t="s">
        <v>186</v>
      </c>
      <c r="H807" s="11" t="str">
        <f>IF(OR(M807&lt;=0,N807&lt;=0),"SKIPPED - NONPOSITIVE",IF(OR(M807&lt;L807,N807&lt;L807),"SKIPPED - BELOW MIN",IF(OR(M807&gt;J807,N807&gt;K807),"SKIPPED - EXCEEDS BASE",IF(COUNTIFS($M$783:M806,M807,$N$783:N806,N807)&gt;0,"SKIPPED - DUPLICATE","VALID - GENERATED"))))</f>
        <v>VALID - GENERATED</v>
      </c>
      <c r="I807" s="10" t="s">
        <v>1024</v>
      </c>
      <c r="J807" s="12">
        <f>'05-ISO Reference'!$B$16</f>
        <v>18</v>
      </c>
      <c r="K807" s="12">
        <f>'05-ISO Reference'!$C$16</f>
        <v>26</v>
      </c>
      <c r="L807" s="12">
        <f>'01-Process Controls'!$G$5</f>
        <v>3</v>
      </c>
      <c r="M807" s="12">
        <f>ROUNDDOWN(J807*'04-Variant Rules'!$D$29,0)</f>
        <v>15</v>
      </c>
      <c r="N807" s="12">
        <f>ROUNDDOWN(K807*'04-Variant Rules'!$E$29,0)</f>
        <v>22</v>
      </c>
      <c r="O807" s="9">
        <v>24</v>
      </c>
    </row>
    <row r="808" spans="1:15" ht="21" customHeight="1">
      <c r="A808" s="9" t="s">
        <v>1049</v>
      </c>
      <c r="B808" s="12">
        <f>IF(LEFT(H808,5)="VALID",M808,"")</f>
        <v>14</v>
      </c>
      <c r="C808" s="12">
        <f>IF(LEFT(H808,5)="VALID",N808,"")</f>
        <v>20</v>
      </c>
      <c r="D808" s="10" t="s">
        <v>82</v>
      </c>
      <c r="E808" s="10" t="s">
        <v>1023</v>
      </c>
      <c r="F808" s="10" t="s">
        <v>190</v>
      </c>
      <c r="G808" s="10" t="s">
        <v>186</v>
      </c>
      <c r="H808" s="11" t="str">
        <f>IF(OR(M808&lt;=0,N808&lt;=0),"SKIPPED - NONPOSITIVE",IF(OR(M808&lt;L808,N808&lt;L808),"SKIPPED - BELOW MIN",IF(OR(M808&gt;J808,N808&gt;K808),"SKIPPED - EXCEEDS BASE",IF(COUNTIFS($M$783:M807,M808,$N$783:N807,N808)&gt;0,"SKIPPED - DUPLICATE","VALID - GENERATED"))))</f>
        <v>VALID - GENERATED</v>
      </c>
      <c r="I808" s="10" t="s">
        <v>1024</v>
      </c>
      <c r="J808" s="12">
        <f>'05-ISO Reference'!$B$16</f>
        <v>18</v>
      </c>
      <c r="K808" s="12">
        <f>'05-ISO Reference'!$C$16</f>
        <v>26</v>
      </c>
      <c r="L808" s="12">
        <f>'01-Process Controls'!$G$5</f>
        <v>3</v>
      </c>
      <c r="M808" s="12">
        <f>ROUNDDOWN(J808*'04-Variant Rules'!$D$30,0)</f>
        <v>14</v>
      </c>
      <c r="N808" s="12">
        <f>ROUNDDOWN(K808*'04-Variant Rules'!$E$30,0)</f>
        <v>20</v>
      </c>
      <c r="O808" s="9">
        <v>25</v>
      </c>
    </row>
    <row r="809" spans="1:15" ht="21" customHeight="1">
      <c r="A809" s="9" t="s">
        <v>1050</v>
      </c>
      <c r="B809" s="12">
        <f>IF(LEFT(H809,5)="VALID",M809,"")</f>
        <v>13</v>
      </c>
      <c r="C809" s="12">
        <f>IF(LEFT(H809,5)="VALID",N809,"")</f>
        <v>19</v>
      </c>
      <c r="D809" s="10" t="s">
        <v>82</v>
      </c>
      <c r="E809" s="10" t="s">
        <v>1023</v>
      </c>
      <c r="F809" s="10" t="s">
        <v>192</v>
      </c>
      <c r="G809" s="10" t="s">
        <v>186</v>
      </c>
      <c r="H809" s="11" t="str">
        <f>IF(OR(M809&lt;=0,N809&lt;=0),"SKIPPED - NONPOSITIVE",IF(OR(M809&lt;L809,N809&lt;L809),"SKIPPED - BELOW MIN",IF(OR(M809&gt;J809,N809&gt;K809),"SKIPPED - EXCEEDS BASE",IF(COUNTIFS($M$783:M808,M809,$N$783:N808,N809)&gt;0,"SKIPPED - DUPLICATE","VALID - GENERATED"))))</f>
        <v>VALID - GENERATED</v>
      </c>
      <c r="I809" s="10" t="s">
        <v>1024</v>
      </c>
      <c r="J809" s="12">
        <f>'05-ISO Reference'!$B$16</f>
        <v>18</v>
      </c>
      <c r="K809" s="12">
        <f>'05-ISO Reference'!$C$16</f>
        <v>26</v>
      </c>
      <c r="L809" s="12">
        <f>'01-Process Controls'!$G$5</f>
        <v>3</v>
      </c>
      <c r="M809" s="12">
        <f>ROUNDDOWN(J809*'04-Variant Rules'!$D$31,0)</f>
        <v>13</v>
      </c>
      <c r="N809" s="12">
        <f>ROUNDDOWN(K809*'04-Variant Rules'!$E$31,0)</f>
        <v>19</v>
      </c>
      <c r="O809" s="9">
        <v>26</v>
      </c>
    </row>
    <row r="810" spans="1:15" ht="21" customHeight="1">
      <c r="A810" s="9" t="s">
        <v>1051</v>
      </c>
      <c r="B810" s="12">
        <f>IF(LEFT(H810,5)="VALID",M810,"")</f>
        <v>12</v>
      </c>
      <c r="C810" s="12">
        <f>IF(LEFT(H810,5)="VALID",N810,"")</f>
        <v>18</v>
      </c>
      <c r="D810" s="10" t="s">
        <v>82</v>
      </c>
      <c r="E810" s="10" t="s">
        <v>1023</v>
      </c>
      <c r="F810" s="10" t="s">
        <v>194</v>
      </c>
      <c r="G810" s="10" t="s">
        <v>186</v>
      </c>
      <c r="H810" s="11" t="str">
        <f>IF(OR(M810&lt;=0,N810&lt;=0),"SKIPPED - NONPOSITIVE",IF(OR(M810&lt;L810,N810&lt;L810),"SKIPPED - BELOW MIN",IF(OR(M810&gt;J810,N810&gt;K810),"SKIPPED - EXCEEDS BASE",IF(COUNTIFS($M$783:M809,M810,$N$783:N809,N810)&gt;0,"SKIPPED - DUPLICATE","VALID - GENERATED"))))</f>
        <v>VALID - GENERATED</v>
      </c>
      <c r="I810" s="10" t="s">
        <v>1024</v>
      </c>
      <c r="J810" s="12">
        <f>'05-ISO Reference'!$B$16</f>
        <v>18</v>
      </c>
      <c r="K810" s="12">
        <f>'05-ISO Reference'!$C$16</f>
        <v>26</v>
      </c>
      <c r="L810" s="12">
        <f>'01-Process Controls'!$G$5</f>
        <v>3</v>
      </c>
      <c r="M810" s="12">
        <f>ROUNDDOWN(J810*'04-Variant Rules'!$D$32,0)</f>
        <v>12</v>
      </c>
      <c r="N810" s="12">
        <f>ROUNDDOWN(K810*'04-Variant Rules'!$E$32,0)</f>
        <v>18</v>
      </c>
      <c r="O810" s="9">
        <v>27</v>
      </c>
    </row>
    <row r="811" spans="1:15" ht="21" customHeight="1">
      <c r="A811" s="9" t="s">
        <v>1052</v>
      </c>
      <c r="B811" s="12">
        <f>IF(LEFT(H811,5)="VALID",M811,"")</f>
        <v>12</v>
      </c>
      <c r="C811" s="12">
        <f>IF(LEFT(H811,5)="VALID",N811,"")</f>
        <v>17</v>
      </c>
      <c r="D811" s="10" t="s">
        <v>82</v>
      </c>
      <c r="E811" s="10" t="s">
        <v>1023</v>
      </c>
      <c r="F811" s="10" t="s">
        <v>196</v>
      </c>
      <c r="G811" s="10" t="s">
        <v>186</v>
      </c>
      <c r="H811" s="11" t="str">
        <f>IF(OR(M811&lt;=0,N811&lt;=0),"SKIPPED - NONPOSITIVE",IF(OR(M811&lt;L811,N811&lt;L811),"SKIPPED - BELOW MIN",IF(OR(M811&gt;J811,N811&gt;K811),"SKIPPED - EXCEEDS BASE",IF(COUNTIFS($M$783:M810,M811,$N$783:N810,N811)&gt;0,"SKIPPED - DUPLICATE","VALID - GENERATED"))))</f>
        <v>VALID - GENERATED</v>
      </c>
      <c r="I811" s="10" t="s">
        <v>1024</v>
      </c>
      <c r="J811" s="12">
        <f>'05-ISO Reference'!$B$16</f>
        <v>18</v>
      </c>
      <c r="K811" s="12">
        <f>'05-ISO Reference'!$C$16</f>
        <v>26</v>
      </c>
      <c r="L811" s="12">
        <f>'01-Process Controls'!$G$5</f>
        <v>3</v>
      </c>
      <c r="M811" s="12">
        <f>ROUNDDOWN(J811*'04-Variant Rules'!$D$33,0)</f>
        <v>12</v>
      </c>
      <c r="N811" s="12">
        <f>ROUNDDOWN(K811*'04-Variant Rules'!$E$33,0)</f>
        <v>17</v>
      </c>
      <c r="O811" s="9">
        <v>28</v>
      </c>
    </row>
    <row r="812" spans="1:15" ht="21" customHeight="1">
      <c r="A812" s="9" t="s">
        <v>1053</v>
      </c>
      <c r="B812" s="12">
        <f>IF(LEFT(H812,5)="VALID",M812,"")</f>
        <v>10</v>
      </c>
      <c r="C812" s="12">
        <f>IF(LEFT(H812,5)="VALID",N812,"")</f>
        <v>15</v>
      </c>
      <c r="D812" s="10" t="s">
        <v>82</v>
      </c>
      <c r="E812" s="10" t="s">
        <v>1023</v>
      </c>
      <c r="F812" s="10" t="s">
        <v>198</v>
      </c>
      <c r="G812" s="10" t="s">
        <v>186</v>
      </c>
      <c r="H812" s="11" t="str">
        <f>IF(OR(M812&lt;=0,N812&lt;=0),"SKIPPED - NONPOSITIVE",IF(OR(M812&lt;L812,N812&lt;L812),"SKIPPED - BELOW MIN",IF(OR(M812&gt;J812,N812&gt;K812),"SKIPPED - EXCEEDS BASE",IF(COUNTIFS($M$783:M811,M812,$N$783:N811,N812)&gt;0,"SKIPPED - DUPLICATE","VALID - GENERATED"))))</f>
        <v>VALID - GENERATED</v>
      </c>
      <c r="I812" s="10" t="s">
        <v>1024</v>
      </c>
      <c r="J812" s="12">
        <f>'05-ISO Reference'!$B$16</f>
        <v>18</v>
      </c>
      <c r="K812" s="12">
        <f>'05-ISO Reference'!$C$16</f>
        <v>26</v>
      </c>
      <c r="L812" s="12">
        <f>'01-Process Controls'!$G$5</f>
        <v>3</v>
      </c>
      <c r="M812" s="12">
        <f>ROUNDDOWN(J812*'04-Variant Rules'!$D$34,0)</f>
        <v>10</v>
      </c>
      <c r="N812" s="12">
        <f>ROUNDDOWN(K812*'04-Variant Rules'!$E$34,0)</f>
        <v>15</v>
      </c>
      <c r="O812" s="9">
        <v>29</v>
      </c>
    </row>
    <row r="813" spans="1:15" ht="21" customHeight="1">
      <c r="A813" s="9" t="s">
        <v>1054</v>
      </c>
      <c r="B813" s="12">
        <f>IF(LEFT(H813,5)="VALID",M813,"")</f>
        <v>9</v>
      </c>
      <c r="C813" s="12">
        <f>IF(LEFT(H813,5)="VALID",N813,"")</f>
        <v>14</v>
      </c>
      <c r="D813" s="10" t="s">
        <v>82</v>
      </c>
      <c r="E813" s="10" t="s">
        <v>1023</v>
      </c>
      <c r="F813" s="10" t="s">
        <v>200</v>
      </c>
      <c r="G813" s="10" t="s">
        <v>186</v>
      </c>
      <c r="H813" s="11" t="str">
        <f>IF(OR(M813&lt;=0,N813&lt;=0),"SKIPPED - NONPOSITIVE",IF(OR(M813&lt;L813,N813&lt;L813),"SKIPPED - BELOW MIN",IF(OR(M813&gt;J813,N813&gt;K813),"SKIPPED - EXCEEDS BASE",IF(COUNTIFS($M$783:M812,M813,$N$783:N812,N813)&gt;0,"SKIPPED - DUPLICATE","VALID - GENERATED"))))</f>
        <v>VALID - GENERATED</v>
      </c>
      <c r="I813" s="10" t="s">
        <v>1024</v>
      </c>
      <c r="J813" s="12">
        <f>'05-ISO Reference'!$B$16</f>
        <v>18</v>
      </c>
      <c r="K813" s="12">
        <f>'05-ISO Reference'!$C$16</f>
        <v>26</v>
      </c>
      <c r="L813" s="12">
        <f>'01-Process Controls'!$G$5</f>
        <v>3</v>
      </c>
      <c r="M813" s="12">
        <f>ROUNDDOWN(J813*'04-Variant Rules'!$D$35,0)</f>
        <v>9</v>
      </c>
      <c r="N813" s="12">
        <f>ROUNDDOWN(K813*'04-Variant Rules'!$E$35,0)</f>
        <v>14</v>
      </c>
      <c r="O813" s="9">
        <v>30</v>
      </c>
    </row>
    <row r="814" spans="1:15" ht="21" customHeight="1">
      <c r="A814" s="9" t="s">
        <v>1055</v>
      </c>
      <c r="B814" s="12">
        <f>IF(LEFT(H814,5)="VALID",M814,"")</f>
        <v>8</v>
      </c>
      <c r="C814" s="12">
        <f>IF(LEFT(H814,5)="VALID",N814,"")</f>
        <v>11</v>
      </c>
      <c r="D814" s="10" t="s">
        <v>82</v>
      </c>
      <c r="E814" s="10" t="s">
        <v>1023</v>
      </c>
      <c r="F814" s="10" t="s">
        <v>202</v>
      </c>
      <c r="G814" s="10" t="s">
        <v>186</v>
      </c>
      <c r="H814" s="11" t="str">
        <f>IF(OR(M814&lt;=0,N814&lt;=0),"SKIPPED - NONPOSITIVE",IF(OR(M814&lt;L814,N814&lt;L814),"SKIPPED - BELOW MIN",IF(OR(M814&gt;J814,N814&gt;K814),"SKIPPED - EXCEEDS BASE",IF(COUNTIFS($M$783:M813,M814,$N$783:N813,N814)&gt;0,"SKIPPED - DUPLICATE","VALID - GENERATED"))))</f>
        <v>VALID - GENERATED</v>
      </c>
      <c r="I814" s="10" t="s">
        <v>1024</v>
      </c>
      <c r="J814" s="12">
        <f>'05-ISO Reference'!$B$16</f>
        <v>18</v>
      </c>
      <c r="K814" s="12">
        <f>'05-ISO Reference'!$C$16</f>
        <v>26</v>
      </c>
      <c r="L814" s="12">
        <f>'01-Process Controls'!$G$5</f>
        <v>3</v>
      </c>
      <c r="M814" s="12">
        <f>ROUNDDOWN(J814*'04-Variant Rules'!$D$36,0)</f>
        <v>8</v>
      </c>
      <c r="N814" s="12">
        <f>ROUNDDOWN(K814*'04-Variant Rules'!$E$36,0)</f>
        <v>11</v>
      </c>
      <c r="O814" s="9">
        <v>31</v>
      </c>
    </row>
    <row r="815" spans="1:15" ht="21" customHeight="1">
      <c r="A815" s="9" t="s">
        <v>1056</v>
      </c>
      <c r="B815" s="12">
        <f>IF(LEFT(H815,5)="VALID",M815,"")</f>
        <v>7</v>
      </c>
      <c r="C815" s="12">
        <f>IF(LEFT(H815,5)="VALID",N815,"")</f>
        <v>10</v>
      </c>
      <c r="D815" s="10" t="s">
        <v>82</v>
      </c>
      <c r="E815" s="10" t="s">
        <v>1023</v>
      </c>
      <c r="F815" s="10" t="s">
        <v>204</v>
      </c>
      <c r="G815" s="10" t="s">
        <v>186</v>
      </c>
      <c r="H815" s="11" t="str">
        <f>IF(OR(M815&lt;=0,N815&lt;=0),"SKIPPED - NONPOSITIVE",IF(OR(M815&lt;L815,N815&lt;L815),"SKIPPED - BELOW MIN",IF(OR(M815&gt;J815,N815&gt;K815),"SKIPPED - EXCEEDS BASE",IF(COUNTIFS($M$783:M814,M815,$N$783:N814,N815)&gt;0,"SKIPPED - DUPLICATE","VALID - GENERATED"))))</f>
        <v>VALID - GENERATED</v>
      </c>
      <c r="I815" s="10" t="s">
        <v>1024</v>
      </c>
      <c r="J815" s="12">
        <f>'05-ISO Reference'!$B$16</f>
        <v>18</v>
      </c>
      <c r="K815" s="12">
        <f>'05-ISO Reference'!$C$16</f>
        <v>26</v>
      </c>
      <c r="L815" s="12">
        <f>'01-Process Controls'!$G$5</f>
        <v>3</v>
      </c>
      <c r="M815" s="12">
        <f>ROUNDDOWN(J815*'04-Variant Rules'!$D$37,0)</f>
        <v>7</v>
      </c>
      <c r="N815" s="12">
        <f>ROUNDDOWN(K815*'04-Variant Rules'!$E$37,0)</f>
        <v>10</v>
      </c>
      <c r="O815" s="9">
        <v>32</v>
      </c>
    </row>
    <row r="816" spans="1:15" ht="21" customHeight="1">
      <c r="A816" s="9" t="s">
        <v>1057</v>
      </c>
      <c r="B816" s="12">
        <f>IF(LEFT(H816,5)="VALID",M816,"")</f>
        <v>6</v>
      </c>
      <c r="C816" s="12">
        <f>IF(LEFT(H816,5)="VALID",N816,"")</f>
        <v>9</v>
      </c>
      <c r="D816" s="10" t="s">
        <v>82</v>
      </c>
      <c r="E816" s="10" t="s">
        <v>1023</v>
      </c>
      <c r="F816" s="10" t="s">
        <v>206</v>
      </c>
      <c r="G816" s="10" t="s">
        <v>186</v>
      </c>
      <c r="H816" s="11" t="str">
        <f>IF(OR(M816&lt;=0,N816&lt;=0),"SKIPPED - NONPOSITIVE",IF(OR(M816&lt;L816,N816&lt;L816),"SKIPPED - BELOW MIN",IF(OR(M816&gt;J816,N816&gt;K816),"SKIPPED - EXCEEDS BASE",IF(COUNTIFS($M$783:M815,M816,$N$783:N815,N816)&gt;0,"SKIPPED - DUPLICATE","VALID - GENERATED"))))</f>
        <v>VALID - GENERATED</v>
      </c>
      <c r="I816" s="10" t="s">
        <v>1024</v>
      </c>
      <c r="J816" s="12">
        <f>'05-ISO Reference'!$B$16</f>
        <v>18</v>
      </c>
      <c r="K816" s="12">
        <f>'05-ISO Reference'!$C$16</f>
        <v>26</v>
      </c>
      <c r="L816" s="12">
        <f>'01-Process Controls'!$G$5</f>
        <v>3</v>
      </c>
      <c r="M816" s="12">
        <f>ROUNDDOWN(J816*'04-Variant Rules'!$D$38,0)</f>
        <v>6</v>
      </c>
      <c r="N816" s="12">
        <f>ROUNDDOWN(K816*'04-Variant Rules'!$E$38,0)</f>
        <v>9</v>
      </c>
      <c r="O816" s="9">
        <v>33</v>
      </c>
    </row>
    <row r="817" spans="1:15" ht="21" customHeight="1">
      <c r="A817" s="9" t="s">
        <v>1058</v>
      </c>
      <c r="B817" s="12">
        <f>IF(LEFT(H817,5)="VALID",M817,"")</f>
        <v>5</v>
      </c>
      <c r="C817" s="12">
        <f>IF(LEFT(H817,5)="VALID",N817,"")</f>
        <v>7</v>
      </c>
      <c r="D817" s="10" t="s">
        <v>82</v>
      </c>
      <c r="E817" s="10" t="s">
        <v>1023</v>
      </c>
      <c r="F817" s="10" t="s">
        <v>208</v>
      </c>
      <c r="G817" s="10" t="s">
        <v>186</v>
      </c>
      <c r="H817" s="11" t="str">
        <f>IF(OR(M817&lt;=0,N817&lt;=0),"SKIPPED - NONPOSITIVE",IF(OR(M817&lt;L817,N817&lt;L817),"SKIPPED - BELOW MIN",IF(OR(M817&gt;J817,N817&gt;K817),"SKIPPED - EXCEEDS BASE",IF(COUNTIFS($M$783:M816,M817,$N$783:N816,N817)&gt;0,"SKIPPED - DUPLICATE","VALID - GENERATED"))))</f>
        <v>VALID - GENERATED</v>
      </c>
      <c r="I817" s="10" t="s">
        <v>1024</v>
      </c>
      <c r="J817" s="12">
        <f>'05-ISO Reference'!$B$16</f>
        <v>18</v>
      </c>
      <c r="K817" s="12">
        <f>'05-ISO Reference'!$C$16</f>
        <v>26</v>
      </c>
      <c r="L817" s="12">
        <f>'01-Process Controls'!$G$5</f>
        <v>3</v>
      </c>
      <c r="M817" s="12">
        <f>ROUNDDOWN(J817*'04-Variant Rules'!$D$39,0)</f>
        <v>5</v>
      </c>
      <c r="N817" s="12">
        <f>ROUNDDOWN(K817*'04-Variant Rules'!$E$39,0)</f>
        <v>7</v>
      </c>
      <c r="O817" s="9">
        <v>34</v>
      </c>
    </row>
    <row r="818" spans="1:15" ht="21" customHeight="1">
      <c r="A818" s="9" t="s">
        <v>1059</v>
      </c>
      <c r="B818" s="12">
        <f>IF(LEFT(H818,5)="VALID",M818,"")</f>
        <v>3</v>
      </c>
      <c r="C818" s="12">
        <f>IF(LEFT(H818,5)="VALID",N818,"")</f>
        <v>5</v>
      </c>
      <c r="D818" s="10" t="s">
        <v>82</v>
      </c>
      <c r="E818" s="10" t="s">
        <v>1023</v>
      </c>
      <c r="F818" s="10" t="s">
        <v>210</v>
      </c>
      <c r="G818" s="10" t="s">
        <v>186</v>
      </c>
      <c r="H818" s="11" t="str">
        <f>IF(OR(M818&lt;=0,N818&lt;=0),"SKIPPED - NONPOSITIVE",IF(OR(M818&lt;L818,N818&lt;L818),"SKIPPED - BELOW MIN",IF(OR(M818&gt;J818,N818&gt;K818),"SKIPPED - EXCEEDS BASE",IF(COUNTIFS($M$783:M817,M818,$N$783:N817,N818)&gt;0,"SKIPPED - DUPLICATE","VALID - GENERATED"))))</f>
        <v>VALID - GENERATED</v>
      </c>
      <c r="I818" s="10" t="s">
        <v>1024</v>
      </c>
      <c r="J818" s="12">
        <f>'05-ISO Reference'!$B$16</f>
        <v>18</v>
      </c>
      <c r="K818" s="12">
        <f>'05-ISO Reference'!$C$16</f>
        <v>26</v>
      </c>
      <c r="L818" s="12">
        <f>'01-Process Controls'!$G$5</f>
        <v>3</v>
      </c>
      <c r="M818" s="12">
        <f>ROUNDDOWN(J818*'04-Variant Rules'!$D$40,0)</f>
        <v>3</v>
      </c>
      <c r="N818" s="12">
        <f>ROUNDDOWN(K818*'04-Variant Rules'!$E$40,0)</f>
        <v>5</v>
      </c>
      <c r="O818" s="9">
        <v>35</v>
      </c>
    </row>
    <row r="819" spans="1:15" ht="21" customHeight="1">
      <c r="A819" s="9" t="s">
        <v>1060</v>
      </c>
      <c r="B819" s="12" t="str">
        <f>IF(LEFT(H819,5)="VALID",M819,"")</f>
        <v/>
      </c>
      <c r="C819" s="12" t="str">
        <f>IF(LEFT(H819,5)="VALID",N819,"")</f>
        <v/>
      </c>
      <c r="D819" s="10" t="s">
        <v>82</v>
      </c>
      <c r="E819" s="10" t="s">
        <v>1023</v>
      </c>
      <c r="F819" s="10" t="s">
        <v>212</v>
      </c>
      <c r="G819" s="10" t="s">
        <v>213</v>
      </c>
      <c r="H819" s="11" t="str">
        <f>IF(OR(M819&lt;=0,N819&lt;=0),"SKIPPED - NONPOSITIVE",IF(OR(M819&lt;L819,N819&lt;L819),"SKIPPED - BELOW MIN",IF(OR(M819&gt;J819,N819&gt;K819),"SKIPPED - EXCEEDS BASE",IF(COUNTIFS($M$783:M818,M819,$N$783:N818,N819)&gt;0,"SKIPPED - DUPLICATE","VALID - GENERATED"))))</f>
        <v>SKIPPED - BELOW MIN</v>
      </c>
      <c r="I819" s="10" t="s">
        <v>1024</v>
      </c>
      <c r="J819" s="12">
        <f>'05-ISO Reference'!$B$16</f>
        <v>18</v>
      </c>
      <c r="K819" s="12">
        <f>'05-ISO Reference'!$C$16</f>
        <v>26</v>
      </c>
      <c r="L819" s="12">
        <f>'01-Process Controls'!$G$5</f>
        <v>3</v>
      </c>
      <c r="M819" s="12">
        <f>ROUNDDOWN(J819*'04-Variant Rules'!$D$41,0)</f>
        <v>2</v>
      </c>
      <c r="N819" s="12">
        <f>ROUNDDOWN(K819*'04-Variant Rules'!$E$41,0)</f>
        <v>3</v>
      </c>
      <c r="O819" s="9">
        <v>36</v>
      </c>
    </row>
    <row r="820" spans="1:15" ht="21" customHeight="1">
      <c r="A820" s="9" t="s">
        <v>1061</v>
      </c>
      <c r="B820" s="12">
        <f>IF(LEFT(H820,5)="VALID",M820,"")</f>
        <v>18</v>
      </c>
      <c r="C820" s="12">
        <f>IF(LEFT(H820,5)="VALID",N820,"")</f>
        <v>18</v>
      </c>
      <c r="D820" s="10" t="s">
        <v>82</v>
      </c>
      <c r="E820" s="10" t="s">
        <v>1023</v>
      </c>
      <c r="F820" s="10" t="s">
        <v>215</v>
      </c>
      <c r="G820" s="10" t="s">
        <v>216</v>
      </c>
      <c r="H820" s="11" t="str">
        <f>IF(OR(M820&lt;=0,N820&lt;=0),"SKIPPED - NONPOSITIVE",IF(OR(M820&lt;L820,N820&lt;L820),"SKIPPED - BELOW MIN",IF(OR(M820&gt;J820,N820&gt;K820),"SKIPPED - EXCEEDS BASE",IF(COUNTIFS($M$783:M819,M820,$N$783:N819,N820)&gt;0,"SKIPPED - DUPLICATE","VALID - GENERATED"))))</f>
        <v>VALID - GENERATED</v>
      </c>
      <c r="I820" s="10" t="s">
        <v>1024</v>
      </c>
      <c r="J820" s="12">
        <f>'05-ISO Reference'!$B$16</f>
        <v>18</v>
      </c>
      <c r="K820" s="12">
        <f>'05-ISO Reference'!$C$16</f>
        <v>26</v>
      </c>
      <c r="L820" s="12">
        <f>'01-Process Controls'!$G$5</f>
        <v>3</v>
      </c>
      <c r="M820" s="12">
        <f>ROUNDDOWN(MIN(J820,K820)*'04-Variant Rules'!$D$42,0)</f>
        <v>18</v>
      </c>
      <c r="N820" s="12">
        <f>ROUNDDOWN(MIN(J820,K820)*'04-Variant Rules'!$D$42,0)</f>
        <v>18</v>
      </c>
      <c r="O820" s="9">
        <v>37</v>
      </c>
    </row>
    <row r="821" spans="1:15" ht="21" customHeight="1">
      <c r="A821" s="9" t="s">
        <v>1062</v>
      </c>
      <c r="B821" s="12">
        <f>IF(LEFT(H821,5)="VALID",M821,"")</f>
        <v>16</v>
      </c>
      <c r="C821" s="12">
        <f>IF(LEFT(H821,5)="VALID",N821,"")</f>
        <v>16</v>
      </c>
      <c r="D821" s="10" t="s">
        <v>82</v>
      </c>
      <c r="E821" s="10" t="s">
        <v>1023</v>
      </c>
      <c r="F821" s="10" t="s">
        <v>218</v>
      </c>
      <c r="G821" s="10" t="s">
        <v>219</v>
      </c>
      <c r="H821" s="11" t="str">
        <f>IF(OR(M821&lt;=0,N821&lt;=0),"SKIPPED - NONPOSITIVE",IF(OR(M821&lt;L821,N821&lt;L821),"SKIPPED - BELOW MIN",IF(OR(M821&gt;J821,N821&gt;K821),"SKIPPED - EXCEEDS BASE",IF(COUNTIFS($M$783:M820,M821,$N$783:N820,N821)&gt;0,"SKIPPED - DUPLICATE","VALID - GENERATED"))))</f>
        <v>VALID - GENERATED</v>
      </c>
      <c r="I821" s="10" t="s">
        <v>1024</v>
      </c>
      <c r="J821" s="12">
        <f>'05-ISO Reference'!$B$16</f>
        <v>18</v>
      </c>
      <c r="K821" s="12">
        <f>'05-ISO Reference'!$C$16</f>
        <v>26</v>
      </c>
      <c r="L821" s="12">
        <f>'01-Process Controls'!$G$5</f>
        <v>3</v>
      </c>
      <c r="M821" s="12">
        <f>ROUNDDOWN(MIN(J821,K821)*'04-Variant Rules'!$D$43,0)</f>
        <v>16</v>
      </c>
      <c r="N821" s="12">
        <f>ROUNDDOWN(MIN(J821,K821)*'04-Variant Rules'!$D$43,0)</f>
        <v>16</v>
      </c>
      <c r="O821" s="9">
        <v>38</v>
      </c>
    </row>
    <row r="822" spans="1:15" ht="21" customHeight="1">
      <c r="A822" s="9" t="s">
        <v>1063</v>
      </c>
      <c r="B822" s="12">
        <f>IF(LEFT(H822,5)="VALID",M822,"")</f>
        <v>14</v>
      </c>
      <c r="C822" s="12">
        <f>IF(LEFT(H822,5)="VALID",N822,"")</f>
        <v>14</v>
      </c>
      <c r="D822" s="10" t="s">
        <v>82</v>
      </c>
      <c r="E822" s="10" t="s">
        <v>1023</v>
      </c>
      <c r="F822" s="10" t="s">
        <v>221</v>
      </c>
      <c r="G822" s="10" t="s">
        <v>219</v>
      </c>
      <c r="H822" s="11" t="str">
        <f>IF(OR(M822&lt;=0,N822&lt;=0),"SKIPPED - NONPOSITIVE",IF(OR(M822&lt;L822,N822&lt;L822),"SKIPPED - BELOW MIN",IF(OR(M822&gt;J822,N822&gt;K822),"SKIPPED - EXCEEDS BASE",IF(COUNTIFS($M$783:M821,M822,$N$783:N821,N822)&gt;0,"SKIPPED - DUPLICATE","VALID - GENERATED"))))</f>
        <v>VALID - GENERATED</v>
      </c>
      <c r="I822" s="10" t="s">
        <v>1024</v>
      </c>
      <c r="J822" s="12">
        <f>'05-ISO Reference'!$B$16</f>
        <v>18</v>
      </c>
      <c r="K822" s="12">
        <f>'05-ISO Reference'!$C$16</f>
        <v>26</v>
      </c>
      <c r="L822" s="12">
        <f>'01-Process Controls'!$G$5</f>
        <v>3</v>
      </c>
      <c r="M822" s="12">
        <f>ROUNDDOWN(MIN(J822,K822)*'04-Variant Rules'!$D$44,0)</f>
        <v>14</v>
      </c>
      <c r="N822" s="12">
        <f>ROUNDDOWN(MIN(J822,K822)*'04-Variant Rules'!$D$44,0)</f>
        <v>14</v>
      </c>
      <c r="O822" s="9">
        <v>39</v>
      </c>
    </row>
    <row r="823" spans="1:15" ht="21" customHeight="1">
      <c r="A823" s="9" t="s">
        <v>1064</v>
      </c>
      <c r="B823" s="12" t="str">
        <f>IF(LEFT(H823,5)="VALID",M823,"")</f>
        <v/>
      </c>
      <c r="C823" s="12" t="str">
        <f>IF(LEFT(H823,5)="VALID",N823,"")</f>
        <v/>
      </c>
      <c r="D823" s="10" t="s">
        <v>82</v>
      </c>
      <c r="E823" s="10" t="s">
        <v>1023</v>
      </c>
      <c r="F823" s="10" t="s">
        <v>223</v>
      </c>
      <c r="G823" s="10" t="s">
        <v>219</v>
      </c>
      <c r="H823" s="11" t="str">
        <f>IF(OR(M823&lt;=0,N823&lt;=0),"SKIPPED - NONPOSITIVE",IF(OR(M823&lt;L823,N823&lt;L823),"SKIPPED - BELOW MIN",IF(OR(M823&gt;J823,N823&gt;K823),"SKIPPED - EXCEEDS BASE",IF(COUNTIFS($M$783:M822,M823,$N$783:N822,N823)&gt;0,"SKIPPED - DUPLICATE","VALID - GENERATED"))))</f>
        <v>SKIPPED - DUPLICATE</v>
      </c>
      <c r="I823" s="10" t="s">
        <v>1024</v>
      </c>
      <c r="J823" s="12">
        <f>'05-ISO Reference'!$B$16</f>
        <v>18</v>
      </c>
      <c r="K823" s="12">
        <f>'05-ISO Reference'!$C$16</f>
        <v>26</v>
      </c>
      <c r="L823" s="12">
        <f>'01-Process Controls'!$G$5</f>
        <v>3</v>
      </c>
      <c r="M823" s="12">
        <f>ROUNDDOWN(MIN(J823,K823)*'04-Variant Rules'!$D$45,0)</f>
        <v>13</v>
      </c>
      <c r="N823" s="12">
        <f>ROUNDDOWN(MIN(J823,K823)*'04-Variant Rules'!$D$45,0)</f>
        <v>13</v>
      </c>
      <c r="O823" s="9">
        <v>40</v>
      </c>
    </row>
    <row r="824" spans="1:15" ht="21" customHeight="1">
      <c r="A824" s="9" t="s">
        <v>1065</v>
      </c>
      <c r="B824" s="12">
        <f>IF(LEFT(H824,5)="VALID",M824,"")</f>
        <v>12</v>
      </c>
      <c r="C824" s="12">
        <f>IF(LEFT(H824,5)="VALID",N824,"")</f>
        <v>12</v>
      </c>
      <c r="D824" s="10" t="s">
        <v>82</v>
      </c>
      <c r="E824" s="10" t="s">
        <v>1023</v>
      </c>
      <c r="F824" s="10" t="s">
        <v>225</v>
      </c>
      <c r="G824" s="10" t="s">
        <v>219</v>
      </c>
      <c r="H824" s="11" t="str">
        <f>IF(OR(M824&lt;=0,N824&lt;=0),"SKIPPED - NONPOSITIVE",IF(OR(M824&lt;L824,N824&lt;L824),"SKIPPED - BELOW MIN",IF(OR(M824&gt;J824,N824&gt;K824),"SKIPPED - EXCEEDS BASE",IF(COUNTIFS($M$783:M823,M824,$N$783:N823,N824)&gt;0,"SKIPPED - DUPLICATE","VALID - GENERATED"))))</f>
        <v>VALID - GENERATED</v>
      </c>
      <c r="I824" s="10" t="s">
        <v>1024</v>
      </c>
      <c r="J824" s="12">
        <f>'05-ISO Reference'!$B$16</f>
        <v>18</v>
      </c>
      <c r="K824" s="12">
        <f>'05-ISO Reference'!$C$16</f>
        <v>26</v>
      </c>
      <c r="L824" s="12">
        <f>'01-Process Controls'!$G$5</f>
        <v>3</v>
      </c>
      <c r="M824" s="12">
        <f>ROUNDDOWN(MIN(J824,K824)*'04-Variant Rules'!$D$46,0)</f>
        <v>12</v>
      </c>
      <c r="N824" s="12">
        <f>ROUNDDOWN(MIN(J824,K824)*'04-Variant Rules'!$D$46,0)</f>
        <v>12</v>
      </c>
      <c r="O824" s="9">
        <v>41</v>
      </c>
    </row>
    <row r="825" spans="1:15" ht="21" customHeight="1">
      <c r="A825" s="9" t="s">
        <v>1066</v>
      </c>
      <c r="B825" s="12">
        <f>IF(LEFT(H825,5)="VALID",M825,"")</f>
        <v>10</v>
      </c>
      <c r="C825" s="12">
        <f>IF(LEFT(H825,5)="VALID",N825,"")</f>
        <v>10</v>
      </c>
      <c r="D825" s="10" t="s">
        <v>82</v>
      </c>
      <c r="E825" s="10" t="s">
        <v>1023</v>
      </c>
      <c r="F825" s="10" t="s">
        <v>227</v>
      </c>
      <c r="G825" s="10" t="s">
        <v>219</v>
      </c>
      <c r="H825" s="11" t="str">
        <f>IF(OR(M825&lt;=0,N825&lt;=0),"SKIPPED - NONPOSITIVE",IF(OR(M825&lt;L825,N825&lt;L825),"SKIPPED - BELOW MIN",IF(OR(M825&gt;J825,N825&gt;K825),"SKIPPED - EXCEEDS BASE",IF(COUNTIFS($M$783:M824,M825,$N$783:N824,N825)&gt;0,"SKIPPED - DUPLICATE","VALID - GENERATED"))))</f>
        <v>VALID - GENERATED</v>
      </c>
      <c r="I825" s="10" t="s">
        <v>1024</v>
      </c>
      <c r="J825" s="12">
        <f>'05-ISO Reference'!$B$16</f>
        <v>18</v>
      </c>
      <c r="K825" s="12">
        <f>'05-ISO Reference'!$C$16</f>
        <v>26</v>
      </c>
      <c r="L825" s="12">
        <f>'01-Process Controls'!$G$5</f>
        <v>3</v>
      </c>
      <c r="M825" s="12">
        <f>ROUNDDOWN(MIN(J825,K825)*'04-Variant Rules'!$D$47,0)</f>
        <v>10</v>
      </c>
      <c r="N825" s="12">
        <f>ROUNDDOWN(MIN(J825,K825)*'04-Variant Rules'!$D$47,0)</f>
        <v>10</v>
      </c>
      <c r="O825" s="9">
        <v>42</v>
      </c>
    </row>
    <row r="826" spans="1:15" ht="21" customHeight="1">
      <c r="A826" s="9" t="s">
        <v>1067</v>
      </c>
      <c r="B826" s="12">
        <f>IF(LEFT(H826,5)="VALID",M826,"")</f>
        <v>9</v>
      </c>
      <c r="C826" s="12">
        <f>IF(LEFT(H826,5)="VALID",N826,"")</f>
        <v>9</v>
      </c>
      <c r="D826" s="10" t="s">
        <v>82</v>
      </c>
      <c r="E826" s="10" t="s">
        <v>1023</v>
      </c>
      <c r="F826" s="10" t="s">
        <v>229</v>
      </c>
      <c r="G826" s="10" t="s">
        <v>219</v>
      </c>
      <c r="H826" s="11" t="str">
        <f>IF(OR(M826&lt;=0,N826&lt;=0),"SKIPPED - NONPOSITIVE",IF(OR(M826&lt;L826,N826&lt;L826),"SKIPPED - BELOW MIN",IF(OR(M826&gt;J826,N826&gt;K826),"SKIPPED - EXCEEDS BASE",IF(COUNTIFS($M$783:M825,M826,$N$783:N825,N826)&gt;0,"SKIPPED - DUPLICATE","VALID - GENERATED"))))</f>
        <v>VALID - GENERATED</v>
      </c>
      <c r="I826" s="10" t="s">
        <v>1024</v>
      </c>
      <c r="J826" s="12">
        <f>'05-ISO Reference'!$B$16</f>
        <v>18</v>
      </c>
      <c r="K826" s="12">
        <f>'05-ISO Reference'!$C$16</f>
        <v>26</v>
      </c>
      <c r="L826" s="12">
        <f>'01-Process Controls'!$G$5</f>
        <v>3</v>
      </c>
      <c r="M826" s="12">
        <f>ROUNDDOWN(MIN(J826,K826)*'04-Variant Rules'!$D$48,0)</f>
        <v>9</v>
      </c>
      <c r="N826" s="12">
        <f>ROUNDDOWN(MIN(J826,K826)*'04-Variant Rules'!$D$48,0)</f>
        <v>9</v>
      </c>
      <c r="O826" s="9">
        <v>43</v>
      </c>
    </row>
    <row r="827" spans="1:15" ht="21" customHeight="1">
      <c r="A827" s="9" t="s">
        <v>1068</v>
      </c>
      <c r="B827" s="12">
        <f>IF(LEFT(H827,5)="VALID",M827,"")</f>
        <v>7</v>
      </c>
      <c r="C827" s="12">
        <f>IF(LEFT(H827,5)="VALID",N827,"")</f>
        <v>7</v>
      </c>
      <c r="D827" s="10" t="s">
        <v>82</v>
      </c>
      <c r="E827" s="10" t="s">
        <v>1023</v>
      </c>
      <c r="F827" s="10" t="s">
        <v>231</v>
      </c>
      <c r="G827" s="10" t="s">
        <v>219</v>
      </c>
      <c r="H827" s="11" t="str">
        <f>IF(OR(M827&lt;=0,N827&lt;=0),"SKIPPED - NONPOSITIVE",IF(OR(M827&lt;L827,N827&lt;L827),"SKIPPED - BELOW MIN",IF(OR(M827&gt;J827,N827&gt;K827),"SKIPPED - EXCEEDS BASE",IF(COUNTIFS($M$783:M826,M827,$N$783:N826,N827)&gt;0,"SKIPPED - DUPLICATE","VALID - GENERATED"))))</f>
        <v>VALID - GENERATED</v>
      </c>
      <c r="I827" s="10" t="s">
        <v>1024</v>
      </c>
      <c r="J827" s="12">
        <f>'05-ISO Reference'!$B$16</f>
        <v>18</v>
      </c>
      <c r="K827" s="12">
        <f>'05-ISO Reference'!$C$16</f>
        <v>26</v>
      </c>
      <c r="L827" s="12">
        <f>'01-Process Controls'!$G$5</f>
        <v>3</v>
      </c>
      <c r="M827" s="12">
        <f>ROUNDDOWN(MIN(J827,K827)*'04-Variant Rules'!$D$49,0)</f>
        <v>7</v>
      </c>
      <c r="N827" s="12">
        <f>ROUNDDOWN(MIN(J827,K827)*'04-Variant Rules'!$D$49,0)</f>
        <v>7</v>
      </c>
      <c r="O827" s="9">
        <v>44</v>
      </c>
    </row>
    <row r="828" spans="1:15" ht="21" customHeight="1">
      <c r="A828" s="9" t="s">
        <v>1069</v>
      </c>
      <c r="B828" s="12">
        <f>IF(LEFT(H828,5)="VALID",M828,"")</f>
        <v>6</v>
      </c>
      <c r="C828" s="12">
        <f>IF(LEFT(H828,5)="VALID",N828,"")</f>
        <v>6</v>
      </c>
      <c r="D828" s="10" t="s">
        <v>82</v>
      </c>
      <c r="E828" s="10" t="s">
        <v>1023</v>
      </c>
      <c r="F828" s="10" t="s">
        <v>233</v>
      </c>
      <c r="G828" s="10" t="s">
        <v>219</v>
      </c>
      <c r="H828" s="11" t="str">
        <f>IF(OR(M828&lt;=0,N828&lt;=0),"SKIPPED - NONPOSITIVE",IF(OR(M828&lt;L828,N828&lt;L828),"SKIPPED - BELOW MIN",IF(OR(M828&gt;J828,N828&gt;K828),"SKIPPED - EXCEEDS BASE",IF(COUNTIFS($M$783:M827,M828,$N$783:N827,N828)&gt;0,"SKIPPED - DUPLICATE","VALID - GENERATED"))))</f>
        <v>VALID - GENERATED</v>
      </c>
      <c r="I828" s="10" t="s">
        <v>1024</v>
      </c>
      <c r="J828" s="12">
        <f>'05-ISO Reference'!$B$16</f>
        <v>18</v>
      </c>
      <c r="K828" s="12">
        <f>'05-ISO Reference'!$C$16</f>
        <v>26</v>
      </c>
      <c r="L828" s="12">
        <f>'01-Process Controls'!$G$5</f>
        <v>3</v>
      </c>
      <c r="M828" s="12">
        <f>ROUNDDOWN(MIN(J828,K828)*'04-Variant Rules'!$D$50,0)</f>
        <v>6</v>
      </c>
      <c r="N828" s="12">
        <f>ROUNDDOWN(MIN(J828,K828)*'04-Variant Rules'!$D$50,0)</f>
        <v>6</v>
      </c>
      <c r="O828" s="9">
        <v>45</v>
      </c>
    </row>
    <row r="829" spans="1:15" ht="21" customHeight="1">
      <c r="A829" s="9" t="s">
        <v>1070</v>
      </c>
      <c r="B829" s="12">
        <f>IF(LEFT(H829,5)="VALID",M829,"")</f>
        <v>4</v>
      </c>
      <c r="C829" s="12">
        <f>IF(LEFT(H829,5)="VALID",N829,"")</f>
        <v>4</v>
      </c>
      <c r="D829" s="10" t="s">
        <v>82</v>
      </c>
      <c r="E829" s="10" t="s">
        <v>1023</v>
      </c>
      <c r="F829" s="10" t="s">
        <v>235</v>
      </c>
      <c r="G829" s="10" t="s">
        <v>219</v>
      </c>
      <c r="H829" s="11" t="str">
        <f>IF(OR(M829&lt;=0,N829&lt;=0),"SKIPPED - NONPOSITIVE",IF(OR(M829&lt;L829,N829&lt;L829),"SKIPPED - BELOW MIN",IF(OR(M829&gt;J829,N829&gt;K829),"SKIPPED - EXCEEDS BASE",IF(COUNTIFS($M$783:M828,M829,$N$783:N828,N829)&gt;0,"SKIPPED - DUPLICATE","VALID - GENERATED"))))</f>
        <v>VALID - GENERATED</v>
      </c>
      <c r="I829" s="10" t="s">
        <v>1024</v>
      </c>
      <c r="J829" s="12">
        <f>'05-ISO Reference'!$B$16</f>
        <v>18</v>
      </c>
      <c r="K829" s="12">
        <f>'05-ISO Reference'!$C$16</f>
        <v>26</v>
      </c>
      <c r="L829" s="12">
        <f>'01-Process Controls'!$G$5</f>
        <v>3</v>
      </c>
      <c r="M829" s="12">
        <f>ROUNDDOWN(MIN(J829,K829)*'04-Variant Rules'!$D$51,0)</f>
        <v>4</v>
      </c>
      <c r="N829" s="12">
        <f>ROUNDDOWN(MIN(J829,K829)*'04-Variant Rules'!$D$51,0)</f>
        <v>4</v>
      </c>
      <c r="O829" s="9">
        <v>46</v>
      </c>
    </row>
    <row r="830" spans="1:15" ht="21" customHeight="1">
      <c r="A830" s="9" t="s">
        <v>1071</v>
      </c>
      <c r="B830" s="12">
        <f>IF(LEFT(H830,5)="VALID",M830,"")</f>
        <v>3</v>
      </c>
      <c r="C830" s="12">
        <f>IF(LEFT(H830,5)="VALID",N830,"")</f>
        <v>3</v>
      </c>
      <c r="D830" s="10" t="s">
        <v>82</v>
      </c>
      <c r="E830" s="10" t="s">
        <v>1023</v>
      </c>
      <c r="F830" s="10" t="s">
        <v>237</v>
      </c>
      <c r="G830" s="10" t="s">
        <v>219</v>
      </c>
      <c r="H830" s="11" t="str">
        <f>IF(OR(M830&lt;=0,N830&lt;=0),"SKIPPED - NONPOSITIVE",IF(OR(M830&lt;L830,N830&lt;L830),"SKIPPED - BELOW MIN",IF(OR(M830&gt;J830,N830&gt;K830),"SKIPPED - EXCEEDS BASE",IF(COUNTIFS($M$783:M829,M830,$N$783:N829,N830)&gt;0,"SKIPPED - DUPLICATE","VALID - GENERATED"))))</f>
        <v>VALID - GENERATED</v>
      </c>
      <c r="I830" s="10" t="s">
        <v>1024</v>
      </c>
      <c r="J830" s="12">
        <f>'05-ISO Reference'!$B$16</f>
        <v>18</v>
      </c>
      <c r="K830" s="12">
        <f>'05-ISO Reference'!$C$16</f>
        <v>26</v>
      </c>
      <c r="L830" s="12">
        <f>'01-Process Controls'!$G$5</f>
        <v>3</v>
      </c>
      <c r="M830" s="12">
        <f>ROUNDDOWN(MIN(J830,K830)*'04-Variant Rules'!$D$52,0)</f>
        <v>3</v>
      </c>
      <c r="N830" s="12">
        <f>ROUNDDOWN(MIN(J830,K830)*'04-Variant Rules'!$D$52,0)</f>
        <v>3</v>
      </c>
      <c r="O830" s="9">
        <v>47</v>
      </c>
    </row>
    <row r="831" spans="1:15" ht="21" customHeight="1">
      <c r="A831" s="9" t="s">
        <v>1072</v>
      </c>
      <c r="B831" s="12" t="str">
        <f>IF(LEFT(H831,5)="VALID",M831,"")</f>
        <v/>
      </c>
      <c r="C831" s="12" t="str">
        <f>IF(LEFT(H831,5)="VALID",N831,"")</f>
        <v/>
      </c>
      <c r="D831" s="10" t="s">
        <v>82</v>
      </c>
      <c r="E831" s="10" t="s">
        <v>1023</v>
      </c>
      <c r="F831" s="10" t="s">
        <v>239</v>
      </c>
      <c r="G831" s="10" t="s">
        <v>240</v>
      </c>
      <c r="H831" s="11" t="str">
        <f>IF(OR(M831&lt;=0,N831&lt;=0),"SKIPPED - NONPOSITIVE",IF(OR(M831&lt;L831,N831&lt;L831),"SKIPPED - BELOW MIN",IF(OR(M831&gt;J831,N831&gt;K831),"SKIPPED - EXCEEDS BASE",IF(COUNTIFS($M$783:M830,M831,$N$783:N830,N831)&gt;0,"SKIPPED - DUPLICATE","VALID - GENERATED"))))</f>
        <v>SKIPPED - DUPLICATE</v>
      </c>
      <c r="I831" s="10" t="s">
        <v>1024</v>
      </c>
      <c r="J831" s="12">
        <f>'05-ISO Reference'!$B$16</f>
        <v>18</v>
      </c>
      <c r="K831" s="12">
        <f>'05-ISO Reference'!$C$16</f>
        <v>26</v>
      </c>
      <c r="L831" s="12">
        <f>'01-Process Controls'!$G$5</f>
        <v>3</v>
      </c>
      <c r="M831" s="12">
        <f>ROUNDDOWN(MIN(J831,K831*'04-Variant Rules'!$D$53),0)</f>
        <v>18</v>
      </c>
      <c r="N831" s="12">
        <f>ROUNDDOWN(M831/'04-Variant Rules'!$D$53,0)</f>
        <v>13</v>
      </c>
      <c r="O831" s="9">
        <v>48</v>
      </c>
    </row>
    <row r="832" spans="1:15" ht="21" customHeight="1">
      <c r="A832" s="9" t="s">
        <v>1073</v>
      </c>
      <c r="B832" s="12">
        <f>IF(LEFT(H832,5)="VALID",M832,"")</f>
        <v>18</v>
      </c>
      <c r="C832" s="12">
        <f>IF(LEFT(H832,5)="VALID",N832,"")</f>
        <v>24</v>
      </c>
      <c r="D832" s="10" t="s">
        <v>82</v>
      </c>
      <c r="E832" s="10" t="s">
        <v>1023</v>
      </c>
      <c r="F832" s="10" t="s">
        <v>242</v>
      </c>
      <c r="G832" s="10" t="s">
        <v>243</v>
      </c>
      <c r="H832" s="11" t="str">
        <f>IF(OR(M832&lt;=0,N832&lt;=0),"SKIPPED - NONPOSITIVE",IF(OR(M832&lt;L832,N832&lt;L832),"SKIPPED - BELOW MIN",IF(OR(M832&gt;J832,N832&gt;K832),"SKIPPED - EXCEEDS BASE",IF(COUNTIFS($M$783:M831,M832,$N$783:N831,N832)&gt;0,"SKIPPED - DUPLICATE","VALID - GENERATED"))))</f>
        <v>VALID - GENERATED</v>
      </c>
      <c r="I832" s="10" t="s">
        <v>1024</v>
      </c>
      <c r="J832" s="12">
        <f>'05-ISO Reference'!$B$16</f>
        <v>18</v>
      </c>
      <c r="K832" s="12">
        <f>'05-ISO Reference'!$C$16</f>
        <v>26</v>
      </c>
      <c r="L832" s="12">
        <f>'01-Process Controls'!$G$5</f>
        <v>3</v>
      </c>
      <c r="M832" s="12">
        <f>ROUNDDOWN(MIN(J832,K832*'04-Variant Rules'!$D$54),0)</f>
        <v>18</v>
      </c>
      <c r="N832" s="12">
        <f>ROUNDDOWN(M832/'04-Variant Rules'!$D$54,0)</f>
        <v>24</v>
      </c>
      <c r="O832" s="9">
        <v>49</v>
      </c>
    </row>
    <row r="833" spans="1:15" ht="21" customHeight="1">
      <c r="A833" s="9" t="s">
        <v>1074</v>
      </c>
      <c r="B833" s="12">
        <f>IF(LEFT(H833,5)="VALID",M833,"")</f>
        <v>18</v>
      </c>
      <c r="C833" s="12">
        <f>IF(LEFT(H833,5)="VALID",N833,"")</f>
        <v>12</v>
      </c>
      <c r="D833" s="10" t="s">
        <v>82</v>
      </c>
      <c r="E833" s="10" t="s">
        <v>1023</v>
      </c>
      <c r="F833" s="10" t="s">
        <v>245</v>
      </c>
      <c r="G833" s="10" t="s">
        <v>246</v>
      </c>
      <c r="H833" s="11" t="str">
        <f>IF(OR(M833&lt;=0,N833&lt;=0),"SKIPPED - NONPOSITIVE",IF(OR(M833&lt;L833,N833&lt;L833),"SKIPPED - BELOW MIN",IF(OR(M833&gt;J833,N833&gt;K833),"SKIPPED - EXCEEDS BASE",IF(COUNTIFS($M$783:M832,M833,$N$783:N832,N833)&gt;0,"SKIPPED - DUPLICATE","VALID - GENERATED"))))</f>
        <v>VALID - GENERATED</v>
      </c>
      <c r="I833" s="10" t="s">
        <v>1024</v>
      </c>
      <c r="J833" s="12">
        <f>'05-ISO Reference'!$B$16</f>
        <v>18</v>
      </c>
      <c r="K833" s="12">
        <f>'05-ISO Reference'!$C$16</f>
        <v>26</v>
      </c>
      <c r="L833" s="12">
        <f>'01-Process Controls'!$G$5</f>
        <v>3</v>
      </c>
      <c r="M833" s="12">
        <f>ROUNDDOWN(MIN(J833,K833*'04-Variant Rules'!$D$55),0)</f>
        <v>18</v>
      </c>
      <c r="N833" s="12">
        <f>ROUNDDOWN(M833/'04-Variant Rules'!$D$55,0)</f>
        <v>12</v>
      </c>
      <c r="O833" s="9">
        <v>50</v>
      </c>
    </row>
    <row r="834" spans="1:15" ht="21" customHeight="1">
      <c r="A834" s="9" t="s">
        <v>1075</v>
      </c>
      <c r="B834" s="12">
        <f>IF(LEFT(H834,5)="VALID",M834,"")</f>
        <v>17</v>
      </c>
      <c r="C834" s="12">
        <f>IF(LEFT(H834,5)="VALID",N834,"")</f>
        <v>25</v>
      </c>
      <c r="D834" s="10" t="s">
        <v>82</v>
      </c>
      <c r="E834" s="10" t="s">
        <v>1023</v>
      </c>
      <c r="F834" s="10" t="s">
        <v>248</v>
      </c>
      <c r="G834" s="10" t="s">
        <v>249</v>
      </c>
      <c r="H834" s="11" t="str">
        <f>IF(OR(M834&lt;=0,N834&lt;=0),"SKIPPED - NONPOSITIVE",IF(OR(M834&lt;L834,N834&lt;L834),"SKIPPED - BELOW MIN",IF(OR(M834&gt;J834,N834&gt;K834),"SKIPPED - EXCEEDS BASE",IF(COUNTIFS($M$783:M833,M834,$N$783:N833,N834)&gt;0,"SKIPPED - DUPLICATE","VALID - GENERATED"))))</f>
        <v>VALID - GENERATED</v>
      </c>
      <c r="I834" s="10" t="s">
        <v>1024</v>
      </c>
      <c r="J834" s="12">
        <f>'05-ISO Reference'!$B$16</f>
        <v>18</v>
      </c>
      <c r="K834" s="12">
        <f>'05-ISO Reference'!$C$16</f>
        <v>26</v>
      </c>
      <c r="L834" s="12">
        <f>'01-Process Controls'!$G$5</f>
        <v>3</v>
      </c>
      <c r="M834" s="12">
        <f>ROUNDDOWN(MIN(J834,K834*'04-Variant Rules'!$D$56),0)</f>
        <v>17</v>
      </c>
      <c r="N834" s="12">
        <f>ROUNDDOWN(M834/'04-Variant Rules'!$D$56,0)</f>
        <v>25</v>
      </c>
      <c r="O834" s="9">
        <v>51</v>
      </c>
    </row>
    <row r="835" spans="1:15" ht="21" customHeight="1">
      <c r="A835" s="9" t="s">
        <v>1076</v>
      </c>
      <c r="B835" s="12">
        <f>IF(LEFT(H835,5)="VALID",M835,"")</f>
        <v>18</v>
      </c>
      <c r="C835" s="12">
        <f>IF(LEFT(H835,5)="VALID",N835,"")</f>
        <v>10</v>
      </c>
      <c r="D835" s="10" t="s">
        <v>82</v>
      </c>
      <c r="E835" s="10" t="s">
        <v>1023</v>
      </c>
      <c r="F835" s="10" t="s">
        <v>251</v>
      </c>
      <c r="G835" s="10" t="s">
        <v>252</v>
      </c>
      <c r="H835" s="11" t="str">
        <f>IF(OR(M835&lt;=0,N835&lt;=0),"SKIPPED - NONPOSITIVE",IF(OR(M835&lt;L835,N835&lt;L835),"SKIPPED - BELOW MIN",IF(OR(M835&gt;J835,N835&gt;K835),"SKIPPED - EXCEEDS BASE",IF(COUNTIFS($M$783:M834,M835,$N$783:N834,N835)&gt;0,"SKIPPED - DUPLICATE","VALID - GENERATED"))))</f>
        <v>VALID - GENERATED</v>
      </c>
      <c r="I835" s="10" t="s">
        <v>1024</v>
      </c>
      <c r="J835" s="12">
        <f>'05-ISO Reference'!$B$16</f>
        <v>18</v>
      </c>
      <c r="K835" s="12">
        <f>'05-ISO Reference'!$C$16</f>
        <v>26</v>
      </c>
      <c r="L835" s="12">
        <f>'01-Process Controls'!$G$5</f>
        <v>3</v>
      </c>
      <c r="M835" s="12">
        <f>ROUNDDOWN(MIN(J835,K835*'04-Variant Rules'!$D$57),0)</f>
        <v>18</v>
      </c>
      <c r="N835" s="12">
        <f>ROUNDDOWN(M835/'04-Variant Rules'!$D$57,0)</f>
        <v>10</v>
      </c>
      <c r="O835" s="9">
        <v>52</v>
      </c>
    </row>
    <row r="836" spans="1:15" ht="21" customHeight="1">
      <c r="A836" s="9" t="s">
        <v>1077</v>
      </c>
      <c r="B836" s="12">
        <f>IF(LEFT(H836,5)="VALID",M836,"")</f>
        <v>14</v>
      </c>
      <c r="C836" s="12">
        <f>IF(LEFT(H836,5)="VALID",N836,"")</f>
        <v>24</v>
      </c>
      <c r="D836" s="10" t="s">
        <v>82</v>
      </c>
      <c r="E836" s="10" t="s">
        <v>1023</v>
      </c>
      <c r="F836" s="10" t="s">
        <v>254</v>
      </c>
      <c r="G836" s="10" t="s">
        <v>255</v>
      </c>
      <c r="H836" s="11" t="str">
        <f>IF(OR(M836&lt;=0,N836&lt;=0),"SKIPPED - NONPOSITIVE",IF(OR(M836&lt;L836,N836&lt;L836),"SKIPPED - BELOW MIN",IF(OR(M836&gt;J836,N836&gt;K836),"SKIPPED - EXCEEDS BASE",IF(COUNTIFS($M$783:M835,M836,$N$783:N835,N836)&gt;0,"SKIPPED - DUPLICATE","VALID - GENERATED"))))</f>
        <v>VALID - GENERATED</v>
      </c>
      <c r="I836" s="10" t="s">
        <v>1024</v>
      </c>
      <c r="J836" s="12">
        <f>'05-ISO Reference'!$B$16</f>
        <v>18</v>
      </c>
      <c r="K836" s="12">
        <f>'05-ISO Reference'!$C$16</f>
        <v>26</v>
      </c>
      <c r="L836" s="12">
        <f>'01-Process Controls'!$G$5</f>
        <v>3</v>
      </c>
      <c r="M836" s="12">
        <f>ROUNDDOWN(MIN(J836,K836*'04-Variant Rules'!$D$58),0)</f>
        <v>14</v>
      </c>
      <c r="N836" s="12">
        <f>ROUNDDOWN(M836/'04-Variant Rules'!$D$58,0)</f>
        <v>24</v>
      </c>
      <c r="O836" s="9">
        <v>53</v>
      </c>
    </row>
    <row r="837" spans="1:15" ht="21" customHeight="1">
      <c r="A837" s="9" t="s">
        <v>1078</v>
      </c>
      <c r="B837" s="12">
        <f>IF(LEFT(H837,5)="VALID",M837,"")</f>
        <v>18</v>
      </c>
      <c r="C837" s="12">
        <f>IF(LEFT(H837,5)="VALID",N837,"")</f>
        <v>9</v>
      </c>
      <c r="D837" s="10" t="s">
        <v>82</v>
      </c>
      <c r="E837" s="10" t="s">
        <v>1023</v>
      </c>
      <c r="F837" s="10" t="s">
        <v>257</v>
      </c>
      <c r="G837" s="10" t="s">
        <v>258</v>
      </c>
      <c r="H837" s="11" t="str">
        <f>IF(OR(M837&lt;=0,N837&lt;=0),"SKIPPED - NONPOSITIVE",IF(OR(M837&lt;L837,N837&lt;L837),"SKIPPED - BELOW MIN",IF(OR(M837&gt;J837,N837&gt;K837),"SKIPPED - EXCEEDS BASE",IF(COUNTIFS($M$783:M836,M837,$N$783:N836,N837)&gt;0,"SKIPPED - DUPLICATE","VALID - GENERATED"))))</f>
        <v>VALID - GENERATED</v>
      </c>
      <c r="I837" s="10" t="s">
        <v>1024</v>
      </c>
      <c r="J837" s="12">
        <f>'05-ISO Reference'!$B$16</f>
        <v>18</v>
      </c>
      <c r="K837" s="12">
        <f>'05-ISO Reference'!$C$16</f>
        <v>26</v>
      </c>
      <c r="L837" s="12">
        <f>'01-Process Controls'!$G$5</f>
        <v>3</v>
      </c>
      <c r="M837" s="12">
        <f>ROUNDDOWN(MIN(J837,K837*'04-Variant Rules'!$D$59),0)</f>
        <v>18</v>
      </c>
      <c r="N837" s="12">
        <f>ROUNDDOWN(M837/'04-Variant Rules'!$D$59,0)</f>
        <v>9</v>
      </c>
      <c r="O837" s="9">
        <v>54</v>
      </c>
    </row>
    <row r="838" spans="1:15" ht="21" customHeight="1">
      <c r="A838" s="9" t="s">
        <v>1079</v>
      </c>
      <c r="B838" s="12" t="str">
        <f>IF(LEFT(H838,5)="VALID",M838,"")</f>
        <v/>
      </c>
      <c r="C838" s="12" t="str">
        <f>IF(LEFT(H838,5)="VALID",N838,"")</f>
        <v/>
      </c>
      <c r="D838" s="10" t="s">
        <v>82</v>
      </c>
      <c r="E838" s="10" t="s">
        <v>1023</v>
      </c>
      <c r="F838" s="10" t="s">
        <v>260</v>
      </c>
      <c r="G838" s="10" t="s">
        <v>261</v>
      </c>
      <c r="H838" s="11" t="str">
        <f>IF(OR(M838&lt;=0,N838&lt;=0),"SKIPPED - NONPOSITIVE",IF(OR(M838&lt;L838,N838&lt;L838),"SKIPPED - BELOW MIN",IF(OR(M838&gt;J838,N838&gt;K838),"SKIPPED - EXCEEDS BASE",IF(COUNTIFS($M$783:M837,M838,$N$783:N837,N838)&gt;0,"SKIPPED - DUPLICATE","VALID - GENERATED"))))</f>
        <v>SKIPPED - DUPLICATE</v>
      </c>
      <c r="I838" s="10" t="s">
        <v>1024</v>
      </c>
      <c r="J838" s="12">
        <f>'05-ISO Reference'!$B$16</f>
        <v>18</v>
      </c>
      <c r="K838" s="12">
        <f>'05-ISO Reference'!$C$16</f>
        <v>26</v>
      </c>
      <c r="L838" s="12">
        <f>'01-Process Controls'!$G$5</f>
        <v>3</v>
      </c>
      <c r="M838" s="12">
        <f>ROUNDDOWN(MIN(J838,K838*'04-Variant Rules'!$D$60),0)</f>
        <v>13</v>
      </c>
      <c r="N838" s="12">
        <f>ROUNDDOWN(M838/'04-Variant Rules'!$D$60,0)</f>
        <v>26</v>
      </c>
      <c r="O838" s="9">
        <v>55</v>
      </c>
    </row>
    <row r="839" spans="1:15" ht="21" customHeight="1">
      <c r="A839" s="9" t="s">
        <v>1080</v>
      </c>
      <c r="B839" s="48"/>
      <c r="C839" s="48"/>
      <c r="D839" s="10" t="s">
        <v>263</v>
      </c>
      <c r="E839" s="10" t="s">
        <v>1081</v>
      </c>
      <c r="F839" s="10" t="s">
        <v>265</v>
      </c>
      <c r="G839" s="10" t="s">
        <v>266</v>
      </c>
      <c r="H839" s="11" t="str">
        <f>IF(AND(B839="",C839=""),"CUSTOM BLANK",IF(OR(B839="",C839=""),"ERROR - ENTER BOTH",IF(OR(B839&lt;=0,C839&lt;=0),"ERROR - NONPOSITIVE",IF(OR(B839&lt;L839,C839&lt;L839),"ERROR - BELOW MIN",IF(OR(AND(B839&lt;=J839,C839&lt;=K839),AND(B839&lt;=K839,C839&lt;=J839)),"VALID - CUSTOM","ERROR - EXCEEDS BASE")))))</f>
        <v>CUSTOM BLANK</v>
      </c>
      <c r="I839" s="10" t="s">
        <v>267</v>
      </c>
      <c r="J839" s="12">
        <f>'05-ISO Reference'!$B$16</f>
        <v>18</v>
      </c>
      <c r="K839" s="12">
        <f>'05-ISO Reference'!$C$16</f>
        <v>26</v>
      </c>
      <c r="L839" s="12">
        <f>'01-Process Controls'!$G$5</f>
        <v>3</v>
      </c>
      <c r="M839" s="8"/>
      <c r="N839" s="8"/>
    </row>
    <row r="840" spans="1:15" ht="21" customHeight="1">
      <c r="A840" s="9" t="s">
        <v>1082</v>
      </c>
      <c r="B840" s="48"/>
      <c r="C840" s="48"/>
      <c r="D840" s="10" t="s">
        <v>263</v>
      </c>
      <c r="E840" s="10" t="s">
        <v>1081</v>
      </c>
      <c r="F840" s="10" t="s">
        <v>265</v>
      </c>
      <c r="G840" s="10" t="s">
        <v>266</v>
      </c>
      <c r="H840" s="11" t="str">
        <f>IF(AND(B840="",C840=""),"CUSTOM BLANK",IF(OR(B840="",C840=""),"ERROR - ENTER BOTH",IF(OR(B840&lt;=0,C840&lt;=0),"ERROR - NONPOSITIVE",IF(OR(B840&lt;L840,C840&lt;L840),"ERROR - BELOW MIN",IF(OR(AND(B840&lt;=J840,C840&lt;=K840),AND(B840&lt;=K840,C840&lt;=J840)),"VALID - CUSTOM","ERROR - EXCEEDS BASE")))))</f>
        <v>CUSTOM BLANK</v>
      </c>
      <c r="I840" s="10" t="s">
        <v>267</v>
      </c>
      <c r="J840" s="12">
        <f>'05-ISO Reference'!$B$16</f>
        <v>18</v>
      </c>
      <c r="K840" s="12">
        <f>'05-ISO Reference'!$C$16</f>
        <v>26</v>
      </c>
      <c r="L840" s="12">
        <f>'01-Process Controls'!$G$5</f>
        <v>3</v>
      </c>
      <c r="M840" s="8"/>
      <c r="N840" s="8"/>
    </row>
    <row r="841" spans="1:15" ht="21" customHeight="1">
      <c r="A841" s="9" t="s">
        <v>1083</v>
      </c>
      <c r="B841" s="48"/>
      <c r="C841" s="48"/>
      <c r="D841" s="10" t="s">
        <v>263</v>
      </c>
      <c r="E841" s="10" t="s">
        <v>1081</v>
      </c>
      <c r="F841" s="10" t="s">
        <v>265</v>
      </c>
      <c r="G841" s="10" t="s">
        <v>266</v>
      </c>
      <c r="H841" s="11" t="str">
        <f>IF(AND(B841="",C841=""),"CUSTOM BLANK",IF(OR(B841="",C841=""),"ERROR - ENTER BOTH",IF(OR(B841&lt;=0,C841&lt;=0),"ERROR - NONPOSITIVE",IF(OR(B841&lt;L841,C841&lt;L841),"ERROR - BELOW MIN",IF(OR(AND(B841&lt;=J841,C841&lt;=K841),AND(B841&lt;=K841,C841&lt;=J841)),"VALID - CUSTOM","ERROR - EXCEEDS BASE")))))</f>
        <v>CUSTOM BLANK</v>
      </c>
      <c r="I841" s="10" t="s">
        <v>267</v>
      </c>
      <c r="J841" s="12">
        <f>'05-ISO Reference'!$B$16</f>
        <v>18</v>
      </c>
      <c r="K841" s="12">
        <f>'05-ISO Reference'!$C$16</f>
        <v>26</v>
      </c>
      <c r="L841" s="12">
        <f>'01-Process Controls'!$G$5</f>
        <v>3</v>
      </c>
      <c r="M841" s="8"/>
      <c r="N841" s="8"/>
    </row>
    <row r="842" spans="1:15" ht="21" customHeight="1">
      <c r="A842" s="9" t="s">
        <v>1084</v>
      </c>
      <c r="B842" s="48"/>
      <c r="C842" s="48"/>
      <c r="D842" s="10" t="s">
        <v>263</v>
      </c>
      <c r="E842" s="10" t="s">
        <v>1081</v>
      </c>
      <c r="F842" s="10" t="s">
        <v>265</v>
      </c>
      <c r="G842" s="10" t="s">
        <v>266</v>
      </c>
      <c r="H842" s="11" t="str">
        <f>IF(AND(B842="",C842=""),"CUSTOM BLANK",IF(OR(B842="",C842=""),"ERROR - ENTER BOTH",IF(OR(B842&lt;=0,C842&lt;=0),"ERROR - NONPOSITIVE",IF(OR(B842&lt;L842,C842&lt;L842),"ERROR - BELOW MIN",IF(OR(AND(B842&lt;=J842,C842&lt;=K842),AND(B842&lt;=K842,C842&lt;=J842)),"VALID - CUSTOM","ERROR - EXCEEDS BASE")))))</f>
        <v>CUSTOM BLANK</v>
      </c>
      <c r="I842" s="10" t="s">
        <v>267</v>
      </c>
      <c r="J842" s="12">
        <f>'05-ISO Reference'!$B$16</f>
        <v>18</v>
      </c>
      <c r="K842" s="12">
        <f>'05-ISO Reference'!$C$16</f>
        <v>26</v>
      </c>
      <c r="L842" s="12">
        <f>'01-Process Controls'!$G$5</f>
        <v>3</v>
      </c>
      <c r="M842" s="8"/>
      <c r="N842" s="8"/>
    </row>
    <row r="843" spans="1:15" ht="21" customHeight="1">
      <c r="A843" s="9" t="s">
        <v>1085</v>
      </c>
      <c r="B843" s="48"/>
      <c r="C843" s="48"/>
      <c r="D843" s="10" t="s">
        <v>263</v>
      </c>
      <c r="E843" s="10" t="s">
        <v>1081</v>
      </c>
      <c r="F843" s="10" t="s">
        <v>265</v>
      </c>
      <c r="G843" s="10" t="s">
        <v>266</v>
      </c>
      <c r="H843" s="11" t="str">
        <f>IF(AND(B843="",C843=""),"CUSTOM BLANK",IF(OR(B843="",C843=""),"ERROR - ENTER BOTH",IF(OR(B843&lt;=0,C843&lt;=0),"ERROR - NONPOSITIVE",IF(OR(B843&lt;L843,C843&lt;L843),"ERROR - BELOW MIN",IF(OR(AND(B843&lt;=J843,C843&lt;=K843),AND(B843&lt;=K843,C843&lt;=J843)),"VALID - CUSTOM","ERROR - EXCEEDS BASE")))))</f>
        <v>CUSTOM BLANK</v>
      </c>
      <c r="I843" s="10" t="s">
        <v>267</v>
      </c>
      <c r="J843" s="12">
        <f>'05-ISO Reference'!$B$16</f>
        <v>18</v>
      </c>
      <c r="K843" s="12">
        <f>'05-ISO Reference'!$C$16</f>
        <v>26</v>
      </c>
      <c r="L843" s="12">
        <f>'01-Process Controls'!$G$5</f>
        <v>3</v>
      </c>
      <c r="M843" s="8"/>
      <c r="N843" s="8"/>
    </row>
    <row r="844" spans="1:15" ht="21" customHeight="1">
      <c r="A844" s="9" t="s">
        <v>1086</v>
      </c>
      <c r="B844" s="48"/>
      <c r="C844" s="48"/>
      <c r="D844" s="10" t="s">
        <v>263</v>
      </c>
      <c r="E844" s="10" t="s">
        <v>1081</v>
      </c>
      <c r="F844" s="10" t="s">
        <v>265</v>
      </c>
      <c r="G844" s="10" t="s">
        <v>266</v>
      </c>
      <c r="H844" s="11" t="str">
        <f>IF(AND(B844="",C844=""),"CUSTOM BLANK",IF(OR(B844="",C844=""),"ERROR - ENTER BOTH",IF(OR(B844&lt;=0,C844&lt;=0),"ERROR - NONPOSITIVE",IF(OR(B844&lt;L844,C844&lt;L844),"ERROR - BELOW MIN",IF(OR(AND(B844&lt;=J844,C844&lt;=K844),AND(B844&lt;=K844,C844&lt;=J844)),"VALID - CUSTOM","ERROR - EXCEEDS BASE")))))</f>
        <v>CUSTOM BLANK</v>
      </c>
      <c r="I844" s="10" t="s">
        <v>267</v>
      </c>
      <c r="J844" s="12">
        <f>'05-ISO Reference'!$B$16</f>
        <v>18</v>
      </c>
      <c r="K844" s="12">
        <f>'05-ISO Reference'!$C$16</f>
        <v>26</v>
      </c>
      <c r="L844" s="12">
        <f>'01-Process Controls'!$G$5</f>
        <v>3</v>
      </c>
      <c r="M844" s="8"/>
      <c r="N844" s="8"/>
    </row>
    <row r="845" spans="1:15" ht="21" customHeight="1">
      <c r="A845" s="9" t="s">
        <v>1087</v>
      </c>
      <c r="B845" s="48"/>
      <c r="C845" s="48"/>
      <c r="D845" s="10" t="s">
        <v>263</v>
      </c>
      <c r="E845" s="10" t="s">
        <v>1081</v>
      </c>
      <c r="F845" s="10" t="s">
        <v>265</v>
      </c>
      <c r="G845" s="10" t="s">
        <v>266</v>
      </c>
      <c r="H845" s="11" t="str">
        <f>IF(AND(B845="",C845=""),"CUSTOM BLANK",IF(OR(B845="",C845=""),"ERROR - ENTER BOTH",IF(OR(B845&lt;=0,C845&lt;=0),"ERROR - NONPOSITIVE",IF(OR(B845&lt;L845,C845&lt;L845),"ERROR - BELOW MIN",IF(OR(AND(B845&lt;=J845,C845&lt;=K845),AND(B845&lt;=K845,C845&lt;=J845)),"VALID - CUSTOM","ERROR - EXCEEDS BASE")))))</f>
        <v>CUSTOM BLANK</v>
      </c>
      <c r="I845" s="10" t="s">
        <v>267</v>
      </c>
      <c r="J845" s="12">
        <f>'05-ISO Reference'!$B$16</f>
        <v>18</v>
      </c>
      <c r="K845" s="12">
        <f>'05-ISO Reference'!$C$16</f>
        <v>26</v>
      </c>
      <c r="L845" s="12">
        <f>'01-Process Controls'!$G$5</f>
        <v>3</v>
      </c>
      <c r="M845" s="8"/>
      <c r="N845" s="8"/>
    </row>
    <row r="846" spans="1:15" ht="21" customHeight="1">
      <c r="A846" s="9" t="s">
        <v>1088</v>
      </c>
      <c r="B846" s="48"/>
      <c r="C846" s="48"/>
      <c r="D846" s="10" t="s">
        <v>263</v>
      </c>
      <c r="E846" s="10" t="s">
        <v>1081</v>
      </c>
      <c r="F846" s="10" t="s">
        <v>265</v>
      </c>
      <c r="G846" s="10" t="s">
        <v>266</v>
      </c>
      <c r="H846" s="11" t="str">
        <f>IF(AND(B846="",C846=""),"CUSTOM BLANK",IF(OR(B846="",C846=""),"ERROR - ENTER BOTH",IF(OR(B846&lt;=0,C846&lt;=0),"ERROR - NONPOSITIVE",IF(OR(B846&lt;L846,C846&lt;L846),"ERROR - BELOW MIN",IF(OR(AND(B846&lt;=J846,C846&lt;=K846),AND(B846&lt;=K846,C846&lt;=J846)),"VALID - CUSTOM","ERROR - EXCEEDS BASE")))))</f>
        <v>CUSTOM BLANK</v>
      </c>
      <c r="I846" s="10" t="s">
        <v>267</v>
      </c>
      <c r="J846" s="12">
        <f>'05-ISO Reference'!$B$16</f>
        <v>18</v>
      </c>
      <c r="K846" s="12">
        <f>'05-ISO Reference'!$C$16</f>
        <v>26</v>
      </c>
      <c r="L846" s="12">
        <f>'01-Process Controls'!$G$5</f>
        <v>3</v>
      </c>
      <c r="M846" s="8"/>
      <c r="N846" s="8"/>
    </row>
    <row r="847" spans="1:15" ht="21" customHeight="1">
      <c r="A847" s="9" t="s">
        <v>1089</v>
      </c>
      <c r="B847" s="48"/>
      <c r="C847" s="48"/>
      <c r="D847" s="10" t="s">
        <v>263</v>
      </c>
      <c r="E847" s="10" t="s">
        <v>1081</v>
      </c>
      <c r="F847" s="10" t="s">
        <v>265</v>
      </c>
      <c r="G847" s="10" t="s">
        <v>266</v>
      </c>
      <c r="H847" s="11" t="str">
        <f>IF(AND(B847="",C847=""),"CUSTOM BLANK",IF(OR(B847="",C847=""),"ERROR - ENTER BOTH",IF(OR(B847&lt;=0,C847&lt;=0),"ERROR - NONPOSITIVE",IF(OR(B847&lt;L847,C847&lt;L847),"ERROR - BELOW MIN",IF(OR(AND(B847&lt;=J847,C847&lt;=K847),AND(B847&lt;=K847,C847&lt;=J847)),"VALID - CUSTOM","ERROR - EXCEEDS BASE")))))</f>
        <v>CUSTOM BLANK</v>
      </c>
      <c r="I847" s="10" t="s">
        <v>267</v>
      </c>
      <c r="J847" s="12">
        <f>'05-ISO Reference'!$B$16</f>
        <v>18</v>
      </c>
      <c r="K847" s="12">
        <f>'05-ISO Reference'!$C$16</f>
        <v>26</v>
      </c>
      <c r="L847" s="12">
        <f>'01-Process Controls'!$G$5</f>
        <v>3</v>
      </c>
      <c r="M847" s="8"/>
      <c r="N847" s="8"/>
    </row>
    <row r="848" spans="1:15" ht="21" customHeight="1">
      <c r="A848" s="9" t="s">
        <v>1090</v>
      </c>
      <c r="B848" s="48"/>
      <c r="C848" s="48"/>
      <c r="D848" s="10" t="s">
        <v>263</v>
      </c>
      <c r="E848" s="10" t="s">
        <v>1081</v>
      </c>
      <c r="F848" s="10" t="s">
        <v>265</v>
      </c>
      <c r="G848" s="10" t="s">
        <v>266</v>
      </c>
      <c r="H848" s="11" t="str">
        <f>IF(AND(B848="",C848=""),"CUSTOM BLANK",IF(OR(B848="",C848=""),"ERROR - ENTER BOTH",IF(OR(B848&lt;=0,C848&lt;=0),"ERROR - NONPOSITIVE",IF(OR(B848&lt;L848,C848&lt;L848),"ERROR - BELOW MIN",IF(OR(AND(B848&lt;=J848,C848&lt;=K848),AND(B848&lt;=K848,C848&lt;=J848)),"VALID - CUSTOM","ERROR - EXCEEDS BASE")))))</f>
        <v>CUSTOM BLANK</v>
      </c>
      <c r="I848" s="10" t="s">
        <v>267</v>
      </c>
      <c r="J848" s="12">
        <f>'05-ISO Reference'!$B$16</f>
        <v>18</v>
      </c>
      <c r="K848" s="12">
        <f>'05-ISO Reference'!$C$16</f>
        <v>26</v>
      </c>
      <c r="L848" s="12">
        <f>'01-Process Controls'!$G$5</f>
        <v>3</v>
      </c>
      <c r="M848" s="8"/>
      <c r="N848" s="8"/>
    </row>
    <row r="849" spans="1:15" ht="21" customHeight="1">
      <c r="A849" s="9" t="s">
        <v>1091</v>
      </c>
      <c r="B849" s="48"/>
      <c r="C849" s="48"/>
      <c r="D849" s="10" t="s">
        <v>263</v>
      </c>
      <c r="E849" s="10" t="s">
        <v>1081</v>
      </c>
      <c r="F849" s="10" t="s">
        <v>265</v>
      </c>
      <c r="G849" s="10" t="s">
        <v>266</v>
      </c>
      <c r="H849" s="11" t="str">
        <f>IF(AND(B849="",C849=""),"CUSTOM BLANK",IF(OR(B849="",C849=""),"ERROR - ENTER BOTH",IF(OR(B849&lt;=0,C849&lt;=0),"ERROR - NONPOSITIVE",IF(OR(B849&lt;L849,C849&lt;L849),"ERROR - BELOW MIN",IF(OR(AND(B849&lt;=J849,C849&lt;=K849),AND(B849&lt;=K849,C849&lt;=J849)),"VALID - CUSTOM","ERROR - EXCEEDS BASE")))))</f>
        <v>CUSTOM BLANK</v>
      </c>
      <c r="I849" s="10" t="s">
        <v>267</v>
      </c>
      <c r="J849" s="12">
        <f>'05-ISO Reference'!$B$16</f>
        <v>18</v>
      </c>
      <c r="K849" s="12">
        <f>'05-ISO Reference'!$C$16</f>
        <v>26</v>
      </c>
      <c r="L849" s="12">
        <f>'01-Process Controls'!$G$5</f>
        <v>3</v>
      </c>
      <c r="M849" s="8"/>
      <c r="N849" s="8"/>
    </row>
    <row r="850" spans="1:15" ht="21" customHeight="1">
      <c r="A850" s="9" t="s">
        <v>1092</v>
      </c>
      <c r="B850" s="48"/>
      <c r="C850" s="48"/>
      <c r="D850" s="10" t="s">
        <v>263</v>
      </c>
      <c r="E850" s="10" t="s">
        <v>1081</v>
      </c>
      <c r="F850" s="10" t="s">
        <v>265</v>
      </c>
      <c r="G850" s="10" t="s">
        <v>266</v>
      </c>
      <c r="H850" s="11" t="str">
        <f>IF(AND(B850="",C850=""),"CUSTOM BLANK",IF(OR(B850="",C850=""),"ERROR - ENTER BOTH",IF(OR(B850&lt;=0,C850&lt;=0),"ERROR - NONPOSITIVE",IF(OR(B850&lt;L850,C850&lt;L850),"ERROR - BELOW MIN",IF(OR(AND(B850&lt;=J850,C850&lt;=K850),AND(B850&lt;=K850,C850&lt;=J850)),"VALID - CUSTOM","ERROR - EXCEEDS BASE")))))</f>
        <v>CUSTOM BLANK</v>
      </c>
      <c r="I850" s="10" t="s">
        <v>267</v>
      </c>
      <c r="J850" s="12">
        <f>'05-ISO Reference'!$B$16</f>
        <v>18</v>
      </c>
      <c r="K850" s="12">
        <f>'05-ISO Reference'!$C$16</f>
        <v>26</v>
      </c>
      <c r="L850" s="12">
        <f>'01-Process Controls'!$G$5</f>
        <v>3</v>
      </c>
      <c r="M850" s="8"/>
      <c r="N850" s="8"/>
    </row>
    <row r="851" spans="1:15" ht="21" customHeight="1">
      <c r="A851" s="9" t="s">
        <v>1093</v>
      </c>
      <c r="B851" s="48"/>
      <c r="C851" s="48"/>
      <c r="D851" s="10" t="s">
        <v>263</v>
      </c>
      <c r="E851" s="10" t="s">
        <v>1081</v>
      </c>
      <c r="F851" s="10" t="s">
        <v>265</v>
      </c>
      <c r="G851" s="10" t="s">
        <v>266</v>
      </c>
      <c r="H851" s="11" t="str">
        <f>IF(AND(B851="",C851=""),"CUSTOM BLANK",IF(OR(B851="",C851=""),"ERROR - ENTER BOTH",IF(OR(B851&lt;=0,C851&lt;=0),"ERROR - NONPOSITIVE",IF(OR(B851&lt;L851,C851&lt;L851),"ERROR - BELOW MIN",IF(OR(AND(B851&lt;=J851,C851&lt;=K851),AND(B851&lt;=K851,C851&lt;=J851)),"VALID - CUSTOM","ERROR - EXCEEDS BASE")))))</f>
        <v>CUSTOM BLANK</v>
      </c>
      <c r="I851" s="10" t="s">
        <v>267</v>
      </c>
      <c r="J851" s="12">
        <f>'05-ISO Reference'!$B$16</f>
        <v>18</v>
      </c>
      <c r="K851" s="12">
        <f>'05-ISO Reference'!$C$16</f>
        <v>26</v>
      </c>
      <c r="L851" s="12">
        <f>'01-Process Controls'!$G$5</f>
        <v>3</v>
      </c>
      <c r="M851" s="8"/>
      <c r="N851" s="8"/>
    </row>
    <row r="852" spans="1:15" ht="21" customHeight="1">
      <c r="A852" s="9" t="s">
        <v>1094</v>
      </c>
      <c r="B852" s="48"/>
      <c r="C852" s="48"/>
      <c r="D852" s="10" t="s">
        <v>263</v>
      </c>
      <c r="E852" s="10" t="s">
        <v>1081</v>
      </c>
      <c r="F852" s="10" t="s">
        <v>265</v>
      </c>
      <c r="G852" s="10" t="s">
        <v>266</v>
      </c>
      <c r="H852" s="11" t="str">
        <f>IF(AND(B852="",C852=""),"CUSTOM BLANK",IF(OR(B852="",C852=""),"ERROR - ENTER BOTH",IF(OR(B852&lt;=0,C852&lt;=0),"ERROR - NONPOSITIVE",IF(OR(B852&lt;L852,C852&lt;L852),"ERROR - BELOW MIN",IF(OR(AND(B852&lt;=J852,C852&lt;=K852),AND(B852&lt;=K852,C852&lt;=J852)),"VALID - CUSTOM","ERROR - EXCEEDS BASE")))))</f>
        <v>CUSTOM BLANK</v>
      </c>
      <c r="I852" s="10" t="s">
        <v>267</v>
      </c>
      <c r="J852" s="12">
        <f>'05-ISO Reference'!$B$16</f>
        <v>18</v>
      </c>
      <c r="K852" s="12">
        <f>'05-ISO Reference'!$C$16</f>
        <v>26</v>
      </c>
      <c r="L852" s="12">
        <f>'01-Process Controls'!$G$5</f>
        <v>3</v>
      </c>
      <c r="M852" s="8"/>
      <c r="N852" s="8"/>
    </row>
    <row r="853" spans="1:15" ht="21" customHeight="1">
      <c r="A853" s="9" t="s">
        <v>1095</v>
      </c>
      <c r="B853" s="48"/>
      <c r="C853" s="48"/>
      <c r="D853" s="10" t="s">
        <v>263</v>
      </c>
      <c r="E853" s="10" t="s">
        <v>1081</v>
      </c>
      <c r="F853" s="10" t="s">
        <v>265</v>
      </c>
      <c r="G853" s="10" t="s">
        <v>266</v>
      </c>
      <c r="H853" s="11" t="str">
        <f>IF(AND(B853="",C853=""),"CUSTOM BLANK",IF(OR(B853="",C853=""),"ERROR - ENTER BOTH",IF(OR(B853&lt;=0,C853&lt;=0),"ERROR - NONPOSITIVE",IF(OR(B853&lt;L853,C853&lt;L853),"ERROR - BELOW MIN",IF(OR(AND(B853&lt;=J853,C853&lt;=K853),AND(B853&lt;=K853,C853&lt;=J853)),"VALID - CUSTOM","ERROR - EXCEEDS BASE")))))</f>
        <v>CUSTOM BLANK</v>
      </c>
      <c r="I853" s="10" t="s">
        <v>267</v>
      </c>
      <c r="J853" s="12">
        <f>'05-ISO Reference'!$B$16</f>
        <v>18</v>
      </c>
      <c r="K853" s="12">
        <f>'05-ISO Reference'!$C$16</f>
        <v>26</v>
      </c>
      <c r="L853" s="12">
        <f>'01-Process Controls'!$G$5</f>
        <v>3</v>
      </c>
      <c r="M853" s="8"/>
      <c r="N853" s="8"/>
    </row>
    <row r="854" spans="1:15" ht="21" customHeight="1">
      <c r="A854" s="44" t="s">
        <v>1096</v>
      </c>
      <c r="B854" s="45">
        <f>IF(LEFT(H854,5)="VALID",M854,"")</f>
        <v>13</v>
      </c>
      <c r="C854" s="45">
        <f>IF(LEFT(H854,5)="VALID",N854,"")</f>
        <v>18</v>
      </c>
      <c r="D854" s="46" t="s">
        <v>82</v>
      </c>
      <c r="E854" s="46" t="s">
        <v>1097</v>
      </c>
      <c r="F854" s="46" t="s">
        <v>122</v>
      </c>
      <c r="G854" s="46" t="s">
        <v>123</v>
      </c>
      <c r="H854" s="47" t="str">
        <f>"VALID - BASE"</f>
        <v>VALID - BASE</v>
      </c>
      <c r="I854" s="46" t="s">
        <v>1098</v>
      </c>
      <c r="J854" s="12">
        <f>'05-ISO Reference'!$B$17</f>
        <v>13</v>
      </c>
      <c r="K854" s="12">
        <f>'05-ISO Reference'!$C$17</f>
        <v>18</v>
      </c>
      <c r="L854" s="12">
        <f>'01-Process Controls'!$G$5</f>
        <v>3</v>
      </c>
      <c r="M854" s="12">
        <f>ROUNDDOWN(J854,0)</f>
        <v>13</v>
      </c>
      <c r="N854" s="12">
        <f>ROUNDDOWN(K854,0)</f>
        <v>18</v>
      </c>
      <c r="O854" s="9">
        <v>0</v>
      </c>
    </row>
    <row r="855" spans="1:15" ht="21" customHeight="1">
      <c r="A855" s="9" t="s">
        <v>1099</v>
      </c>
      <c r="B855" s="12">
        <f>IF(LEFT(H855,5)="VALID",M855,"")</f>
        <v>6</v>
      </c>
      <c r="C855" s="12">
        <f>IF(LEFT(H855,5)="VALID",N855,"")</f>
        <v>18</v>
      </c>
      <c r="D855" s="10" t="s">
        <v>82</v>
      </c>
      <c r="E855" s="10" t="s">
        <v>1097</v>
      </c>
      <c r="F855" s="10" t="s">
        <v>126</v>
      </c>
      <c r="G855" s="10" t="s">
        <v>127</v>
      </c>
      <c r="H855" s="11" t="str">
        <f>IF(OR(M855&lt;=0,N855&lt;=0),"SKIPPED - NONPOSITIVE",IF(OR(M855&lt;L855,N855&lt;L855),"SKIPPED - BELOW MIN",IF(OR(M855&gt;J855,N855&gt;K855),"SKIPPED - EXCEEDS BASE",IF(COUNTIFS($M$854:M854,M855,$N$854:N854,N855)&gt;0,"SKIPPED - DUPLICATE","VALID - GENERATED"))))</f>
        <v>VALID - GENERATED</v>
      </c>
      <c r="I855" s="10" t="s">
        <v>1098</v>
      </c>
      <c r="J855" s="12">
        <f>'05-ISO Reference'!$B$17</f>
        <v>13</v>
      </c>
      <c r="K855" s="12">
        <f>'05-ISO Reference'!$C$17</f>
        <v>18</v>
      </c>
      <c r="L855" s="12">
        <f>'01-Process Controls'!$G$5</f>
        <v>3</v>
      </c>
      <c r="M855" s="12">
        <f>ROUNDDOWN(J855*'04-Variant Rules'!$D$6,0)</f>
        <v>6</v>
      </c>
      <c r="N855" s="12">
        <f>ROUNDDOWN(K855,0)</f>
        <v>18</v>
      </c>
      <c r="O855" s="9">
        <v>1</v>
      </c>
    </row>
    <row r="856" spans="1:15" ht="21" customHeight="1">
      <c r="A856" s="9" t="s">
        <v>1100</v>
      </c>
      <c r="B856" s="12">
        <f>IF(LEFT(H856,5)="VALID",M856,"")</f>
        <v>4</v>
      </c>
      <c r="C856" s="12">
        <f>IF(LEFT(H856,5)="VALID",N856,"")</f>
        <v>18</v>
      </c>
      <c r="D856" s="10" t="s">
        <v>82</v>
      </c>
      <c r="E856" s="10" t="s">
        <v>1097</v>
      </c>
      <c r="F856" s="10" t="s">
        <v>129</v>
      </c>
      <c r="G856" s="10" t="s">
        <v>130</v>
      </c>
      <c r="H856" s="11" t="str">
        <f>IF(OR(M856&lt;=0,N856&lt;=0),"SKIPPED - NONPOSITIVE",IF(OR(M856&lt;L856,N856&lt;L856),"SKIPPED - BELOW MIN",IF(OR(M856&gt;J856,N856&gt;K856),"SKIPPED - EXCEEDS BASE",IF(COUNTIFS($M$854:M855,M856,$N$854:N855,N856)&gt;0,"SKIPPED - DUPLICATE","VALID - GENERATED"))))</f>
        <v>VALID - GENERATED</v>
      </c>
      <c r="I856" s="10" t="s">
        <v>1098</v>
      </c>
      <c r="J856" s="12">
        <f>'05-ISO Reference'!$B$17</f>
        <v>13</v>
      </c>
      <c r="K856" s="12">
        <f>'05-ISO Reference'!$C$17</f>
        <v>18</v>
      </c>
      <c r="L856" s="12">
        <f>'01-Process Controls'!$G$5</f>
        <v>3</v>
      </c>
      <c r="M856" s="12">
        <f>ROUNDDOWN(J856*'04-Variant Rules'!$D$7,0)</f>
        <v>4</v>
      </c>
      <c r="N856" s="12">
        <f>ROUNDDOWN(K856,0)</f>
        <v>18</v>
      </c>
      <c r="O856" s="9">
        <v>2</v>
      </c>
    </row>
    <row r="857" spans="1:15" ht="21" customHeight="1">
      <c r="A857" s="9" t="s">
        <v>1101</v>
      </c>
      <c r="B857" s="12">
        <f>IF(LEFT(H857,5)="VALID",M857,"")</f>
        <v>3</v>
      </c>
      <c r="C857" s="12">
        <f>IF(LEFT(H857,5)="VALID",N857,"")</f>
        <v>18</v>
      </c>
      <c r="D857" s="10" t="s">
        <v>82</v>
      </c>
      <c r="E857" s="10" t="s">
        <v>1097</v>
      </c>
      <c r="F857" s="10" t="s">
        <v>132</v>
      </c>
      <c r="G857" s="10" t="s">
        <v>133</v>
      </c>
      <c r="H857" s="11" t="str">
        <f>IF(OR(M857&lt;=0,N857&lt;=0),"SKIPPED - NONPOSITIVE",IF(OR(M857&lt;L857,N857&lt;L857),"SKIPPED - BELOW MIN",IF(OR(M857&gt;J857,N857&gt;K857),"SKIPPED - EXCEEDS BASE",IF(COUNTIFS($M$854:M856,M857,$N$854:N856,N857)&gt;0,"SKIPPED - DUPLICATE","VALID - GENERATED"))))</f>
        <v>VALID - GENERATED</v>
      </c>
      <c r="I857" s="10" t="s">
        <v>1098</v>
      </c>
      <c r="J857" s="12">
        <f>'05-ISO Reference'!$B$17</f>
        <v>13</v>
      </c>
      <c r="K857" s="12">
        <f>'05-ISO Reference'!$C$17</f>
        <v>18</v>
      </c>
      <c r="L857" s="12">
        <f>'01-Process Controls'!$G$5</f>
        <v>3</v>
      </c>
      <c r="M857" s="12">
        <f>ROUNDDOWN(J857*'04-Variant Rules'!$D$8,0)</f>
        <v>3</v>
      </c>
      <c r="N857" s="12">
        <f>ROUNDDOWN(K857,0)</f>
        <v>18</v>
      </c>
      <c r="O857" s="9">
        <v>3</v>
      </c>
    </row>
    <row r="858" spans="1:15" ht="21" customHeight="1">
      <c r="A858" s="9" t="s">
        <v>1102</v>
      </c>
      <c r="B858" s="12">
        <f>IF(LEFT(H858,5)="VALID",M858,"")</f>
        <v>8</v>
      </c>
      <c r="C858" s="12">
        <f>IF(LEFT(H858,5)="VALID",N858,"")</f>
        <v>18</v>
      </c>
      <c r="D858" s="10" t="s">
        <v>82</v>
      </c>
      <c r="E858" s="10" t="s">
        <v>1097</v>
      </c>
      <c r="F858" s="10" t="s">
        <v>135</v>
      </c>
      <c r="G858" s="10" t="s">
        <v>136</v>
      </c>
      <c r="H858" s="11" t="str">
        <f>IF(OR(M858&lt;=0,N858&lt;=0),"SKIPPED - NONPOSITIVE",IF(OR(M858&lt;L858,N858&lt;L858),"SKIPPED - BELOW MIN",IF(OR(M858&gt;J858,N858&gt;K858),"SKIPPED - EXCEEDS BASE",IF(COUNTIFS($M$854:M857,M858,$N$854:N857,N858)&gt;0,"SKIPPED - DUPLICATE","VALID - GENERATED"))))</f>
        <v>VALID - GENERATED</v>
      </c>
      <c r="I858" s="10" t="s">
        <v>1098</v>
      </c>
      <c r="J858" s="12">
        <f>'05-ISO Reference'!$B$17</f>
        <v>13</v>
      </c>
      <c r="K858" s="12">
        <f>'05-ISO Reference'!$C$17</f>
        <v>18</v>
      </c>
      <c r="L858" s="12">
        <f>'01-Process Controls'!$G$5</f>
        <v>3</v>
      </c>
      <c r="M858" s="12">
        <f>ROUNDDOWN(J858*'04-Variant Rules'!$D$9,0)</f>
        <v>8</v>
      </c>
      <c r="N858" s="12">
        <f>ROUNDDOWN(K858,0)</f>
        <v>18</v>
      </c>
      <c r="O858" s="9">
        <v>4</v>
      </c>
    </row>
    <row r="859" spans="1:15" ht="21" customHeight="1">
      <c r="A859" s="9" t="s">
        <v>1103</v>
      </c>
      <c r="B859" s="12">
        <f>IF(LEFT(H859,5)="VALID",M859,"")</f>
        <v>9</v>
      </c>
      <c r="C859" s="12">
        <f>IF(LEFT(H859,5)="VALID",N859,"")</f>
        <v>18</v>
      </c>
      <c r="D859" s="10" t="s">
        <v>82</v>
      </c>
      <c r="E859" s="10" t="s">
        <v>1097</v>
      </c>
      <c r="F859" s="10" t="s">
        <v>138</v>
      </c>
      <c r="G859" s="10" t="s">
        <v>139</v>
      </c>
      <c r="H859" s="11" t="str">
        <f>IF(OR(M859&lt;=0,N859&lt;=0),"SKIPPED - NONPOSITIVE",IF(OR(M859&lt;L859,N859&lt;L859),"SKIPPED - BELOW MIN",IF(OR(M859&gt;J859,N859&gt;K859),"SKIPPED - EXCEEDS BASE",IF(COUNTIFS($M$854:M858,M859,$N$854:N858,N859)&gt;0,"SKIPPED - DUPLICATE","VALID - GENERATED"))))</f>
        <v>VALID - GENERATED</v>
      </c>
      <c r="I859" s="10" t="s">
        <v>1098</v>
      </c>
      <c r="J859" s="12">
        <f>'05-ISO Reference'!$B$17</f>
        <v>13</v>
      </c>
      <c r="K859" s="12">
        <f>'05-ISO Reference'!$C$17</f>
        <v>18</v>
      </c>
      <c r="L859" s="12">
        <f>'01-Process Controls'!$G$5</f>
        <v>3</v>
      </c>
      <c r="M859" s="12">
        <f>ROUNDDOWN(J859*'04-Variant Rules'!$D$10,0)</f>
        <v>9</v>
      </c>
      <c r="N859" s="12">
        <f>ROUNDDOWN(K859,0)</f>
        <v>18</v>
      </c>
      <c r="O859" s="9">
        <v>5</v>
      </c>
    </row>
    <row r="860" spans="1:15" ht="21" customHeight="1">
      <c r="A860" s="9" t="s">
        <v>1104</v>
      </c>
      <c r="B860" s="12">
        <f>IF(LEFT(H860,5)="VALID",M860,"")</f>
        <v>13</v>
      </c>
      <c r="C860" s="12">
        <f>IF(LEFT(H860,5)="VALID",N860,"")</f>
        <v>9</v>
      </c>
      <c r="D860" s="10" t="s">
        <v>82</v>
      </c>
      <c r="E860" s="10" t="s">
        <v>1097</v>
      </c>
      <c r="F860" s="10" t="s">
        <v>141</v>
      </c>
      <c r="G860" s="10" t="s">
        <v>142</v>
      </c>
      <c r="H860" s="11" t="str">
        <f>IF(OR(M860&lt;=0,N860&lt;=0),"SKIPPED - NONPOSITIVE",IF(OR(M860&lt;L860,N860&lt;L860),"SKIPPED - BELOW MIN",IF(OR(M860&gt;J860,N860&gt;K860),"SKIPPED - EXCEEDS BASE",IF(COUNTIFS($M$854:M859,M860,$N$854:N859,N860)&gt;0,"SKIPPED - DUPLICATE","VALID - GENERATED"))))</f>
        <v>VALID - GENERATED</v>
      </c>
      <c r="I860" s="10" t="s">
        <v>1098</v>
      </c>
      <c r="J860" s="12">
        <f>'05-ISO Reference'!$B$17</f>
        <v>13</v>
      </c>
      <c r="K860" s="12">
        <f>'05-ISO Reference'!$C$17</f>
        <v>18</v>
      </c>
      <c r="L860" s="12">
        <f>'01-Process Controls'!$G$5</f>
        <v>3</v>
      </c>
      <c r="M860" s="12">
        <f>ROUNDDOWN(J860,0)</f>
        <v>13</v>
      </c>
      <c r="N860" s="12">
        <f>ROUNDDOWN(K860*'04-Variant Rules'!$D$11,0)</f>
        <v>9</v>
      </c>
      <c r="O860" s="9">
        <v>6</v>
      </c>
    </row>
    <row r="861" spans="1:15" ht="21" customHeight="1">
      <c r="A861" s="9" t="s">
        <v>1105</v>
      </c>
      <c r="B861" s="12">
        <f>IF(LEFT(H861,5)="VALID",M861,"")</f>
        <v>13</v>
      </c>
      <c r="C861" s="12">
        <f>IF(LEFT(H861,5)="VALID",N861,"")</f>
        <v>6</v>
      </c>
      <c r="D861" s="10" t="s">
        <v>82</v>
      </c>
      <c r="E861" s="10" t="s">
        <v>1097</v>
      </c>
      <c r="F861" s="10" t="s">
        <v>144</v>
      </c>
      <c r="G861" s="10" t="s">
        <v>145</v>
      </c>
      <c r="H861" s="11" t="str">
        <f>IF(OR(M861&lt;=0,N861&lt;=0),"SKIPPED - NONPOSITIVE",IF(OR(M861&lt;L861,N861&lt;L861),"SKIPPED - BELOW MIN",IF(OR(M861&gt;J861,N861&gt;K861),"SKIPPED - EXCEEDS BASE",IF(COUNTIFS($M$854:M860,M861,$N$854:N860,N861)&gt;0,"SKIPPED - DUPLICATE","VALID - GENERATED"))))</f>
        <v>VALID - GENERATED</v>
      </c>
      <c r="I861" s="10" t="s">
        <v>1098</v>
      </c>
      <c r="J861" s="12">
        <f>'05-ISO Reference'!$B$17</f>
        <v>13</v>
      </c>
      <c r="K861" s="12">
        <f>'05-ISO Reference'!$C$17</f>
        <v>18</v>
      </c>
      <c r="L861" s="12">
        <f>'01-Process Controls'!$G$5</f>
        <v>3</v>
      </c>
      <c r="M861" s="12">
        <f>ROUNDDOWN(J861,0)</f>
        <v>13</v>
      </c>
      <c r="N861" s="12">
        <f>ROUNDDOWN(K861*'04-Variant Rules'!$D$12,0)</f>
        <v>6</v>
      </c>
      <c r="O861" s="9">
        <v>7</v>
      </c>
    </row>
    <row r="862" spans="1:15" ht="21" customHeight="1">
      <c r="A862" s="9" t="s">
        <v>1106</v>
      </c>
      <c r="B862" s="12">
        <f>IF(LEFT(H862,5)="VALID",M862,"")</f>
        <v>13</v>
      </c>
      <c r="C862" s="12">
        <f>IF(LEFT(H862,5)="VALID",N862,"")</f>
        <v>4</v>
      </c>
      <c r="D862" s="10" t="s">
        <v>82</v>
      </c>
      <c r="E862" s="10" t="s">
        <v>1097</v>
      </c>
      <c r="F862" s="10" t="s">
        <v>147</v>
      </c>
      <c r="G862" s="10" t="s">
        <v>148</v>
      </c>
      <c r="H862" s="11" t="str">
        <f>IF(OR(M862&lt;=0,N862&lt;=0),"SKIPPED - NONPOSITIVE",IF(OR(M862&lt;L862,N862&lt;L862),"SKIPPED - BELOW MIN",IF(OR(M862&gt;J862,N862&gt;K862),"SKIPPED - EXCEEDS BASE",IF(COUNTIFS($M$854:M861,M862,$N$854:N861,N862)&gt;0,"SKIPPED - DUPLICATE","VALID - GENERATED"))))</f>
        <v>VALID - GENERATED</v>
      </c>
      <c r="I862" s="10" t="s">
        <v>1098</v>
      </c>
      <c r="J862" s="12">
        <f>'05-ISO Reference'!$B$17</f>
        <v>13</v>
      </c>
      <c r="K862" s="12">
        <f>'05-ISO Reference'!$C$17</f>
        <v>18</v>
      </c>
      <c r="L862" s="12">
        <f>'01-Process Controls'!$G$5</f>
        <v>3</v>
      </c>
      <c r="M862" s="12">
        <f>ROUNDDOWN(J862,0)</f>
        <v>13</v>
      </c>
      <c r="N862" s="12">
        <f>ROUNDDOWN(K862*'04-Variant Rules'!$D$13,0)</f>
        <v>4</v>
      </c>
      <c r="O862" s="9">
        <v>8</v>
      </c>
    </row>
    <row r="863" spans="1:15" ht="21" customHeight="1">
      <c r="A863" s="9" t="s">
        <v>1107</v>
      </c>
      <c r="B863" s="12">
        <f>IF(LEFT(H863,5)="VALID",M863,"")</f>
        <v>13</v>
      </c>
      <c r="C863" s="12">
        <f>IF(LEFT(H863,5)="VALID",N863,"")</f>
        <v>12</v>
      </c>
      <c r="D863" s="10" t="s">
        <v>82</v>
      </c>
      <c r="E863" s="10" t="s">
        <v>1097</v>
      </c>
      <c r="F863" s="10" t="s">
        <v>150</v>
      </c>
      <c r="G863" s="10" t="s">
        <v>151</v>
      </c>
      <c r="H863" s="11" t="str">
        <f>IF(OR(M863&lt;=0,N863&lt;=0),"SKIPPED - NONPOSITIVE",IF(OR(M863&lt;L863,N863&lt;L863),"SKIPPED - BELOW MIN",IF(OR(M863&gt;J863,N863&gt;K863),"SKIPPED - EXCEEDS BASE",IF(COUNTIFS($M$854:M862,M863,$N$854:N862,N863)&gt;0,"SKIPPED - DUPLICATE","VALID - GENERATED"))))</f>
        <v>VALID - GENERATED</v>
      </c>
      <c r="I863" s="10" t="s">
        <v>1098</v>
      </c>
      <c r="J863" s="12">
        <f>'05-ISO Reference'!$B$17</f>
        <v>13</v>
      </c>
      <c r="K863" s="12">
        <f>'05-ISO Reference'!$C$17</f>
        <v>18</v>
      </c>
      <c r="L863" s="12">
        <f>'01-Process Controls'!$G$5</f>
        <v>3</v>
      </c>
      <c r="M863" s="12">
        <f>ROUNDDOWN(J863,0)</f>
        <v>13</v>
      </c>
      <c r="N863" s="12">
        <f>ROUNDDOWN(K863*'04-Variant Rules'!$D$14,0)</f>
        <v>12</v>
      </c>
      <c r="O863" s="9">
        <v>9</v>
      </c>
    </row>
    <row r="864" spans="1:15" ht="21" customHeight="1">
      <c r="A864" s="9" t="s">
        <v>1108</v>
      </c>
      <c r="B864" s="12">
        <f>IF(LEFT(H864,5)="VALID",M864,"")</f>
        <v>13</v>
      </c>
      <c r="C864" s="12">
        <f>IF(LEFT(H864,5)="VALID",N864,"")</f>
        <v>13</v>
      </c>
      <c r="D864" s="10" t="s">
        <v>82</v>
      </c>
      <c r="E864" s="10" t="s">
        <v>1097</v>
      </c>
      <c r="F864" s="10" t="s">
        <v>153</v>
      </c>
      <c r="G864" s="10" t="s">
        <v>154</v>
      </c>
      <c r="H864" s="11" t="str">
        <f>IF(OR(M864&lt;=0,N864&lt;=0),"SKIPPED - NONPOSITIVE",IF(OR(M864&lt;L864,N864&lt;L864),"SKIPPED - BELOW MIN",IF(OR(M864&gt;J864,N864&gt;K864),"SKIPPED - EXCEEDS BASE",IF(COUNTIFS($M$854:M863,M864,$N$854:N863,N864)&gt;0,"SKIPPED - DUPLICATE","VALID - GENERATED"))))</f>
        <v>VALID - GENERATED</v>
      </c>
      <c r="I864" s="10" t="s">
        <v>1098</v>
      </c>
      <c r="J864" s="12">
        <f>'05-ISO Reference'!$B$17</f>
        <v>13</v>
      </c>
      <c r="K864" s="12">
        <f>'05-ISO Reference'!$C$17</f>
        <v>18</v>
      </c>
      <c r="L864" s="12">
        <f>'01-Process Controls'!$G$5</f>
        <v>3</v>
      </c>
      <c r="M864" s="12">
        <f>ROUNDDOWN(J864,0)</f>
        <v>13</v>
      </c>
      <c r="N864" s="12">
        <f>ROUNDDOWN(K864*'04-Variant Rules'!$D$15,0)</f>
        <v>13</v>
      </c>
      <c r="O864" s="9">
        <v>10</v>
      </c>
    </row>
    <row r="865" spans="1:15" ht="21" customHeight="1">
      <c r="A865" s="9" t="s">
        <v>1109</v>
      </c>
      <c r="B865" s="12">
        <f>IF(LEFT(H865,5)="VALID",M865,"")</f>
        <v>6</v>
      </c>
      <c r="C865" s="12">
        <f>IF(LEFT(H865,5)="VALID",N865,"")</f>
        <v>9</v>
      </c>
      <c r="D865" s="10" t="s">
        <v>82</v>
      </c>
      <c r="E865" s="10" t="s">
        <v>1097</v>
      </c>
      <c r="F865" s="10" t="s">
        <v>156</v>
      </c>
      <c r="G865" s="10" t="s">
        <v>157</v>
      </c>
      <c r="H865" s="11" t="str">
        <f>IF(OR(M865&lt;=0,N865&lt;=0),"SKIPPED - NONPOSITIVE",IF(OR(M865&lt;L865,N865&lt;L865),"SKIPPED - BELOW MIN",IF(OR(M865&gt;J865,N865&gt;K865),"SKIPPED - EXCEEDS BASE",IF(COUNTIFS($M$854:M864,M865,$N$854:N864,N865)&gt;0,"SKIPPED - DUPLICATE","VALID - GENERATED"))))</f>
        <v>VALID - GENERATED</v>
      </c>
      <c r="I865" s="10" t="s">
        <v>1098</v>
      </c>
      <c r="J865" s="12">
        <f>'05-ISO Reference'!$B$17</f>
        <v>13</v>
      </c>
      <c r="K865" s="12">
        <f>'05-ISO Reference'!$C$17</f>
        <v>18</v>
      </c>
      <c r="L865" s="12">
        <f>'01-Process Controls'!$G$5</f>
        <v>3</v>
      </c>
      <c r="M865" s="12">
        <f>ROUNDDOWN(J865*'04-Variant Rules'!$D$16,0)</f>
        <v>6</v>
      </c>
      <c r="N865" s="12">
        <f>ROUNDDOWN(K865*'04-Variant Rules'!$E$16,0)</f>
        <v>9</v>
      </c>
      <c r="O865" s="9">
        <v>11</v>
      </c>
    </row>
    <row r="866" spans="1:15" ht="21" customHeight="1">
      <c r="A866" s="9" t="s">
        <v>1110</v>
      </c>
      <c r="B866" s="12">
        <f>IF(LEFT(H866,5)="VALID",M866,"")</f>
        <v>4</v>
      </c>
      <c r="C866" s="12">
        <f>IF(LEFT(H866,5)="VALID",N866,"")</f>
        <v>6</v>
      </c>
      <c r="D866" s="10" t="s">
        <v>82</v>
      </c>
      <c r="E866" s="10" t="s">
        <v>1097</v>
      </c>
      <c r="F866" s="10" t="s">
        <v>159</v>
      </c>
      <c r="G866" s="10" t="s">
        <v>160</v>
      </c>
      <c r="H866" s="11" t="str">
        <f>IF(OR(M866&lt;=0,N866&lt;=0),"SKIPPED - NONPOSITIVE",IF(OR(M866&lt;L866,N866&lt;L866),"SKIPPED - BELOW MIN",IF(OR(M866&gt;J866,N866&gt;K866),"SKIPPED - EXCEEDS BASE",IF(COUNTIFS($M$854:M865,M866,$N$854:N865,N866)&gt;0,"SKIPPED - DUPLICATE","VALID - GENERATED"))))</f>
        <v>VALID - GENERATED</v>
      </c>
      <c r="I866" s="10" t="s">
        <v>1098</v>
      </c>
      <c r="J866" s="12">
        <f>'05-ISO Reference'!$B$17</f>
        <v>13</v>
      </c>
      <c r="K866" s="12">
        <f>'05-ISO Reference'!$C$17</f>
        <v>18</v>
      </c>
      <c r="L866" s="12">
        <f>'01-Process Controls'!$G$5</f>
        <v>3</v>
      </c>
      <c r="M866" s="12">
        <f>ROUNDDOWN(J866*'04-Variant Rules'!$D$17,0)</f>
        <v>4</v>
      </c>
      <c r="N866" s="12">
        <f>ROUNDDOWN(K866*'04-Variant Rules'!$E$17,0)</f>
        <v>6</v>
      </c>
      <c r="O866" s="9">
        <v>12</v>
      </c>
    </row>
    <row r="867" spans="1:15" ht="21" customHeight="1">
      <c r="A867" s="9" t="s">
        <v>1111</v>
      </c>
      <c r="B867" s="12">
        <f>IF(LEFT(H867,5)="VALID",M867,"")</f>
        <v>3</v>
      </c>
      <c r="C867" s="12">
        <f>IF(LEFT(H867,5)="VALID",N867,"")</f>
        <v>4</v>
      </c>
      <c r="D867" s="10" t="s">
        <v>82</v>
      </c>
      <c r="E867" s="10" t="s">
        <v>1097</v>
      </c>
      <c r="F867" s="10" t="s">
        <v>162</v>
      </c>
      <c r="G867" s="10" t="s">
        <v>163</v>
      </c>
      <c r="H867" s="11" t="str">
        <f>IF(OR(M867&lt;=0,N867&lt;=0),"SKIPPED - NONPOSITIVE",IF(OR(M867&lt;L867,N867&lt;L867),"SKIPPED - BELOW MIN",IF(OR(M867&gt;J867,N867&gt;K867),"SKIPPED - EXCEEDS BASE",IF(COUNTIFS($M$854:M866,M867,$N$854:N866,N867)&gt;0,"SKIPPED - DUPLICATE","VALID - GENERATED"))))</f>
        <v>VALID - GENERATED</v>
      </c>
      <c r="I867" s="10" t="s">
        <v>1098</v>
      </c>
      <c r="J867" s="12">
        <f>'05-ISO Reference'!$B$17</f>
        <v>13</v>
      </c>
      <c r="K867" s="12">
        <f>'05-ISO Reference'!$C$17</f>
        <v>18</v>
      </c>
      <c r="L867" s="12">
        <f>'01-Process Controls'!$G$5</f>
        <v>3</v>
      </c>
      <c r="M867" s="12">
        <f>ROUNDDOWN(J867*'04-Variant Rules'!$D$18,0)</f>
        <v>3</v>
      </c>
      <c r="N867" s="12">
        <f>ROUNDDOWN(K867*'04-Variant Rules'!$E$18,0)</f>
        <v>4</v>
      </c>
      <c r="O867" s="9">
        <v>13</v>
      </c>
    </row>
    <row r="868" spans="1:15" ht="21" customHeight="1">
      <c r="A868" s="9" t="s">
        <v>1112</v>
      </c>
      <c r="B868" s="12">
        <f>IF(LEFT(H868,5)="VALID",M868,"")</f>
        <v>6</v>
      </c>
      <c r="C868" s="12">
        <f>IF(LEFT(H868,5)="VALID",N868,"")</f>
        <v>6</v>
      </c>
      <c r="D868" s="10" t="s">
        <v>82</v>
      </c>
      <c r="E868" s="10" t="s">
        <v>1097</v>
      </c>
      <c r="F868" s="10" t="s">
        <v>165</v>
      </c>
      <c r="G868" s="10" t="s">
        <v>166</v>
      </c>
      <c r="H868" s="11" t="str">
        <f>IF(OR(M868&lt;=0,N868&lt;=0),"SKIPPED - NONPOSITIVE",IF(OR(M868&lt;L868,N868&lt;L868),"SKIPPED - BELOW MIN",IF(OR(M868&gt;J868,N868&gt;K868),"SKIPPED - EXCEEDS BASE",IF(COUNTIFS($M$854:M867,M868,$N$854:N867,N868)&gt;0,"SKIPPED - DUPLICATE","VALID - GENERATED"))))</f>
        <v>VALID - GENERATED</v>
      </c>
      <c r="I868" s="10" t="s">
        <v>1098</v>
      </c>
      <c r="J868" s="12">
        <f>'05-ISO Reference'!$B$17</f>
        <v>13</v>
      </c>
      <c r="K868" s="12">
        <f>'05-ISO Reference'!$C$17</f>
        <v>18</v>
      </c>
      <c r="L868" s="12">
        <f>'01-Process Controls'!$G$5</f>
        <v>3</v>
      </c>
      <c r="M868" s="12">
        <f>ROUNDDOWN(J868*'04-Variant Rules'!$D$19,0)</f>
        <v>6</v>
      </c>
      <c r="N868" s="12">
        <f>ROUNDDOWN(K868*'04-Variant Rules'!$E$19,0)</f>
        <v>6</v>
      </c>
      <c r="O868" s="9">
        <v>14</v>
      </c>
    </row>
    <row r="869" spans="1:15" ht="21" customHeight="1">
      <c r="A869" s="9" t="s">
        <v>1113</v>
      </c>
      <c r="B869" s="12">
        <f>IF(LEFT(H869,5)="VALID",M869,"")</f>
        <v>4</v>
      </c>
      <c r="C869" s="12">
        <f>IF(LEFT(H869,5)="VALID",N869,"")</f>
        <v>9</v>
      </c>
      <c r="D869" s="10" t="s">
        <v>82</v>
      </c>
      <c r="E869" s="10" t="s">
        <v>1097</v>
      </c>
      <c r="F869" s="10" t="s">
        <v>168</v>
      </c>
      <c r="G869" s="10" t="s">
        <v>166</v>
      </c>
      <c r="H869" s="11" t="str">
        <f>IF(OR(M869&lt;=0,N869&lt;=0),"SKIPPED - NONPOSITIVE",IF(OR(M869&lt;L869,N869&lt;L869),"SKIPPED - BELOW MIN",IF(OR(M869&gt;J869,N869&gt;K869),"SKIPPED - EXCEEDS BASE",IF(COUNTIFS($M$854:M868,M869,$N$854:N868,N869)&gt;0,"SKIPPED - DUPLICATE","VALID - GENERATED"))))</f>
        <v>VALID - GENERATED</v>
      </c>
      <c r="I869" s="10" t="s">
        <v>1098</v>
      </c>
      <c r="J869" s="12">
        <f>'05-ISO Reference'!$B$17</f>
        <v>13</v>
      </c>
      <c r="K869" s="12">
        <f>'05-ISO Reference'!$C$17</f>
        <v>18</v>
      </c>
      <c r="L869" s="12">
        <f>'01-Process Controls'!$G$5</f>
        <v>3</v>
      </c>
      <c r="M869" s="12">
        <f>ROUNDDOWN(J869*'04-Variant Rules'!$D$20,0)</f>
        <v>4</v>
      </c>
      <c r="N869" s="12">
        <f>ROUNDDOWN(K869*'04-Variant Rules'!$E$20,0)</f>
        <v>9</v>
      </c>
      <c r="O869" s="9">
        <v>15</v>
      </c>
    </row>
    <row r="870" spans="1:15" ht="21" customHeight="1">
      <c r="A870" s="9" t="s">
        <v>1114</v>
      </c>
      <c r="B870" s="12">
        <f>IF(LEFT(H870,5)="VALID",M870,"")</f>
        <v>6</v>
      </c>
      <c r="C870" s="12">
        <f>IF(LEFT(H870,5)="VALID",N870,"")</f>
        <v>4</v>
      </c>
      <c r="D870" s="10" t="s">
        <v>82</v>
      </c>
      <c r="E870" s="10" t="s">
        <v>1097</v>
      </c>
      <c r="F870" s="10" t="s">
        <v>170</v>
      </c>
      <c r="G870" s="10" t="s">
        <v>166</v>
      </c>
      <c r="H870" s="11" t="str">
        <f>IF(OR(M870&lt;=0,N870&lt;=0),"SKIPPED - NONPOSITIVE",IF(OR(M870&lt;L870,N870&lt;L870),"SKIPPED - BELOW MIN",IF(OR(M870&gt;J870,N870&gt;K870),"SKIPPED - EXCEEDS BASE",IF(COUNTIFS($M$854:M869,M870,$N$854:N869,N870)&gt;0,"SKIPPED - DUPLICATE","VALID - GENERATED"))))</f>
        <v>VALID - GENERATED</v>
      </c>
      <c r="I870" s="10" t="s">
        <v>1098</v>
      </c>
      <c r="J870" s="12">
        <f>'05-ISO Reference'!$B$17</f>
        <v>13</v>
      </c>
      <c r="K870" s="12">
        <f>'05-ISO Reference'!$C$17</f>
        <v>18</v>
      </c>
      <c r="L870" s="12">
        <f>'01-Process Controls'!$G$5</f>
        <v>3</v>
      </c>
      <c r="M870" s="12">
        <f>ROUNDDOWN(J870*'04-Variant Rules'!$D$21,0)</f>
        <v>6</v>
      </c>
      <c r="N870" s="12">
        <f>ROUNDDOWN(K870*'04-Variant Rules'!$E$21,0)</f>
        <v>4</v>
      </c>
      <c r="O870" s="9">
        <v>16</v>
      </c>
    </row>
    <row r="871" spans="1:15" ht="21" customHeight="1">
      <c r="A871" s="9" t="s">
        <v>1115</v>
      </c>
      <c r="B871" s="12">
        <f>IF(LEFT(H871,5)="VALID",M871,"")</f>
        <v>3</v>
      </c>
      <c r="C871" s="12">
        <f>IF(LEFT(H871,5)="VALID",N871,"")</f>
        <v>9</v>
      </c>
      <c r="D871" s="10" t="s">
        <v>82</v>
      </c>
      <c r="E871" s="10" t="s">
        <v>1097</v>
      </c>
      <c r="F871" s="10" t="s">
        <v>172</v>
      </c>
      <c r="G871" s="10" t="s">
        <v>166</v>
      </c>
      <c r="H871" s="11" t="str">
        <f>IF(OR(M871&lt;=0,N871&lt;=0),"SKIPPED - NONPOSITIVE",IF(OR(M871&lt;L871,N871&lt;L871),"SKIPPED - BELOW MIN",IF(OR(M871&gt;J871,N871&gt;K871),"SKIPPED - EXCEEDS BASE",IF(COUNTIFS($M$854:M870,M871,$N$854:N870,N871)&gt;0,"SKIPPED - DUPLICATE","VALID - GENERATED"))))</f>
        <v>VALID - GENERATED</v>
      </c>
      <c r="I871" s="10" t="s">
        <v>1098</v>
      </c>
      <c r="J871" s="12">
        <f>'05-ISO Reference'!$B$17</f>
        <v>13</v>
      </c>
      <c r="K871" s="12">
        <f>'05-ISO Reference'!$C$17</f>
        <v>18</v>
      </c>
      <c r="L871" s="12">
        <f>'01-Process Controls'!$G$5</f>
        <v>3</v>
      </c>
      <c r="M871" s="12">
        <f>ROUNDDOWN(J871*'04-Variant Rules'!$D$22,0)</f>
        <v>3</v>
      </c>
      <c r="N871" s="12">
        <f>ROUNDDOWN(K871*'04-Variant Rules'!$E$22,0)</f>
        <v>9</v>
      </c>
      <c r="O871" s="9">
        <v>17</v>
      </c>
    </row>
    <row r="872" spans="1:15" ht="21" customHeight="1">
      <c r="A872" s="9" t="s">
        <v>1116</v>
      </c>
      <c r="B872" s="12">
        <f>IF(LEFT(H872,5)="VALID",M872,"")</f>
        <v>8</v>
      </c>
      <c r="C872" s="12">
        <f>IF(LEFT(H872,5)="VALID",N872,"")</f>
        <v>9</v>
      </c>
      <c r="D872" s="10" t="s">
        <v>82</v>
      </c>
      <c r="E872" s="10" t="s">
        <v>1097</v>
      </c>
      <c r="F872" s="10" t="s">
        <v>174</v>
      </c>
      <c r="G872" s="10" t="s">
        <v>166</v>
      </c>
      <c r="H872" s="11" t="str">
        <f>IF(OR(M872&lt;=0,N872&lt;=0),"SKIPPED - NONPOSITIVE",IF(OR(M872&lt;L872,N872&lt;L872),"SKIPPED - BELOW MIN",IF(OR(M872&gt;J872,N872&gt;K872),"SKIPPED - EXCEEDS BASE",IF(COUNTIFS($M$854:M871,M872,$N$854:N871,N872)&gt;0,"SKIPPED - DUPLICATE","VALID - GENERATED"))))</f>
        <v>VALID - GENERATED</v>
      </c>
      <c r="I872" s="10" t="s">
        <v>1098</v>
      </c>
      <c r="J872" s="12">
        <f>'05-ISO Reference'!$B$17</f>
        <v>13</v>
      </c>
      <c r="K872" s="12">
        <f>'05-ISO Reference'!$C$17</f>
        <v>18</v>
      </c>
      <c r="L872" s="12">
        <f>'01-Process Controls'!$G$5</f>
        <v>3</v>
      </c>
      <c r="M872" s="12">
        <f>ROUNDDOWN(J872*'04-Variant Rules'!$D$23,0)</f>
        <v>8</v>
      </c>
      <c r="N872" s="12">
        <f>ROUNDDOWN(K872*'04-Variant Rules'!$E$23,0)</f>
        <v>9</v>
      </c>
      <c r="O872" s="9">
        <v>18</v>
      </c>
    </row>
    <row r="873" spans="1:15" ht="21" customHeight="1">
      <c r="A873" s="9" t="s">
        <v>1117</v>
      </c>
      <c r="B873" s="12">
        <f>IF(LEFT(H873,5)="VALID",M873,"")</f>
        <v>6</v>
      </c>
      <c r="C873" s="12">
        <f>IF(LEFT(H873,5)="VALID",N873,"")</f>
        <v>12</v>
      </c>
      <c r="D873" s="10" t="s">
        <v>82</v>
      </c>
      <c r="E873" s="10" t="s">
        <v>1097</v>
      </c>
      <c r="F873" s="10" t="s">
        <v>176</v>
      </c>
      <c r="G873" s="10" t="s">
        <v>166</v>
      </c>
      <c r="H873" s="11" t="str">
        <f>IF(OR(M873&lt;=0,N873&lt;=0),"SKIPPED - NONPOSITIVE",IF(OR(M873&lt;L873,N873&lt;L873),"SKIPPED - BELOW MIN",IF(OR(M873&gt;J873,N873&gt;K873),"SKIPPED - EXCEEDS BASE",IF(COUNTIFS($M$854:M872,M873,$N$854:N872,N873)&gt;0,"SKIPPED - DUPLICATE","VALID - GENERATED"))))</f>
        <v>VALID - GENERATED</v>
      </c>
      <c r="I873" s="10" t="s">
        <v>1098</v>
      </c>
      <c r="J873" s="12">
        <f>'05-ISO Reference'!$B$17</f>
        <v>13</v>
      </c>
      <c r="K873" s="12">
        <f>'05-ISO Reference'!$C$17</f>
        <v>18</v>
      </c>
      <c r="L873" s="12">
        <f>'01-Process Controls'!$G$5</f>
        <v>3</v>
      </c>
      <c r="M873" s="12">
        <f>ROUNDDOWN(J873*'04-Variant Rules'!$D$24,0)</f>
        <v>6</v>
      </c>
      <c r="N873" s="12">
        <f>ROUNDDOWN(K873*'04-Variant Rules'!$E$24,0)</f>
        <v>12</v>
      </c>
      <c r="O873" s="9">
        <v>19</v>
      </c>
    </row>
    <row r="874" spans="1:15" ht="21" customHeight="1">
      <c r="A874" s="9" t="s">
        <v>1118</v>
      </c>
      <c r="B874" s="12">
        <f>IF(LEFT(H874,5)="VALID",M874,"")</f>
        <v>9</v>
      </c>
      <c r="C874" s="12">
        <f>IF(LEFT(H874,5)="VALID",N874,"")</f>
        <v>9</v>
      </c>
      <c r="D874" s="10" t="s">
        <v>82</v>
      </c>
      <c r="E874" s="10" t="s">
        <v>1097</v>
      </c>
      <c r="F874" s="10" t="s">
        <v>178</v>
      </c>
      <c r="G874" s="10" t="s">
        <v>166</v>
      </c>
      <c r="H874" s="11" t="str">
        <f>IF(OR(M874&lt;=0,N874&lt;=0),"SKIPPED - NONPOSITIVE",IF(OR(M874&lt;L874,N874&lt;L874),"SKIPPED - BELOW MIN",IF(OR(M874&gt;J874,N874&gt;K874),"SKIPPED - EXCEEDS BASE",IF(COUNTIFS($M$854:M873,M874,$N$854:N873,N874)&gt;0,"SKIPPED - DUPLICATE","VALID - GENERATED"))))</f>
        <v>VALID - GENERATED</v>
      </c>
      <c r="I874" s="10" t="s">
        <v>1098</v>
      </c>
      <c r="J874" s="12">
        <f>'05-ISO Reference'!$B$17</f>
        <v>13</v>
      </c>
      <c r="K874" s="12">
        <f>'05-ISO Reference'!$C$17</f>
        <v>18</v>
      </c>
      <c r="L874" s="12">
        <f>'01-Process Controls'!$G$5</f>
        <v>3</v>
      </c>
      <c r="M874" s="12">
        <f>ROUNDDOWN(J874*'04-Variant Rules'!$D$25,0)</f>
        <v>9</v>
      </c>
      <c r="N874" s="12">
        <f>ROUNDDOWN(K874*'04-Variant Rules'!$E$25,0)</f>
        <v>9</v>
      </c>
      <c r="O874" s="9">
        <v>20</v>
      </c>
    </row>
    <row r="875" spans="1:15" ht="21" customHeight="1">
      <c r="A875" s="9" t="s">
        <v>1119</v>
      </c>
      <c r="B875" s="12">
        <f>IF(LEFT(H875,5)="VALID",M875,"")</f>
        <v>6</v>
      </c>
      <c r="C875" s="12">
        <f>IF(LEFT(H875,5)="VALID",N875,"")</f>
        <v>13</v>
      </c>
      <c r="D875" s="10" t="s">
        <v>82</v>
      </c>
      <c r="E875" s="10" t="s">
        <v>1097</v>
      </c>
      <c r="F875" s="10" t="s">
        <v>180</v>
      </c>
      <c r="G875" s="10" t="s">
        <v>166</v>
      </c>
      <c r="H875" s="11" t="str">
        <f>IF(OR(M875&lt;=0,N875&lt;=0),"SKIPPED - NONPOSITIVE",IF(OR(M875&lt;L875,N875&lt;L875),"SKIPPED - BELOW MIN",IF(OR(M875&gt;J875,N875&gt;K875),"SKIPPED - EXCEEDS BASE",IF(COUNTIFS($M$854:M874,M875,$N$854:N874,N875)&gt;0,"SKIPPED - DUPLICATE","VALID - GENERATED"))))</f>
        <v>VALID - GENERATED</v>
      </c>
      <c r="I875" s="10" t="s">
        <v>1098</v>
      </c>
      <c r="J875" s="12">
        <f>'05-ISO Reference'!$B$17</f>
        <v>13</v>
      </c>
      <c r="K875" s="12">
        <f>'05-ISO Reference'!$C$17</f>
        <v>18</v>
      </c>
      <c r="L875" s="12">
        <f>'01-Process Controls'!$G$5</f>
        <v>3</v>
      </c>
      <c r="M875" s="12">
        <f>ROUNDDOWN(J875*'04-Variant Rules'!$D$26,0)</f>
        <v>6</v>
      </c>
      <c r="N875" s="12">
        <f>ROUNDDOWN(K875*'04-Variant Rules'!$E$26,0)</f>
        <v>13</v>
      </c>
      <c r="O875" s="9">
        <v>21</v>
      </c>
    </row>
    <row r="876" spans="1:15" ht="21" customHeight="1">
      <c r="A876" s="9" t="s">
        <v>1120</v>
      </c>
      <c r="B876" s="12">
        <f>IF(LEFT(H876,5)="VALID",M876,"")</f>
        <v>12</v>
      </c>
      <c r="C876" s="12">
        <f>IF(LEFT(H876,5)="VALID",N876,"")</f>
        <v>17</v>
      </c>
      <c r="D876" s="10" t="s">
        <v>82</v>
      </c>
      <c r="E876" s="10" t="s">
        <v>1097</v>
      </c>
      <c r="F876" s="10" t="s">
        <v>182</v>
      </c>
      <c r="G876" s="10" t="s">
        <v>183</v>
      </c>
      <c r="H876" s="11" t="str">
        <f>IF(OR(M876&lt;=0,N876&lt;=0),"SKIPPED - NONPOSITIVE",IF(OR(M876&lt;L876,N876&lt;L876),"SKIPPED - BELOW MIN",IF(OR(M876&gt;J876,N876&gt;K876),"SKIPPED - EXCEEDS BASE",IF(COUNTIFS($M$854:M875,M876,$N$854:N875,N876)&gt;0,"SKIPPED - DUPLICATE","VALID - GENERATED"))))</f>
        <v>VALID - GENERATED</v>
      </c>
      <c r="I876" s="10" t="s">
        <v>1098</v>
      </c>
      <c r="J876" s="12">
        <f>'05-ISO Reference'!$B$17</f>
        <v>13</v>
      </c>
      <c r="K876" s="12">
        <f>'05-ISO Reference'!$C$17</f>
        <v>18</v>
      </c>
      <c r="L876" s="12">
        <f>'01-Process Controls'!$G$5</f>
        <v>3</v>
      </c>
      <c r="M876" s="12">
        <f>ROUNDDOWN(J876*'04-Variant Rules'!$D$27,0)</f>
        <v>12</v>
      </c>
      <c r="N876" s="12">
        <f>ROUNDDOWN(K876*'04-Variant Rules'!$E$27,0)</f>
        <v>17</v>
      </c>
      <c r="O876" s="9">
        <v>22</v>
      </c>
    </row>
    <row r="877" spans="1:15" ht="21" customHeight="1">
      <c r="A877" s="9" t="s">
        <v>1121</v>
      </c>
      <c r="B877" s="12">
        <f>IF(LEFT(H877,5)="VALID",M877,"")</f>
        <v>11</v>
      </c>
      <c r="C877" s="12">
        <f>IF(LEFT(H877,5)="VALID",N877,"")</f>
        <v>16</v>
      </c>
      <c r="D877" s="10" t="s">
        <v>82</v>
      </c>
      <c r="E877" s="10" t="s">
        <v>1097</v>
      </c>
      <c r="F877" s="10" t="s">
        <v>185</v>
      </c>
      <c r="G877" s="10" t="s">
        <v>186</v>
      </c>
      <c r="H877" s="11" t="str">
        <f>IF(OR(M877&lt;=0,N877&lt;=0),"SKIPPED - NONPOSITIVE",IF(OR(M877&lt;L877,N877&lt;L877),"SKIPPED - BELOW MIN",IF(OR(M877&gt;J877,N877&gt;K877),"SKIPPED - EXCEEDS BASE",IF(COUNTIFS($M$854:M876,M877,$N$854:N876,N877)&gt;0,"SKIPPED - DUPLICATE","VALID - GENERATED"))))</f>
        <v>VALID - GENERATED</v>
      </c>
      <c r="I877" s="10" t="s">
        <v>1098</v>
      </c>
      <c r="J877" s="12">
        <f>'05-ISO Reference'!$B$17</f>
        <v>13</v>
      </c>
      <c r="K877" s="12">
        <f>'05-ISO Reference'!$C$17</f>
        <v>18</v>
      </c>
      <c r="L877" s="12">
        <f>'01-Process Controls'!$G$5</f>
        <v>3</v>
      </c>
      <c r="M877" s="12">
        <f>ROUNDDOWN(J877*'04-Variant Rules'!$D$28,0)</f>
        <v>11</v>
      </c>
      <c r="N877" s="12">
        <f>ROUNDDOWN(K877*'04-Variant Rules'!$E$28,0)</f>
        <v>16</v>
      </c>
      <c r="O877" s="9">
        <v>23</v>
      </c>
    </row>
    <row r="878" spans="1:15" ht="21" customHeight="1">
      <c r="A878" s="9" t="s">
        <v>1122</v>
      </c>
      <c r="B878" s="12">
        <f>IF(LEFT(H878,5)="VALID",M878,"")</f>
        <v>11</v>
      </c>
      <c r="C878" s="12">
        <f>IF(LEFT(H878,5)="VALID",N878,"")</f>
        <v>15</v>
      </c>
      <c r="D878" s="10" t="s">
        <v>82</v>
      </c>
      <c r="E878" s="10" t="s">
        <v>1097</v>
      </c>
      <c r="F878" s="10" t="s">
        <v>188</v>
      </c>
      <c r="G878" s="10" t="s">
        <v>186</v>
      </c>
      <c r="H878" s="11" t="str">
        <f>IF(OR(M878&lt;=0,N878&lt;=0),"SKIPPED - NONPOSITIVE",IF(OR(M878&lt;L878,N878&lt;L878),"SKIPPED - BELOW MIN",IF(OR(M878&gt;J878,N878&gt;K878),"SKIPPED - EXCEEDS BASE",IF(COUNTIFS($M$854:M877,M878,$N$854:N877,N878)&gt;0,"SKIPPED - DUPLICATE","VALID - GENERATED"))))</f>
        <v>VALID - GENERATED</v>
      </c>
      <c r="I878" s="10" t="s">
        <v>1098</v>
      </c>
      <c r="J878" s="12">
        <f>'05-ISO Reference'!$B$17</f>
        <v>13</v>
      </c>
      <c r="K878" s="12">
        <f>'05-ISO Reference'!$C$17</f>
        <v>18</v>
      </c>
      <c r="L878" s="12">
        <f>'01-Process Controls'!$G$5</f>
        <v>3</v>
      </c>
      <c r="M878" s="12">
        <f>ROUNDDOWN(J878*'04-Variant Rules'!$D$29,0)</f>
        <v>11</v>
      </c>
      <c r="N878" s="12">
        <f>ROUNDDOWN(K878*'04-Variant Rules'!$E$29,0)</f>
        <v>15</v>
      </c>
      <c r="O878" s="9">
        <v>24</v>
      </c>
    </row>
    <row r="879" spans="1:15" ht="21" customHeight="1">
      <c r="A879" s="9" t="s">
        <v>1123</v>
      </c>
      <c r="B879" s="12">
        <f>IF(LEFT(H879,5)="VALID",M879,"")</f>
        <v>10</v>
      </c>
      <c r="C879" s="12">
        <f>IF(LEFT(H879,5)="VALID",N879,"")</f>
        <v>14</v>
      </c>
      <c r="D879" s="10" t="s">
        <v>82</v>
      </c>
      <c r="E879" s="10" t="s">
        <v>1097</v>
      </c>
      <c r="F879" s="10" t="s">
        <v>190</v>
      </c>
      <c r="G879" s="10" t="s">
        <v>186</v>
      </c>
      <c r="H879" s="11" t="str">
        <f>IF(OR(M879&lt;=0,N879&lt;=0),"SKIPPED - NONPOSITIVE",IF(OR(M879&lt;L879,N879&lt;L879),"SKIPPED - BELOW MIN",IF(OR(M879&gt;J879,N879&gt;K879),"SKIPPED - EXCEEDS BASE",IF(COUNTIFS($M$854:M878,M879,$N$854:N878,N879)&gt;0,"SKIPPED - DUPLICATE","VALID - GENERATED"))))</f>
        <v>VALID - GENERATED</v>
      </c>
      <c r="I879" s="10" t="s">
        <v>1098</v>
      </c>
      <c r="J879" s="12">
        <f>'05-ISO Reference'!$B$17</f>
        <v>13</v>
      </c>
      <c r="K879" s="12">
        <f>'05-ISO Reference'!$C$17</f>
        <v>18</v>
      </c>
      <c r="L879" s="12">
        <f>'01-Process Controls'!$G$5</f>
        <v>3</v>
      </c>
      <c r="M879" s="12">
        <f>ROUNDDOWN(J879*'04-Variant Rules'!$D$30,0)</f>
        <v>10</v>
      </c>
      <c r="N879" s="12">
        <f>ROUNDDOWN(K879*'04-Variant Rules'!$E$30,0)</f>
        <v>14</v>
      </c>
      <c r="O879" s="9">
        <v>25</v>
      </c>
    </row>
    <row r="880" spans="1:15" ht="21" customHeight="1">
      <c r="A880" s="9" t="s">
        <v>1124</v>
      </c>
      <c r="B880" s="12">
        <f>IF(LEFT(H880,5)="VALID",M880,"")</f>
        <v>9</v>
      </c>
      <c r="C880" s="12">
        <f>IF(LEFT(H880,5)="VALID",N880,"")</f>
        <v>13</v>
      </c>
      <c r="D880" s="10" t="s">
        <v>82</v>
      </c>
      <c r="E880" s="10" t="s">
        <v>1097</v>
      </c>
      <c r="F880" s="10" t="s">
        <v>192</v>
      </c>
      <c r="G880" s="10" t="s">
        <v>186</v>
      </c>
      <c r="H880" s="11" t="str">
        <f>IF(OR(M880&lt;=0,N880&lt;=0),"SKIPPED - NONPOSITIVE",IF(OR(M880&lt;L880,N880&lt;L880),"SKIPPED - BELOW MIN",IF(OR(M880&gt;J880,N880&gt;K880),"SKIPPED - EXCEEDS BASE",IF(COUNTIFS($M$854:M879,M880,$N$854:N879,N880)&gt;0,"SKIPPED - DUPLICATE","VALID - GENERATED"))))</f>
        <v>VALID - GENERATED</v>
      </c>
      <c r="I880" s="10" t="s">
        <v>1098</v>
      </c>
      <c r="J880" s="12">
        <f>'05-ISO Reference'!$B$17</f>
        <v>13</v>
      </c>
      <c r="K880" s="12">
        <f>'05-ISO Reference'!$C$17</f>
        <v>18</v>
      </c>
      <c r="L880" s="12">
        <f>'01-Process Controls'!$G$5</f>
        <v>3</v>
      </c>
      <c r="M880" s="12">
        <f>ROUNDDOWN(J880*'04-Variant Rules'!$D$31,0)</f>
        <v>9</v>
      </c>
      <c r="N880" s="12">
        <f>ROUNDDOWN(K880*'04-Variant Rules'!$E$31,0)</f>
        <v>13</v>
      </c>
      <c r="O880" s="9">
        <v>26</v>
      </c>
    </row>
    <row r="881" spans="1:15" ht="21" customHeight="1">
      <c r="A881" s="9" t="s">
        <v>1125</v>
      </c>
      <c r="B881" s="12">
        <f>IF(LEFT(H881,5)="VALID",M881,"")</f>
        <v>9</v>
      </c>
      <c r="C881" s="12">
        <f>IF(LEFT(H881,5)="VALID",N881,"")</f>
        <v>12</v>
      </c>
      <c r="D881" s="10" t="s">
        <v>82</v>
      </c>
      <c r="E881" s="10" t="s">
        <v>1097</v>
      </c>
      <c r="F881" s="10" t="s">
        <v>194</v>
      </c>
      <c r="G881" s="10" t="s">
        <v>186</v>
      </c>
      <c r="H881" s="11" t="str">
        <f>IF(OR(M881&lt;=0,N881&lt;=0),"SKIPPED - NONPOSITIVE",IF(OR(M881&lt;L881,N881&lt;L881),"SKIPPED - BELOW MIN",IF(OR(M881&gt;J881,N881&gt;K881),"SKIPPED - EXCEEDS BASE",IF(COUNTIFS($M$854:M880,M881,$N$854:N880,N881)&gt;0,"SKIPPED - DUPLICATE","VALID - GENERATED"))))</f>
        <v>VALID - GENERATED</v>
      </c>
      <c r="I881" s="10" t="s">
        <v>1098</v>
      </c>
      <c r="J881" s="12">
        <f>'05-ISO Reference'!$B$17</f>
        <v>13</v>
      </c>
      <c r="K881" s="12">
        <f>'05-ISO Reference'!$C$17</f>
        <v>18</v>
      </c>
      <c r="L881" s="12">
        <f>'01-Process Controls'!$G$5</f>
        <v>3</v>
      </c>
      <c r="M881" s="12">
        <f>ROUNDDOWN(J881*'04-Variant Rules'!$D$32,0)</f>
        <v>9</v>
      </c>
      <c r="N881" s="12">
        <f>ROUNDDOWN(K881*'04-Variant Rules'!$E$32,0)</f>
        <v>12</v>
      </c>
      <c r="O881" s="9">
        <v>27</v>
      </c>
    </row>
    <row r="882" spans="1:15" ht="21" customHeight="1">
      <c r="A882" s="9" t="s">
        <v>1126</v>
      </c>
      <c r="B882" s="12">
        <f>IF(LEFT(H882,5)="VALID",M882,"")</f>
        <v>8</v>
      </c>
      <c r="C882" s="12">
        <f>IF(LEFT(H882,5)="VALID",N882,"")</f>
        <v>12</v>
      </c>
      <c r="D882" s="10" t="s">
        <v>82</v>
      </c>
      <c r="E882" s="10" t="s">
        <v>1097</v>
      </c>
      <c r="F882" s="10" t="s">
        <v>196</v>
      </c>
      <c r="G882" s="10" t="s">
        <v>186</v>
      </c>
      <c r="H882" s="11" t="str">
        <f>IF(OR(M882&lt;=0,N882&lt;=0),"SKIPPED - NONPOSITIVE",IF(OR(M882&lt;L882,N882&lt;L882),"SKIPPED - BELOW MIN",IF(OR(M882&gt;J882,N882&gt;K882),"SKIPPED - EXCEEDS BASE",IF(COUNTIFS($M$854:M881,M882,$N$854:N881,N882)&gt;0,"SKIPPED - DUPLICATE","VALID - GENERATED"))))</f>
        <v>VALID - GENERATED</v>
      </c>
      <c r="I882" s="10" t="s">
        <v>1098</v>
      </c>
      <c r="J882" s="12">
        <f>'05-ISO Reference'!$B$17</f>
        <v>13</v>
      </c>
      <c r="K882" s="12">
        <f>'05-ISO Reference'!$C$17</f>
        <v>18</v>
      </c>
      <c r="L882" s="12">
        <f>'01-Process Controls'!$G$5</f>
        <v>3</v>
      </c>
      <c r="M882" s="12">
        <f>ROUNDDOWN(J882*'04-Variant Rules'!$D$33,0)</f>
        <v>8</v>
      </c>
      <c r="N882" s="12">
        <f>ROUNDDOWN(K882*'04-Variant Rules'!$E$33,0)</f>
        <v>12</v>
      </c>
      <c r="O882" s="9">
        <v>28</v>
      </c>
    </row>
    <row r="883" spans="1:15" ht="21" customHeight="1">
      <c r="A883" s="9" t="s">
        <v>1127</v>
      </c>
      <c r="B883" s="12">
        <f>IF(LEFT(H883,5)="VALID",M883,"")</f>
        <v>7</v>
      </c>
      <c r="C883" s="12">
        <f>IF(LEFT(H883,5)="VALID",N883,"")</f>
        <v>10</v>
      </c>
      <c r="D883" s="10" t="s">
        <v>82</v>
      </c>
      <c r="E883" s="10" t="s">
        <v>1097</v>
      </c>
      <c r="F883" s="10" t="s">
        <v>198</v>
      </c>
      <c r="G883" s="10" t="s">
        <v>186</v>
      </c>
      <c r="H883" s="11" t="str">
        <f>IF(OR(M883&lt;=0,N883&lt;=0),"SKIPPED - NONPOSITIVE",IF(OR(M883&lt;L883,N883&lt;L883),"SKIPPED - BELOW MIN",IF(OR(M883&gt;J883,N883&gt;K883),"SKIPPED - EXCEEDS BASE",IF(COUNTIFS($M$854:M882,M883,$N$854:N882,N883)&gt;0,"SKIPPED - DUPLICATE","VALID - GENERATED"))))</f>
        <v>VALID - GENERATED</v>
      </c>
      <c r="I883" s="10" t="s">
        <v>1098</v>
      </c>
      <c r="J883" s="12">
        <f>'05-ISO Reference'!$B$17</f>
        <v>13</v>
      </c>
      <c r="K883" s="12">
        <f>'05-ISO Reference'!$C$17</f>
        <v>18</v>
      </c>
      <c r="L883" s="12">
        <f>'01-Process Controls'!$G$5</f>
        <v>3</v>
      </c>
      <c r="M883" s="12">
        <f>ROUNDDOWN(J883*'04-Variant Rules'!$D$34,0)</f>
        <v>7</v>
      </c>
      <c r="N883" s="12">
        <f>ROUNDDOWN(K883*'04-Variant Rules'!$E$34,0)</f>
        <v>10</v>
      </c>
      <c r="O883" s="9">
        <v>29</v>
      </c>
    </row>
    <row r="884" spans="1:15" ht="21" customHeight="1">
      <c r="A884" s="9" t="s">
        <v>1128</v>
      </c>
      <c r="B884" s="12">
        <f>IF(LEFT(H884,5)="VALID",M884,"")</f>
        <v>7</v>
      </c>
      <c r="C884" s="12">
        <f>IF(LEFT(H884,5)="VALID",N884,"")</f>
        <v>9</v>
      </c>
      <c r="D884" s="10" t="s">
        <v>82</v>
      </c>
      <c r="E884" s="10" t="s">
        <v>1097</v>
      </c>
      <c r="F884" s="10" t="s">
        <v>200</v>
      </c>
      <c r="G884" s="10" t="s">
        <v>186</v>
      </c>
      <c r="H884" s="11" t="str">
        <f>IF(OR(M884&lt;=0,N884&lt;=0),"SKIPPED - NONPOSITIVE",IF(OR(M884&lt;L884,N884&lt;L884),"SKIPPED - BELOW MIN",IF(OR(M884&gt;J884,N884&gt;K884),"SKIPPED - EXCEEDS BASE",IF(COUNTIFS($M$854:M883,M884,$N$854:N883,N884)&gt;0,"SKIPPED - DUPLICATE","VALID - GENERATED"))))</f>
        <v>VALID - GENERATED</v>
      </c>
      <c r="I884" s="10" t="s">
        <v>1098</v>
      </c>
      <c r="J884" s="12">
        <f>'05-ISO Reference'!$B$17</f>
        <v>13</v>
      </c>
      <c r="K884" s="12">
        <f>'05-ISO Reference'!$C$17</f>
        <v>18</v>
      </c>
      <c r="L884" s="12">
        <f>'01-Process Controls'!$G$5</f>
        <v>3</v>
      </c>
      <c r="M884" s="12">
        <f>ROUNDDOWN(J884*'04-Variant Rules'!$D$35,0)</f>
        <v>7</v>
      </c>
      <c r="N884" s="12">
        <f>ROUNDDOWN(K884*'04-Variant Rules'!$E$35,0)</f>
        <v>9</v>
      </c>
      <c r="O884" s="9">
        <v>30</v>
      </c>
    </row>
    <row r="885" spans="1:15" ht="21" customHeight="1">
      <c r="A885" s="9" t="s">
        <v>1129</v>
      </c>
      <c r="B885" s="12">
        <f>IF(LEFT(H885,5)="VALID",M885,"")</f>
        <v>5</v>
      </c>
      <c r="C885" s="12">
        <f>IF(LEFT(H885,5)="VALID",N885,"")</f>
        <v>8</v>
      </c>
      <c r="D885" s="10" t="s">
        <v>82</v>
      </c>
      <c r="E885" s="10" t="s">
        <v>1097</v>
      </c>
      <c r="F885" s="10" t="s">
        <v>202</v>
      </c>
      <c r="G885" s="10" t="s">
        <v>186</v>
      </c>
      <c r="H885" s="11" t="str">
        <f>IF(OR(M885&lt;=0,N885&lt;=0),"SKIPPED - NONPOSITIVE",IF(OR(M885&lt;L885,N885&lt;L885),"SKIPPED - BELOW MIN",IF(OR(M885&gt;J885,N885&gt;K885),"SKIPPED - EXCEEDS BASE",IF(COUNTIFS($M$854:M884,M885,$N$854:N884,N885)&gt;0,"SKIPPED - DUPLICATE","VALID - GENERATED"))))</f>
        <v>VALID - GENERATED</v>
      </c>
      <c r="I885" s="10" t="s">
        <v>1098</v>
      </c>
      <c r="J885" s="12">
        <f>'05-ISO Reference'!$B$17</f>
        <v>13</v>
      </c>
      <c r="K885" s="12">
        <f>'05-ISO Reference'!$C$17</f>
        <v>18</v>
      </c>
      <c r="L885" s="12">
        <f>'01-Process Controls'!$G$5</f>
        <v>3</v>
      </c>
      <c r="M885" s="12">
        <f>ROUNDDOWN(J885*'04-Variant Rules'!$D$36,0)</f>
        <v>5</v>
      </c>
      <c r="N885" s="12">
        <f>ROUNDDOWN(K885*'04-Variant Rules'!$E$36,0)</f>
        <v>8</v>
      </c>
      <c r="O885" s="9">
        <v>31</v>
      </c>
    </row>
    <row r="886" spans="1:15" ht="21" customHeight="1">
      <c r="A886" s="9" t="s">
        <v>1130</v>
      </c>
      <c r="B886" s="12">
        <f>IF(LEFT(H886,5)="VALID",M886,"")</f>
        <v>5</v>
      </c>
      <c r="C886" s="12">
        <f>IF(LEFT(H886,5)="VALID",N886,"")</f>
        <v>7</v>
      </c>
      <c r="D886" s="10" t="s">
        <v>82</v>
      </c>
      <c r="E886" s="10" t="s">
        <v>1097</v>
      </c>
      <c r="F886" s="10" t="s">
        <v>204</v>
      </c>
      <c r="G886" s="10" t="s">
        <v>186</v>
      </c>
      <c r="H886" s="11" t="str">
        <f>IF(OR(M886&lt;=0,N886&lt;=0),"SKIPPED - NONPOSITIVE",IF(OR(M886&lt;L886,N886&lt;L886),"SKIPPED - BELOW MIN",IF(OR(M886&gt;J886,N886&gt;K886),"SKIPPED - EXCEEDS BASE",IF(COUNTIFS($M$854:M885,M886,$N$854:N885,N886)&gt;0,"SKIPPED - DUPLICATE","VALID - GENERATED"))))</f>
        <v>VALID - GENERATED</v>
      </c>
      <c r="I886" s="10" t="s">
        <v>1098</v>
      </c>
      <c r="J886" s="12">
        <f>'05-ISO Reference'!$B$17</f>
        <v>13</v>
      </c>
      <c r="K886" s="12">
        <f>'05-ISO Reference'!$C$17</f>
        <v>18</v>
      </c>
      <c r="L886" s="12">
        <f>'01-Process Controls'!$G$5</f>
        <v>3</v>
      </c>
      <c r="M886" s="12">
        <f>ROUNDDOWN(J886*'04-Variant Rules'!$D$37,0)</f>
        <v>5</v>
      </c>
      <c r="N886" s="12">
        <f>ROUNDDOWN(K886*'04-Variant Rules'!$E$37,0)</f>
        <v>7</v>
      </c>
      <c r="O886" s="9">
        <v>32</v>
      </c>
    </row>
    <row r="887" spans="1:15" ht="21" customHeight="1">
      <c r="A887" s="9" t="s">
        <v>1131</v>
      </c>
      <c r="B887" s="12" t="str">
        <f>IF(LEFT(H887,5)="VALID",M887,"")</f>
        <v/>
      </c>
      <c r="C887" s="12" t="str">
        <f>IF(LEFT(H887,5)="VALID",N887,"")</f>
        <v/>
      </c>
      <c r="D887" s="10" t="s">
        <v>82</v>
      </c>
      <c r="E887" s="10" t="s">
        <v>1097</v>
      </c>
      <c r="F887" s="10" t="s">
        <v>206</v>
      </c>
      <c r="G887" s="10" t="s">
        <v>186</v>
      </c>
      <c r="H887" s="11" t="str">
        <f>IF(OR(M887&lt;=0,N887&lt;=0),"SKIPPED - NONPOSITIVE",IF(OR(M887&lt;L887,N887&lt;L887),"SKIPPED - BELOW MIN",IF(OR(M887&gt;J887,N887&gt;K887),"SKIPPED - EXCEEDS BASE",IF(COUNTIFS($M$854:M886,M887,$N$854:N886,N887)&gt;0,"SKIPPED - DUPLICATE","VALID - GENERATED"))))</f>
        <v>SKIPPED - DUPLICATE</v>
      </c>
      <c r="I887" s="10" t="s">
        <v>1098</v>
      </c>
      <c r="J887" s="12">
        <f>'05-ISO Reference'!$B$17</f>
        <v>13</v>
      </c>
      <c r="K887" s="12">
        <f>'05-ISO Reference'!$C$17</f>
        <v>18</v>
      </c>
      <c r="L887" s="12">
        <f>'01-Process Controls'!$G$5</f>
        <v>3</v>
      </c>
      <c r="M887" s="12">
        <f>ROUNDDOWN(J887*'04-Variant Rules'!$D$38,0)</f>
        <v>4</v>
      </c>
      <c r="N887" s="12">
        <f>ROUNDDOWN(K887*'04-Variant Rules'!$E$38,0)</f>
        <v>6</v>
      </c>
      <c r="O887" s="9">
        <v>33</v>
      </c>
    </row>
    <row r="888" spans="1:15" ht="21" customHeight="1">
      <c r="A888" s="9" t="s">
        <v>1132</v>
      </c>
      <c r="B888" s="12">
        <f>IF(LEFT(H888,5)="VALID",M888,"")</f>
        <v>3</v>
      </c>
      <c r="C888" s="12">
        <f>IF(LEFT(H888,5)="VALID",N888,"")</f>
        <v>5</v>
      </c>
      <c r="D888" s="10" t="s">
        <v>82</v>
      </c>
      <c r="E888" s="10" t="s">
        <v>1097</v>
      </c>
      <c r="F888" s="10" t="s">
        <v>208</v>
      </c>
      <c r="G888" s="10" t="s">
        <v>186</v>
      </c>
      <c r="H888" s="11" t="str">
        <f>IF(OR(M888&lt;=0,N888&lt;=0),"SKIPPED - NONPOSITIVE",IF(OR(M888&lt;L888,N888&lt;L888),"SKIPPED - BELOW MIN",IF(OR(M888&gt;J888,N888&gt;K888),"SKIPPED - EXCEEDS BASE",IF(COUNTIFS($M$854:M887,M888,$N$854:N887,N888)&gt;0,"SKIPPED - DUPLICATE","VALID - GENERATED"))))</f>
        <v>VALID - GENERATED</v>
      </c>
      <c r="I888" s="10" t="s">
        <v>1098</v>
      </c>
      <c r="J888" s="12">
        <f>'05-ISO Reference'!$B$17</f>
        <v>13</v>
      </c>
      <c r="K888" s="12">
        <f>'05-ISO Reference'!$C$17</f>
        <v>18</v>
      </c>
      <c r="L888" s="12">
        <f>'01-Process Controls'!$G$5</f>
        <v>3</v>
      </c>
      <c r="M888" s="12">
        <f>ROUNDDOWN(J888*'04-Variant Rules'!$D$39,0)</f>
        <v>3</v>
      </c>
      <c r="N888" s="12">
        <f>ROUNDDOWN(K888*'04-Variant Rules'!$E$39,0)</f>
        <v>5</v>
      </c>
      <c r="O888" s="9">
        <v>34</v>
      </c>
    </row>
    <row r="889" spans="1:15" ht="21" customHeight="1">
      <c r="A889" s="9" t="s">
        <v>1133</v>
      </c>
      <c r="B889" s="12" t="str">
        <f>IF(LEFT(H889,5)="VALID",M889,"")</f>
        <v/>
      </c>
      <c r="C889" s="12" t="str">
        <f>IF(LEFT(H889,5)="VALID",N889,"")</f>
        <v/>
      </c>
      <c r="D889" s="10" t="s">
        <v>82</v>
      </c>
      <c r="E889" s="10" t="s">
        <v>1097</v>
      </c>
      <c r="F889" s="10" t="s">
        <v>210</v>
      </c>
      <c r="G889" s="10" t="s">
        <v>186</v>
      </c>
      <c r="H889" s="11" t="str">
        <f>IF(OR(M889&lt;=0,N889&lt;=0),"SKIPPED - NONPOSITIVE",IF(OR(M889&lt;L889,N889&lt;L889),"SKIPPED - BELOW MIN",IF(OR(M889&gt;J889,N889&gt;K889),"SKIPPED - EXCEEDS BASE",IF(COUNTIFS($M$854:M888,M889,$N$854:N888,N889)&gt;0,"SKIPPED - DUPLICATE","VALID - GENERATED"))))</f>
        <v>SKIPPED - BELOW MIN</v>
      </c>
      <c r="I889" s="10" t="s">
        <v>1098</v>
      </c>
      <c r="J889" s="12">
        <f>'05-ISO Reference'!$B$17</f>
        <v>13</v>
      </c>
      <c r="K889" s="12">
        <f>'05-ISO Reference'!$C$17</f>
        <v>18</v>
      </c>
      <c r="L889" s="12">
        <f>'01-Process Controls'!$G$5</f>
        <v>3</v>
      </c>
      <c r="M889" s="12">
        <f>ROUNDDOWN(J889*'04-Variant Rules'!$D$40,0)</f>
        <v>2</v>
      </c>
      <c r="N889" s="12">
        <f>ROUNDDOWN(K889*'04-Variant Rules'!$E$40,0)</f>
        <v>3</v>
      </c>
      <c r="O889" s="9">
        <v>35</v>
      </c>
    </row>
    <row r="890" spans="1:15" ht="21" customHeight="1">
      <c r="A890" s="9" t="s">
        <v>1134</v>
      </c>
      <c r="B890" s="12" t="str">
        <f>IF(LEFT(H890,5)="VALID",M890,"")</f>
        <v/>
      </c>
      <c r="C890" s="12" t="str">
        <f>IF(LEFT(H890,5)="VALID",N890,"")</f>
        <v/>
      </c>
      <c r="D890" s="10" t="s">
        <v>82</v>
      </c>
      <c r="E890" s="10" t="s">
        <v>1097</v>
      </c>
      <c r="F890" s="10" t="s">
        <v>212</v>
      </c>
      <c r="G890" s="10" t="s">
        <v>213</v>
      </c>
      <c r="H890" s="11" t="str">
        <f>IF(OR(M890&lt;=0,N890&lt;=0),"SKIPPED - NONPOSITIVE",IF(OR(M890&lt;L890,N890&lt;L890),"SKIPPED - BELOW MIN",IF(OR(M890&gt;J890,N890&gt;K890),"SKIPPED - EXCEEDS BASE",IF(COUNTIFS($M$854:M889,M890,$N$854:N889,N890)&gt;0,"SKIPPED - DUPLICATE","VALID - GENERATED"))))</f>
        <v>SKIPPED - BELOW MIN</v>
      </c>
      <c r="I890" s="10" t="s">
        <v>1098</v>
      </c>
      <c r="J890" s="12">
        <f>'05-ISO Reference'!$B$17</f>
        <v>13</v>
      </c>
      <c r="K890" s="12">
        <f>'05-ISO Reference'!$C$17</f>
        <v>18</v>
      </c>
      <c r="L890" s="12">
        <f>'01-Process Controls'!$G$5</f>
        <v>3</v>
      </c>
      <c r="M890" s="12">
        <f>ROUNDDOWN(J890*'04-Variant Rules'!$D$41,0)</f>
        <v>1</v>
      </c>
      <c r="N890" s="12">
        <f>ROUNDDOWN(K890*'04-Variant Rules'!$E$41,0)</f>
        <v>2</v>
      </c>
      <c r="O890" s="9">
        <v>36</v>
      </c>
    </row>
    <row r="891" spans="1:15" ht="21" customHeight="1">
      <c r="A891" s="9" t="s">
        <v>1135</v>
      </c>
      <c r="B891" s="12" t="str">
        <f>IF(LEFT(H891,5)="VALID",M891,"")</f>
        <v/>
      </c>
      <c r="C891" s="12" t="str">
        <f>IF(LEFT(H891,5)="VALID",N891,"")</f>
        <v/>
      </c>
      <c r="D891" s="10" t="s">
        <v>82</v>
      </c>
      <c r="E891" s="10" t="s">
        <v>1097</v>
      </c>
      <c r="F891" s="10" t="s">
        <v>215</v>
      </c>
      <c r="G891" s="10" t="s">
        <v>216</v>
      </c>
      <c r="H891" s="11" t="str">
        <f>IF(OR(M891&lt;=0,N891&lt;=0),"SKIPPED - NONPOSITIVE",IF(OR(M891&lt;L891,N891&lt;L891),"SKIPPED - BELOW MIN",IF(OR(M891&gt;J891,N891&gt;K891),"SKIPPED - EXCEEDS BASE",IF(COUNTIFS($M$854:M890,M891,$N$854:N890,N891)&gt;0,"SKIPPED - DUPLICATE","VALID - GENERATED"))))</f>
        <v>SKIPPED - DUPLICATE</v>
      </c>
      <c r="I891" s="10" t="s">
        <v>1098</v>
      </c>
      <c r="J891" s="12">
        <f>'05-ISO Reference'!$B$17</f>
        <v>13</v>
      </c>
      <c r="K891" s="12">
        <f>'05-ISO Reference'!$C$17</f>
        <v>18</v>
      </c>
      <c r="L891" s="12">
        <f>'01-Process Controls'!$G$5</f>
        <v>3</v>
      </c>
      <c r="M891" s="12">
        <f>ROUNDDOWN(MIN(J891,K891)*'04-Variant Rules'!$D$42,0)</f>
        <v>13</v>
      </c>
      <c r="N891" s="12">
        <f>ROUNDDOWN(MIN(J891,K891)*'04-Variant Rules'!$D$42,0)</f>
        <v>13</v>
      </c>
      <c r="O891" s="9">
        <v>37</v>
      </c>
    </row>
    <row r="892" spans="1:15" ht="21" customHeight="1">
      <c r="A892" s="9" t="s">
        <v>1136</v>
      </c>
      <c r="B892" s="12">
        <f>IF(LEFT(H892,5)="VALID",M892,"")</f>
        <v>11</v>
      </c>
      <c r="C892" s="12">
        <f>IF(LEFT(H892,5)="VALID",N892,"")</f>
        <v>11</v>
      </c>
      <c r="D892" s="10" t="s">
        <v>82</v>
      </c>
      <c r="E892" s="10" t="s">
        <v>1097</v>
      </c>
      <c r="F892" s="10" t="s">
        <v>218</v>
      </c>
      <c r="G892" s="10" t="s">
        <v>219</v>
      </c>
      <c r="H892" s="11" t="str">
        <f>IF(OR(M892&lt;=0,N892&lt;=0),"SKIPPED - NONPOSITIVE",IF(OR(M892&lt;L892,N892&lt;L892),"SKIPPED - BELOW MIN",IF(OR(M892&gt;J892,N892&gt;K892),"SKIPPED - EXCEEDS BASE",IF(COUNTIFS($M$854:M891,M892,$N$854:N891,N892)&gt;0,"SKIPPED - DUPLICATE","VALID - GENERATED"))))</f>
        <v>VALID - GENERATED</v>
      </c>
      <c r="I892" s="10" t="s">
        <v>1098</v>
      </c>
      <c r="J892" s="12">
        <f>'05-ISO Reference'!$B$17</f>
        <v>13</v>
      </c>
      <c r="K892" s="12">
        <f>'05-ISO Reference'!$C$17</f>
        <v>18</v>
      </c>
      <c r="L892" s="12">
        <f>'01-Process Controls'!$G$5</f>
        <v>3</v>
      </c>
      <c r="M892" s="12">
        <f>ROUNDDOWN(MIN(J892,K892)*'04-Variant Rules'!$D$43,0)</f>
        <v>11</v>
      </c>
      <c r="N892" s="12">
        <f>ROUNDDOWN(MIN(J892,K892)*'04-Variant Rules'!$D$43,0)</f>
        <v>11</v>
      </c>
      <c r="O892" s="9">
        <v>38</v>
      </c>
    </row>
    <row r="893" spans="1:15" ht="21" customHeight="1">
      <c r="A893" s="9" t="s">
        <v>1137</v>
      </c>
      <c r="B893" s="12">
        <f>IF(LEFT(H893,5)="VALID",M893,"")</f>
        <v>10</v>
      </c>
      <c r="C893" s="12">
        <f>IF(LEFT(H893,5)="VALID",N893,"")</f>
        <v>10</v>
      </c>
      <c r="D893" s="10" t="s">
        <v>82</v>
      </c>
      <c r="E893" s="10" t="s">
        <v>1097</v>
      </c>
      <c r="F893" s="10" t="s">
        <v>221</v>
      </c>
      <c r="G893" s="10" t="s">
        <v>219</v>
      </c>
      <c r="H893" s="11" t="str">
        <f>IF(OR(M893&lt;=0,N893&lt;=0),"SKIPPED - NONPOSITIVE",IF(OR(M893&lt;L893,N893&lt;L893),"SKIPPED - BELOW MIN",IF(OR(M893&gt;J893,N893&gt;K893),"SKIPPED - EXCEEDS BASE",IF(COUNTIFS($M$854:M892,M893,$N$854:N892,N893)&gt;0,"SKIPPED - DUPLICATE","VALID - GENERATED"))))</f>
        <v>VALID - GENERATED</v>
      </c>
      <c r="I893" s="10" t="s">
        <v>1098</v>
      </c>
      <c r="J893" s="12">
        <f>'05-ISO Reference'!$B$17</f>
        <v>13</v>
      </c>
      <c r="K893" s="12">
        <f>'05-ISO Reference'!$C$17</f>
        <v>18</v>
      </c>
      <c r="L893" s="12">
        <f>'01-Process Controls'!$G$5</f>
        <v>3</v>
      </c>
      <c r="M893" s="12">
        <f>ROUNDDOWN(MIN(J893,K893)*'04-Variant Rules'!$D$44,0)</f>
        <v>10</v>
      </c>
      <c r="N893" s="12">
        <f>ROUNDDOWN(MIN(J893,K893)*'04-Variant Rules'!$D$44,0)</f>
        <v>10</v>
      </c>
      <c r="O893" s="9">
        <v>39</v>
      </c>
    </row>
    <row r="894" spans="1:15" ht="21" customHeight="1">
      <c r="A894" s="9" t="s">
        <v>1138</v>
      </c>
      <c r="B894" s="12" t="str">
        <f>IF(LEFT(H894,5)="VALID",M894,"")</f>
        <v/>
      </c>
      <c r="C894" s="12" t="str">
        <f>IF(LEFT(H894,5)="VALID",N894,"")</f>
        <v/>
      </c>
      <c r="D894" s="10" t="s">
        <v>82</v>
      </c>
      <c r="E894" s="10" t="s">
        <v>1097</v>
      </c>
      <c r="F894" s="10" t="s">
        <v>223</v>
      </c>
      <c r="G894" s="10" t="s">
        <v>219</v>
      </c>
      <c r="H894" s="11" t="str">
        <f>IF(OR(M894&lt;=0,N894&lt;=0),"SKIPPED - NONPOSITIVE",IF(OR(M894&lt;L894,N894&lt;L894),"SKIPPED - BELOW MIN",IF(OR(M894&gt;J894,N894&gt;K894),"SKIPPED - EXCEEDS BASE",IF(COUNTIFS($M$854:M893,M894,$N$854:N893,N894)&gt;0,"SKIPPED - DUPLICATE","VALID - GENERATED"))))</f>
        <v>SKIPPED - DUPLICATE</v>
      </c>
      <c r="I894" s="10" t="s">
        <v>1098</v>
      </c>
      <c r="J894" s="12">
        <f>'05-ISO Reference'!$B$17</f>
        <v>13</v>
      </c>
      <c r="K894" s="12">
        <f>'05-ISO Reference'!$C$17</f>
        <v>18</v>
      </c>
      <c r="L894" s="12">
        <f>'01-Process Controls'!$G$5</f>
        <v>3</v>
      </c>
      <c r="M894" s="12">
        <f>ROUNDDOWN(MIN(J894,K894)*'04-Variant Rules'!$D$45,0)</f>
        <v>9</v>
      </c>
      <c r="N894" s="12">
        <f>ROUNDDOWN(MIN(J894,K894)*'04-Variant Rules'!$D$45,0)</f>
        <v>9</v>
      </c>
      <c r="O894" s="9">
        <v>40</v>
      </c>
    </row>
    <row r="895" spans="1:15" ht="21" customHeight="1">
      <c r="A895" s="9" t="s">
        <v>1139</v>
      </c>
      <c r="B895" s="12">
        <f>IF(LEFT(H895,5)="VALID",M895,"")</f>
        <v>8</v>
      </c>
      <c r="C895" s="12">
        <f>IF(LEFT(H895,5)="VALID",N895,"")</f>
        <v>8</v>
      </c>
      <c r="D895" s="10" t="s">
        <v>82</v>
      </c>
      <c r="E895" s="10" t="s">
        <v>1097</v>
      </c>
      <c r="F895" s="10" t="s">
        <v>225</v>
      </c>
      <c r="G895" s="10" t="s">
        <v>219</v>
      </c>
      <c r="H895" s="11" t="str">
        <f>IF(OR(M895&lt;=0,N895&lt;=0),"SKIPPED - NONPOSITIVE",IF(OR(M895&lt;L895,N895&lt;L895),"SKIPPED - BELOW MIN",IF(OR(M895&gt;J895,N895&gt;K895),"SKIPPED - EXCEEDS BASE",IF(COUNTIFS($M$854:M894,M895,$N$854:N894,N895)&gt;0,"SKIPPED - DUPLICATE","VALID - GENERATED"))))</f>
        <v>VALID - GENERATED</v>
      </c>
      <c r="I895" s="10" t="s">
        <v>1098</v>
      </c>
      <c r="J895" s="12">
        <f>'05-ISO Reference'!$B$17</f>
        <v>13</v>
      </c>
      <c r="K895" s="12">
        <f>'05-ISO Reference'!$C$17</f>
        <v>18</v>
      </c>
      <c r="L895" s="12">
        <f>'01-Process Controls'!$G$5</f>
        <v>3</v>
      </c>
      <c r="M895" s="12">
        <f>ROUNDDOWN(MIN(J895,K895)*'04-Variant Rules'!$D$46,0)</f>
        <v>8</v>
      </c>
      <c r="N895" s="12">
        <f>ROUNDDOWN(MIN(J895,K895)*'04-Variant Rules'!$D$46,0)</f>
        <v>8</v>
      </c>
      <c r="O895" s="9">
        <v>41</v>
      </c>
    </row>
    <row r="896" spans="1:15" ht="21" customHeight="1">
      <c r="A896" s="9" t="s">
        <v>1140</v>
      </c>
      <c r="B896" s="12">
        <f>IF(LEFT(H896,5)="VALID",M896,"")</f>
        <v>7</v>
      </c>
      <c r="C896" s="12">
        <f>IF(LEFT(H896,5)="VALID",N896,"")</f>
        <v>7</v>
      </c>
      <c r="D896" s="10" t="s">
        <v>82</v>
      </c>
      <c r="E896" s="10" t="s">
        <v>1097</v>
      </c>
      <c r="F896" s="10" t="s">
        <v>227</v>
      </c>
      <c r="G896" s="10" t="s">
        <v>219</v>
      </c>
      <c r="H896" s="11" t="str">
        <f>IF(OR(M896&lt;=0,N896&lt;=0),"SKIPPED - NONPOSITIVE",IF(OR(M896&lt;L896,N896&lt;L896),"SKIPPED - BELOW MIN",IF(OR(M896&gt;J896,N896&gt;K896),"SKIPPED - EXCEEDS BASE",IF(COUNTIFS($M$854:M895,M896,$N$854:N895,N896)&gt;0,"SKIPPED - DUPLICATE","VALID - GENERATED"))))</f>
        <v>VALID - GENERATED</v>
      </c>
      <c r="I896" s="10" t="s">
        <v>1098</v>
      </c>
      <c r="J896" s="12">
        <f>'05-ISO Reference'!$B$17</f>
        <v>13</v>
      </c>
      <c r="K896" s="12">
        <f>'05-ISO Reference'!$C$17</f>
        <v>18</v>
      </c>
      <c r="L896" s="12">
        <f>'01-Process Controls'!$G$5</f>
        <v>3</v>
      </c>
      <c r="M896" s="12">
        <f>ROUNDDOWN(MIN(J896,K896)*'04-Variant Rules'!$D$47,0)</f>
        <v>7</v>
      </c>
      <c r="N896" s="12">
        <f>ROUNDDOWN(MIN(J896,K896)*'04-Variant Rules'!$D$47,0)</f>
        <v>7</v>
      </c>
      <c r="O896" s="9">
        <v>42</v>
      </c>
    </row>
    <row r="897" spans="1:15" ht="21" customHeight="1">
      <c r="A897" s="9" t="s">
        <v>1141</v>
      </c>
      <c r="B897" s="12" t="str">
        <f>IF(LEFT(H897,5)="VALID",M897,"")</f>
        <v/>
      </c>
      <c r="C897" s="12" t="str">
        <f>IF(LEFT(H897,5)="VALID",N897,"")</f>
        <v/>
      </c>
      <c r="D897" s="10" t="s">
        <v>82</v>
      </c>
      <c r="E897" s="10" t="s">
        <v>1097</v>
      </c>
      <c r="F897" s="10" t="s">
        <v>229</v>
      </c>
      <c r="G897" s="10" t="s">
        <v>219</v>
      </c>
      <c r="H897" s="11" t="str">
        <f>IF(OR(M897&lt;=0,N897&lt;=0),"SKIPPED - NONPOSITIVE",IF(OR(M897&lt;L897,N897&lt;L897),"SKIPPED - BELOW MIN",IF(OR(M897&gt;J897,N897&gt;K897),"SKIPPED - EXCEEDS BASE",IF(COUNTIFS($M$854:M896,M897,$N$854:N896,N897)&gt;0,"SKIPPED - DUPLICATE","VALID - GENERATED"))))</f>
        <v>SKIPPED - DUPLICATE</v>
      </c>
      <c r="I897" s="10" t="s">
        <v>1098</v>
      </c>
      <c r="J897" s="12">
        <f>'05-ISO Reference'!$B$17</f>
        <v>13</v>
      </c>
      <c r="K897" s="12">
        <f>'05-ISO Reference'!$C$17</f>
        <v>18</v>
      </c>
      <c r="L897" s="12">
        <f>'01-Process Controls'!$G$5</f>
        <v>3</v>
      </c>
      <c r="M897" s="12">
        <f>ROUNDDOWN(MIN(J897,K897)*'04-Variant Rules'!$D$48,0)</f>
        <v>6</v>
      </c>
      <c r="N897" s="12">
        <f>ROUNDDOWN(MIN(J897,K897)*'04-Variant Rules'!$D$48,0)</f>
        <v>6</v>
      </c>
      <c r="O897" s="9">
        <v>43</v>
      </c>
    </row>
    <row r="898" spans="1:15" ht="21" customHeight="1">
      <c r="A898" s="9" t="s">
        <v>1142</v>
      </c>
      <c r="B898" s="12">
        <f>IF(LEFT(H898,5)="VALID",M898,"")</f>
        <v>5</v>
      </c>
      <c r="C898" s="12">
        <f>IF(LEFT(H898,5)="VALID",N898,"")</f>
        <v>5</v>
      </c>
      <c r="D898" s="10" t="s">
        <v>82</v>
      </c>
      <c r="E898" s="10" t="s">
        <v>1097</v>
      </c>
      <c r="F898" s="10" t="s">
        <v>231</v>
      </c>
      <c r="G898" s="10" t="s">
        <v>219</v>
      </c>
      <c r="H898" s="11" t="str">
        <f>IF(OR(M898&lt;=0,N898&lt;=0),"SKIPPED - NONPOSITIVE",IF(OR(M898&lt;L898,N898&lt;L898),"SKIPPED - BELOW MIN",IF(OR(M898&gt;J898,N898&gt;K898),"SKIPPED - EXCEEDS BASE",IF(COUNTIFS($M$854:M897,M898,$N$854:N897,N898)&gt;0,"SKIPPED - DUPLICATE","VALID - GENERATED"))))</f>
        <v>VALID - GENERATED</v>
      </c>
      <c r="I898" s="10" t="s">
        <v>1098</v>
      </c>
      <c r="J898" s="12">
        <f>'05-ISO Reference'!$B$17</f>
        <v>13</v>
      </c>
      <c r="K898" s="12">
        <f>'05-ISO Reference'!$C$17</f>
        <v>18</v>
      </c>
      <c r="L898" s="12">
        <f>'01-Process Controls'!$G$5</f>
        <v>3</v>
      </c>
      <c r="M898" s="12">
        <f>ROUNDDOWN(MIN(J898,K898)*'04-Variant Rules'!$D$49,0)</f>
        <v>5</v>
      </c>
      <c r="N898" s="12">
        <f>ROUNDDOWN(MIN(J898,K898)*'04-Variant Rules'!$D$49,0)</f>
        <v>5</v>
      </c>
      <c r="O898" s="9">
        <v>44</v>
      </c>
    </row>
    <row r="899" spans="1:15" ht="21" customHeight="1">
      <c r="A899" s="9" t="s">
        <v>1143</v>
      </c>
      <c r="B899" s="12">
        <f>IF(LEFT(H899,5)="VALID",M899,"")</f>
        <v>4</v>
      </c>
      <c r="C899" s="12">
        <f>IF(LEFT(H899,5)="VALID",N899,"")</f>
        <v>4</v>
      </c>
      <c r="D899" s="10" t="s">
        <v>82</v>
      </c>
      <c r="E899" s="10" t="s">
        <v>1097</v>
      </c>
      <c r="F899" s="10" t="s">
        <v>233</v>
      </c>
      <c r="G899" s="10" t="s">
        <v>219</v>
      </c>
      <c r="H899" s="11" t="str">
        <f>IF(OR(M899&lt;=0,N899&lt;=0),"SKIPPED - NONPOSITIVE",IF(OR(M899&lt;L899,N899&lt;L899),"SKIPPED - BELOW MIN",IF(OR(M899&gt;J899,N899&gt;K899),"SKIPPED - EXCEEDS BASE",IF(COUNTIFS($M$854:M898,M899,$N$854:N898,N899)&gt;0,"SKIPPED - DUPLICATE","VALID - GENERATED"))))</f>
        <v>VALID - GENERATED</v>
      </c>
      <c r="I899" s="10" t="s">
        <v>1098</v>
      </c>
      <c r="J899" s="12">
        <f>'05-ISO Reference'!$B$17</f>
        <v>13</v>
      </c>
      <c r="K899" s="12">
        <f>'05-ISO Reference'!$C$17</f>
        <v>18</v>
      </c>
      <c r="L899" s="12">
        <f>'01-Process Controls'!$G$5</f>
        <v>3</v>
      </c>
      <c r="M899" s="12">
        <f>ROUNDDOWN(MIN(J899,K899)*'04-Variant Rules'!$D$50,0)</f>
        <v>4</v>
      </c>
      <c r="N899" s="12">
        <f>ROUNDDOWN(MIN(J899,K899)*'04-Variant Rules'!$D$50,0)</f>
        <v>4</v>
      </c>
      <c r="O899" s="9">
        <v>45</v>
      </c>
    </row>
    <row r="900" spans="1:15" ht="21" customHeight="1">
      <c r="A900" s="9" t="s">
        <v>1144</v>
      </c>
      <c r="B900" s="12">
        <f>IF(LEFT(H900,5)="VALID",M900,"")</f>
        <v>3</v>
      </c>
      <c r="C900" s="12">
        <f>IF(LEFT(H900,5)="VALID",N900,"")</f>
        <v>3</v>
      </c>
      <c r="D900" s="10" t="s">
        <v>82</v>
      </c>
      <c r="E900" s="10" t="s">
        <v>1097</v>
      </c>
      <c r="F900" s="10" t="s">
        <v>235</v>
      </c>
      <c r="G900" s="10" t="s">
        <v>219</v>
      </c>
      <c r="H900" s="11" t="str">
        <f>IF(OR(M900&lt;=0,N900&lt;=0),"SKIPPED - NONPOSITIVE",IF(OR(M900&lt;L900,N900&lt;L900),"SKIPPED - BELOW MIN",IF(OR(M900&gt;J900,N900&gt;K900),"SKIPPED - EXCEEDS BASE",IF(COUNTIFS($M$854:M899,M900,$N$854:N899,N900)&gt;0,"SKIPPED - DUPLICATE","VALID - GENERATED"))))</f>
        <v>VALID - GENERATED</v>
      </c>
      <c r="I900" s="10" t="s">
        <v>1098</v>
      </c>
      <c r="J900" s="12">
        <f>'05-ISO Reference'!$B$17</f>
        <v>13</v>
      </c>
      <c r="K900" s="12">
        <f>'05-ISO Reference'!$C$17</f>
        <v>18</v>
      </c>
      <c r="L900" s="12">
        <f>'01-Process Controls'!$G$5</f>
        <v>3</v>
      </c>
      <c r="M900" s="12">
        <f>ROUNDDOWN(MIN(J900,K900)*'04-Variant Rules'!$D$51,0)</f>
        <v>3</v>
      </c>
      <c r="N900" s="12">
        <f>ROUNDDOWN(MIN(J900,K900)*'04-Variant Rules'!$D$51,0)</f>
        <v>3</v>
      </c>
      <c r="O900" s="9">
        <v>46</v>
      </c>
    </row>
    <row r="901" spans="1:15" ht="21" customHeight="1">
      <c r="A901" s="9" t="s">
        <v>1145</v>
      </c>
      <c r="B901" s="12" t="str">
        <f>IF(LEFT(H901,5)="VALID",M901,"")</f>
        <v/>
      </c>
      <c r="C901" s="12" t="str">
        <f>IF(LEFT(H901,5)="VALID",N901,"")</f>
        <v/>
      </c>
      <c r="D901" s="10" t="s">
        <v>82</v>
      </c>
      <c r="E901" s="10" t="s">
        <v>1097</v>
      </c>
      <c r="F901" s="10" t="s">
        <v>237</v>
      </c>
      <c r="G901" s="10" t="s">
        <v>219</v>
      </c>
      <c r="H901" s="11" t="str">
        <f>IF(OR(M901&lt;=0,N901&lt;=0),"SKIPPED - NONPOSITIVE",IF(OR(M901&lt;L901,N901&lt;L901),"SKIPPED - BELOW MIN",IF(OR(M901&gt;J901,N901&gt;K901),"SKIPPED - EXCEEDS BASE",IF(COUNTIFS($M$854:M900,M901,$N$854:N900,N901)&gt;0,"SKIPPED - DUPLICATE","VALID - GENERATED"))))</f>
        <v>SKIPPED - BELOW MIN</v>
      </c>
      <c r="I901" s="10" t="s">
        <v>1098</v>
      </c>
      <c r="J901" s="12">
        <f>'05-ISO Reference'!$B$17</f>
        <v>13</v>
      </c>
      <c r="K901" s="12">
        <f>'05-ISO Reference'!$C$17</f>
        <v>18</v>
      </c>
      <c r="L901" s="12">
        <f>'01-Process Controls'!$G$5</f>
        <v>3</v>
      </c>
      <c r="M901" s="12">
        <f>ROUNDDOWN(MIN(J901,K901)*'04-Variant Rules'!$D$52,0)</f>
        <v>2</v>
      </c>
      <c r="N901" s="12">
        <f>ROUNDDOWN(MIN(J901,K901)*'04-Variant Rules'!$D$52,0)</f>
        <v>2</v>
      </c>
      <c r="O901" s="9">
        <v>47</v>
      </c>
    </row>
    <row r="902" spans="1:15" ht="21" customHeight="1">
      <c r="A902" s="9" t="s">
        <v>1146</v>
      </c>
      <c r="B902" s="12" t="str">
        <f>IF(LEFT(H902,5)="VALID",M902,"")</f>
        <v/>
      </c>
      <c r="C902" s="12" t="str">
        <f>IF(LEFT(H902,5)="VALID",N902,"")</f>
        <v/>
      </c>
      <c r="D902" s="10" t="s">
        <v>82</v>
      </c>
      <c r="E902" s="10" t="s">
        <v>1097</v>
      </c>
      <c r="F902" s="10" t="s">
        <v>239</v>
      </c>
      <c r="G902" s="10" t="s">
        <v>240</v>
      </c>
      <c r="H902" s="11" t="str">
        <f>IF(OR(M902&lt;=0,N902&lt;=0),"SKIPPED - NONPOSITIVE",IF(OR(M902&lt;L902,N902&lt;L902),"SKIPPED - BELOW MIN",IF(OR(M902&gt;J902,N902&gt;K902),"SKIPPED - EXCEEDS BASE",IF(COUNTIFS($M$854:M901,M902,$N$854:N901,N902)&gt;0,"SKIPPED - DUPLICATE","VALID - GENERATED"))))</f>
        <v>SKIPPED - DUPLICATE</v>
      </c>
      <c r="I902" s="10" t="s">
        <v>1098</v>
      </c>
      <c r="J902" s="12">
        <f>'05-ISO Reference'!$B$17</f>
        <v>13</v>
      </c>
      <c r="K902" s="12">
        <f>'05-ISO Reference'!$C$17</f>
        <v>18</v>
      </c>
      <c r="L902" s="12">
        <f>'01-Process Controls'!$G$5</f>
        <v>3</v>
      </c>
      <c r="M902" s="12">
        <f>ROUNDDOWN(MIN(J902,K902*'04-Variant Rules'!$D$53),0)</f>
        <v>13</v>
      </c>
      <c r="N902" s="12">
        <f>ROUNDDOWN(M902/'04-Variant Rules'!$D$53,0)</f>
        <v>9</v>
      </c>
      <c r="O902" s="9">
        <v>48</v>
      </c>
    </row>
    <row r="903" spans="1:15" ht="21" customHeight="1">
      <c r="A903" s="9" t="s">
        <v>1147</v>
      </c>
      <c r="B903" s="12">
        <f>IF(LEFT(H903,5)="VALID",M903,"")</f>
        <v>13</v>
      </c>
      <c r="C903" s="12">
        <f>IF(LEFT(H903,5)="VALID",N903,"")</f>
        <v>17</v>
      </c>
      <c r="D903" s="10" t="s">
        <v>82</v>
      </c>
      <c r="E903" s="10" t="s">
        <v>1097</v>
      </c>
      <c r="F903" s="10" t="s">
        <v>242</v>
      </c>
      <c r="G903" s="10" t="s">
        <v>243</v>
      </c>
      <c r="H903" s="11" t="str">
        <f>IF(OR(M903&lt;=0,N903&lt;=0),"SKIPPED - NONPOSITIVE",IF(OR(M903&lt;L903,N903&lt;L903),"SKIPPED - BELOW MIN",IF(OR(M903&gt;J903,N903&gt;K903),"SKIPPED - EXCEEDS BASE",IF(COUNTIFS($M$854:M902,M903,$N$854:N902,N903)&gt;0,"SKIPPED - DUPLICATE","VALID - GENERATED"))))</f>
        <v>VALID - GENERATED</v>
      </c>
      <c r="I903" s="10" t="s">
        <v>1098</v>
      </c>
      <c r="J903" s="12">
        <f>'05-ISO Reference'!$B$17</f>
        <v>13</v>
      </c>
      <c r="K903" s="12">
        <f>'05-ISO Reference'!$C$17</f>
        <v>18</v>
      </c>
      <c r="L903" s="12">
        <f>'01-Process Controls'!$G$5</f>
        <v>3</v>
      </c>
      <c r="M903" s="12">
        <f>ROUNDDOWN(MIN(J903,K903*'04-Variant Rules'!$D$54),0)</f>
        <v>13</v>
      </c>
      <c r="N903" s="12">
        <f>ROUNDDOWN(M903/'04-Variant Rules'!$D$54,0)</f>
        <v>17</v>
      </c>
      <c r="O903" s="9">
        <v>49</v>
      </c>
    </row>
    <row r="904" spans="1:15" ht="21" customHeight="1">
      <c r="A904" s="9" t="s">
        <v>1148</v>
      </c>
      <c r="B904" s="12">
        <f>IF(LEFT(H904,5)="VALID",M904,"")</f>
        <v>13</v>
      </c>
      <c r="C904" s="12">
        <f>IF(LEFT(H904,5)="VALID",N904,"")</f>
        <v>8</v>
      </c>
      <c r="D904" s="10" t="s">
        <v>82</v>
      </c>
      <c r="E904" s="10" t="s">
        <v>1097</v>
      </c>
      <c r="F904" s="10" t="s">
        <v>245</v>
      </c>
      <c r="G904" s="10" t="s">
        <v>246</v>
      </c>
      <c r="H904" s="11" t="str">
        <f>IF(OR(M904&lt;=0,N904&lt;=0),"SKIPPED - NONPOSITIVE",IF(OR(M904&lt;L904,N904&lt;L904),"SKIPPED - BELOW MIN",IF(OR(M904&gt;J904,N904&gt;K904),"SKIPPED - EXCEEDS BASE",IF(COUNTIFS($M$854:M903,M904,$N$854:N903,N904)&gt;0,"SKIPPED - DUPLICATE","VALID - GENERATED"))))</f>
        <v>VALID - GENERATED</v>
      </c>
      <c r="I904" s="10" t="s">
        <v>1098</v>
      </c>
      <c r="J904" s="12">
        <f>'05-ISO Reference'!$B$17</f>
        <v>13</v>
      </c>
      <c r="K904" s="12">
        <f>'05-ISO Reference'!$C$17</f>
        <v>18</v>
      </c>
      <c r="L904" s="12">
        <f>'01-Process Controls'!$G$5</f>
        <v>3</v>
      </c>
      <c r="M904" s="12">
        <f>ROUNDDOWN(MIN(J904,K904*'04-Variant Rules'!$D$55),0)</f>
        <v>13</v>
      </c>
      <c r="N904" s="12">
        <f>ROUNDDOWN(M904/'04-Variant Rules'!$D$55,0)</f>
        <v>8</v>
      </c>
      <c r="O904" s="9">
        <v>50</v>
      </c>
    </row>
    <row r="905" spans="1:15" ht="21" customHeight="1">
      <c r="A905" s="9" t="s">
        <v>1149</v>
      </c>
      <c r="B905" s="12">
        <f>IF(LEFT(H905,5)="VALID",M905,"")</f>
        <v>12</v>
      </c>
      <c r="C905" s="12">
        <f>IF(LEFT(H905,5)="VALID",N905,"")</f>
        <v>18</v>
      </c>
      <c r="D905" s="10" t="s">
        <v>82</v>
      </c>
      <c r="E905" s="10" t="s">
        <v>1097</v>
      </c>
      <c r="F905" s="10" t="s">
        <v>248</v>
      </c>
      <c r="G905" s="10" t="s">
        <v>249</v>
      </c>
      <c r="H905" s="11" t="str">
        <f>IF(OR(M905&lt;=0,N905&lt;=0),"SKIPPED - NONPOSITIVE",IF(OR(M905&lt;L905,N905&lt;L905),"SKIPPED - BELOW MIN",IF(OR(M905&gt;J905,N905&gt;K905),"SKIPPED - EXCEEDS BASE",IF(COUNTIFS($M$854:M904,M905,$N$854:N904,N905)&gt;0,"SKIPPED - DUPLICATE","VALID - GENERATED"))))</f>
        <v>VALID - GENERATED</v>
      </c>
      <c r="I905" s="10" t="s">
        <v>1098</v>
      </c>
      <c r="J905" s="12">
        <f>'05-ISO Reference'!$B$17</f>
        <v>13</v>
      </c>
      <c r="K905" s="12">
        <f>'05-ISO Reference'!$C$17</f>
        <v>18</v>
      </c>
      <c r="L905" s="12">
        <f>'01-Process Controls'!$G$5</f>
        <v>3</v>
      </c>
      <c r="M905" s="12">
        <f>ROUNDDOWN(MIN(J905,K905*'04-Variant Rules'!$D$56),0)</f>
        <v>12</v>
      </c>
      <c r="N905" s="12">
        <f>ROUNDDOWN(M905/'04-Variant Rules'!$D$56,0)</f>
        <v>18</v>
      </c>
      <c r="O905" s="9">
        <v>51</v>
      </c>
    </row>
    <row r="906" spans="1:15" ht="21" customHeight="1">
      <c r="A906" s="9" t="s">
        <v>1150</v>
      </c>
      <c r="B906" s="12">
        <f>IF(LEFT(H906,5)="VALID",M906,"")</f>
        <v>13</v>
      </c>
      <c r="C906" s="12">
        <f>IF(LEFT(H906,5)="VALID",N906,"")</f>
        <v>7</v>
      </c>
      <c r="D906" s="10" t="s">
        <v>82</v>
      </c>
      <c r="E906" s="10" t="s">
        <v>1097</v>
      </c>
      <c r="F906" s="10" t="s">
        <v>251</v>
      </c>
      <c r="G906" s="10" t="s">
        <v>252</v>
      </c>
      <c r="H906" s="11" t="str">
        <f>IF(OR(M906&lt;=0,N906&lt;=0),"SKIPPED - NONPOSITIVE",IF(OR(M906&lt;L906,N906&lt;L906),"SKIPPED - BELOW MIN",IF(OR(M906&gt;J906,N906&gt;K906),"SKIPPED - EXCEEDS BASE",IF(COUNTIFS($M$854:M905,M906,$N$854:N905,N906)&gt;0,"SKIPPED - DUPLICATE","VALID - GENERATED"))))</f>
        <v>VALID - GENERATED</v>
      </c>
      <c r="I906" s="10" t="s">
        <v>1098</v>
      </c>
      <c r="J906" s="12">
        <f>'05-ISO Reference'!$B$17</f>
        <v>13</v>
      </c>
      <c r="K906" s="12">
        <f>'05-ISO Reference'!$C$17</f>
        <v>18</v>
      </c>
      <c r="L906" s="12">
        <f>'01-Process Controls'!$G$5</f>
        <v>3</v>
      </c>
      <c r="M906" s="12">
        <f>ROUNDDOWN(MIN(J906,K906*'04-Variant Rules'!$D$57),0)</f>
        <v>13</v>
      </c>
      <c r="N906" s="12">
        <f>ROUNDDOWN(M906/'04-Variant Rules'!$D$57,0)</f>
        <v>7</v>
      </c>
      <c r="O906" s="9">
        <v>52</v>
      </c>
    </row>
    <row r="907" spans="1:15" ht="21" customHeight="1">
      <c r="A907" s="9" t="s">
        <v>1151</v>
      </c>
      <c r="B907" s="12">
        <f>IF(LEFT(H907,5)="VALID",M907,"")</f>
        <v>10</v>
      </c>
      <c r="C907" s="12">
        <f>IF(LEFT(H907,5)="VALID",N907,"")</f>
        <v>17</v>
      </c>
      <c r="D907" s="10" t="s">
        <v>82</v>
      </c>
      <c r="E907" s="10" t="s">
        <v>1097</v>
      </c>
      <c r="F907" s="10" t="s">
        <v>254</v>
      </c>
      <c r="G907" s="10" t="s">
        <v>255</v>
      </c>
      <c r="H907" s="11" t="str">
        <f>IF(OR(M907&lt;=0,N907&lt;=0),"SKIPPED - NONPOSITIVE",IF(OR(M907&lt;L907,N907&lt;L907),"SKIPPED - BELOW MIN",IF(OR(M907&gt;J907,N907&gt;K907),"SKIPPED - EXCEEDS BASE",IF(COUNTIFS($M$854:M906,M907,$N$854:N906,N907)&gt;0,"SKIPPED - DUPLICATE","VALID - GENERATED"))))</f>
        <v>VALID - GENERATED</v>
      </c>
      <c r="I907" s="10" t="s">
        <v>1098</v>
      </c>
      <c r="J907" s="12">
        <f>'05-ISO Reference'!$B$17</f>
        <v>13</v>
      </c>
      <c r="K907" s="12">
        <f>'05-ISO Reference'!$C$17</f>
        <v>18</v>
      </c>
      <c r="L907" s="12">
        <f>'01-Process Controls'!$G$5</f>
        <v>3</v>
      </c>
      <c r="M907" s="12">
        <f>ROUNDDOWN(MIN(J907,K907*'04-Variant Rules'!$D$58),0)</f>
        <v>10</v>
      </c>
      <c r="N907" s="12">
        <f>ROUNDDOWN(M907/'04-Variant Rules'!$D$58,0)</f>
        <v>17</v>
      </c>
      <c r="O907" s="9">
        <v>53</v>
      </c>
    </row>
    <row r="908" spans="1:15" ht="21" customHeight="1">
      <c r="A908" s="9" t="s">
        <v>1152</v>
      </c>
      <c r="B908" s="12" t="str">
        <f>IF(LEFT(H908,5)="VALID",M908,"")</f>
        <v/>
      </c>
      <c r="C908" s="12" t="str">
        <f>IF(LEFT(H908,5)="VALID",N908,"")</f>
        <v/>
      </c>
      <c r="D908" s="10" t="s">
        <v>82</v>
      </c>
      <c r="E908" s="10" t="s">
        <v>1097</v>
      </c>
      <c r="F908" s="10" t="s">
        <v>257</v>
      </c>
      <c r="G908" s="10" t="s">
        <v>258</v>
      </c>
      <c r="H908" s="11" t="str">
        <f>IF(OR(M908&lt;=0,N908&lt;=0),"SKIPPED - NONPOSITIVE",IF(OR(M908&lt;L908,N908&lt;L908),"SKIPPED - BELOW MIN",IF(OR(M908&gt;J908,N908&gt;K908),"SKIPPED - EXCEEDS BASE",IF(COUNTIFS($M$854:M907,M908,$N$854:N907,N908)&gt;0,"SKIPPED - DUPLICATE","VALID - GENERATED"))))</f>
        <v>SKIPPED - DUPLICATE</v>
      </c>
      <c r="I908" s="10" t="s">
        <v>1098</v>
      </c>
      <c r="J908" s="12">
        <f>'05-ISO Reference'!$B$17</f>
        <v>13</v>
      </c>
      <c r="K908" s="12">
        <f>'05-ISO Reference'!$C$17</f>
        <v>18</v>
      </c>
      <c r="L908" s="12">
        <f>'01-Process Controls'!$G$5</f>
        <v>3</v>
      </c>
      <c r="M908" s="12">
        <f>ROUNDDOWN(MIN(J908,K908*'04-Variant Rules'!$D$59),0)</f>
        <v>13</v>
      </c>
      <c r="N908" s="12">
        <f>ROUNDDOWN(M908/'04-Variant Rules'!$D$59,0)</f>
        <v>6</v>
      </c>
      <c r="O908" s="9">
        <v>54</v>
      </c>
    </row>
    <row r="909" spans="1:15" ht="21" customHeight="1">
      <c r="A909" s="9" t="s">
        <v>1153</v>
      </c>
      <c r="B909" s="12" t="str">
        <f>IF(LEFT(H909,5)="VALID",M909,"")</f>
        <v/>
      </c>
      <c r="C909" s="12" t="str">
        <f>IF(LEFT(H909,5)="VALID",N909,"")</f>
        <v/>
      </c>
      <c r="D909" s="10" t="s">
        <v>82</v>
      </c>
      <c r="E909" s="10" t="s">
        <v>1097</v>
      </c>
      <c r="F909" s="10" t="s">
        <v>260</v>
      </c>
      <c r="G909" s="10" t="s">
        <v>261</v>
      </c>
      <c r="H909" s="11" t="str">
        <f>IF(OR(M909&lt;=0,N909&lt;=0),"SKIPPED - NONPOSITIVE",IF(OR(M909&lt;L909,N909&lt;L909),"SKIPPED - BELOW MIN",IF(OR(M909&gt;J909,N909&gt;K909),"SKIPPED - EXCEEDS BASE",IF(COUNTIFS($M$854:M908,M909,$N$854:N908,N909)&gt;0,"SKIPPED - DUPLICATE","VALID - GENERATED"))))</f>
        <v>SKIPPED - DUPLICATE</v>
      </c>
      <c r="I909" s="10" t="s">
        <v>1098</v>
      </c>
      <c r="J909" s="12">
        <f>'05-ISO Reference'!$B$17</f>
        <v>13</v>
      </c>
      <c r="K909" s="12">
        <f>'05-ISO Reference'!$C$17</f>
        <v>18</v>
      </c>
      <c r="L909" s="12">
        <f>'01-Process Controls'!$G$5</f>
        <v>3</v>
      </c>
      <c r="M909" s="12">
        <f>ROUNDDOWN(MIN(J909,K909*'04-Variant Rules'!$D$60),0)</f>
        <v>9</v>
      </c>
      <c r="N909" s="12">
        <f>ROUNDDOWN(M909/'04-Variant Rules'!$D$60,0)</f>
        <v>18</v>
      </c>
      <c r="O909" s="9">
        <v>55</v>
      </c>
    </row>
    <row r="910" spans="1:15" ht="21" customHeight="1">
      <c r="A910" s="9" t="s">
        <v>1154</v>
      </c>
      <c r="B910" s="48"/>
      <c r="C910" s="48"/>
      <c r="D910" s="10" t="s">
        <v>263</v>
      </c>
      <c r="E910" s="10" t="s">
        <v>1155</v>
      </c>
      <c r="F910" s="10" t="s">
        <v>265</v>
      </c>
      <c r="G910" s="10" t="s">
        <v>266</v>
      </c>
      <c r="H910" s="11" t="str">
        <f>IF(AND(B910="",C910=""),"CUSTOM BLANK",IF(OR(B910="",C910=""),"ERROR - ENTER BOTH",IF(OR(B910&lt;=0,C910&lt;=0),"ERROR - NONPOSITIVE",IF(OR(B910&lt;L910,C910&lt;L910),"ERROR - BELOW MIN",IF(OR(AND(B910&lt;=J910,C910&lt;=K910),AND(B910&lt;=K910,C910&lt;=J910)),"VALID - CUSTOM","ERROR - EXCEEDS BASE")))))</f>
        <v>CUSTOM BLANK</v>
      </c>
      <c r="I910" s="10" t="s">
        <v>267</v>
      </c>
      <c r="J910" s="12">
        <f>'05-ISO Reference'!$B$17</f>
        <v>13</v>
      </c>
      <c r="K910" s="12">
        <f>'05-ISO Reference'!$C$17</f>
        <v>18</v>
      </c>
      <c r="L910" s="12">
        <f>'01-Process Controls'!$G$5</f>
        <v>3</v>
      </c>
      <c r="M910" s="8"/>
      <c r="N910" s="8"/>
    </row>
    <row r="911" spans="1:15" ht="21" customHeight="1">
      <c r="A911" s="9" t="s">
        <v>1156</v>
      </c>
      <c r="B911" s="48"/>
      <c r="C911" s="48"/>
      <c r="D911" s="10" t="s">
        <v>263</v>
      </c>
      <c r="E911" s="10" t="s">
        <v>1155</v>
      </c>
      <c r="F911" s="10" t="s">
        <v>265</v>
      </c>
      <c r="G911" s="10" t="s">
        <v>266</v>
      </c>
      <c r="H911" s="11" t="str">
        <f>IF(AND(B911="",C911=""),"CUSTOM BLANK",IF(OR(B911="",C911=""),"ERROR - ENTER BOTH",IF(OR(B911&lt;=0,C911&lt;=0),"ERROR - NONPOSITIVE",IF(OR(B911&lt;L911,C911&lt;L911),"ERROR - BELOW MIN",IF(OR(AND(B911&lt;=J911,C911&lt;=K911),AND(B911&lt;=K911,C911&lt;=J911)),"VALID - CUSTOM","ERROR - EXCEEDS BASE")))))</f>
        <v>CUSTOM BLANK</v>
      </c>
      <c r="I911" s="10" t="s">
        <v>267</v>
      </c>
      <c r="J911" s="12">
        <f>'05-ISO Reference'!$B$17</f>
        <v>13</v>
      </c>
      <c r="K911" s="12">
        <f>'05-ISO Reference'!$C$17</f>
        <v>18</v>
      </c>
      <c r="L911" s="12">
        <f>'01-Process Controls'!$G$5</f>
        <v>3</v>
      </c>
      <c r="M911" s="8"/>
      <c r="N911" s="8"/>
    </row>
    <row r="912" spans="1:15" ht="21" customHeight="1">
      <c r="A912" s="9" t="s">
        <v>1157</v>
      </c>
      <c r="B912" s="48"/>
      <c r="C912" s="48"/>
      <c r="D912" s="10" t="s">
        <v>263</v>
      </c>
      <c r="E912" s="10" t="s">
        <v>1155</v>
      </c>
      <c r="F912" s="10" t="s">
        <v>265</v>
      </c>
      <c r="G912" s="10" t="s">
        <v>266</v>
      </c>
      <c r="H912" s="11" t="str">
        <f>IF(AND(B912="",C912=""),"CUSTOM BLANK",IF(OR(B912="",C912=""),"ERROR - ENTER BOTH",IF(OR(B912&lt;=0,C912&lt;=0),"ERROR - NONPOSITIVE",IF(OR(B912&lt;L912,C912&lt;L912),"ERROR - BELOW MIN",IF(OR(AND(B912&lt;=J912,C912&lt;=K912),AND(B912&lt;=K912,C912&lt;=J912)),"VALID - CUSTOM","ERROR - EXCEEDS BASE")))))</f>
        <v>CUSTOM BLANK</v>
      </c>
      <c r="I912" s="10" t="s">
        <v>267</v>
      </c>
      <c r="J912" s="12">
        <f>'05-ISO Reference'!$B$17</f>
        <v>13</v>
      </c>
      <c r="K912" s="12">
        <f>'05-ISO Reference'!$C$17</f>
        <v>18</v>
      </c>
      <c r="L912" s="12">
        <f>'01-Process Controls'!$G$5</f>
        <v>3</v>
      </c>
      <c r="M912" s="8"/>
      <c r="N912" s="8"/>
    </row>
    <row r="913" spans="1:14" ht="21" customHeight="1">
      <c r="A913" s="9" t="s">
        <v>1158</v>
      </c>
      <c r="B913" s="48"/>
      <c r="C913" s="48"/>
      <c r="D913" s="10" t="s">
        <v>263</v>
      </c>
      <c r="E913" s="10" t="s">
        <v>1155</v>
      </c>
      <c r="F913" s="10" t="s">
        <v>265</v>
      </c>
      <c r="G913" s="10" t="s">
        <v>266</v>
      </c>
      <c r="H913" s="11" t="str">
        <f>IF(AND(B913="",C913=""),"CUSTOM BLANK",IF(OR(B913="",C913=""),"ERROR - ENTER BOTH",IF(OR(B913&lt;=0,C913&lt;=0),"ERROR - NONPOSITIVE",IF(OR(B913&lt;L913,C913&lt;L913),"ERROR - BELOW MIN",IF(OR(AND(B913&lt;=J913,C913&lt;=K913),AND(B913&lt;=K913,C913&lt;=J913)),"VALID - CUSTOM","ERROR - EXCEEDS BASE")))))</f>
        <v>CUSTOM BLANK</v>
      </c>
      <c r="I913" s="10" t="s">
        <v>267</v>
      </c>
      <c r="J913" s="12">
        <f>'05-ISO Reference'!$B$17</f>
        <v>13</v>
      </c>
      <c r="K913" s="12">
        <f>'05-ISO Reference'!$C$17</f>
        <v>18</v>
      </c>
      <c r="L913" s="12">
        <f>'01-Process Controls'!$G$5</f>
        <v>3</v>
      </c>
      <c r="M913" s="8"/>
      <c r="N913" s="8"/>
    </row>
    <row r="914" spans="1:14" ht="21" customHeight="1">
      <c r="A914" s="9" t="s">
        <v>1159</v>
      </c>
      <c r="B914" s="48"/>
      <c r="C914" s="48"/>
      <c r="D914" s="10" t="s">
        <v>263</v>
      </c>
      <c r="E914" s="10" t="s">
        <v>1155</v>
      </c>
      <c r="F914" s="10" t="s">
        <v>265</v>
      </c>
      <c r="G914" s="10" t="s">
        <v>266</v>
      </c>
      <c r="H914" s="11" t="str">
        <f>IF(AND(B914="",C914=""),"CUSTOM BLANK",IF(OR(B914="",C914=""),"ERROR - ENTER BOTH",IF(OR(B914&lt;=0,C914&lt;=0),"ERROR - NONPOSITIVE",IF(OR(B914&lt;L914,C914&lt;L914),"ERROR - BELOW MIN",IF(OR(AND(B914&lt;=J914,C914&lt;=K914),AND(B914&lt;=K914,C914&lt;=J914)),"VALID - CUSTOM","ERROR - EXCEEDS BASE")))))</f>
        <v>CUSTOM BLANK</v>
      </c>
      <c r="I914" s="10" t="s">
        <v>267</v>
      </c>
      <c r="J914" s="12">
        <f>'05-ISO Reference'!$B$17</f>
        <v>13</v>
      </c>
      <c r="K914" s="12">
        <f>'05-ISO Reference'!$C$17</f>
        <v>18</v>
      </c>
      <c r="L914" s="12">
        <f>'01-Process Controls'!$G$5</f>
        <v>3</v>
      </c>
      <c r="M914" s="8"/>
      <c r="N914" s="8"/>
    </row>
    <row r="915" spans="1:14" ht="21" customHeight="1">
      <c r="A915" s="9" t="s">
        <v>1160</v>
      </c>
      <c r="B915" s="48"/>
      <c r="C915" s="48"/>
      <c r="D915" s="10" t="s">
        <v>263</v>
      </c>
      <c r="E915" s="10" t="s">
        <v>1155</v>
      </c>
      <c r="F915" s="10" t="s">
        <v>265</v>
      </c>
      <c r="G915" s="10" t="s">
        <v>266</v>
      </c>
      <c r="H915" s="11" t="str">
        <f>IF(AND(B915="",C915=""),"CUSTOM BLANK",IF(OR(B915="",C915=""),"ERROR - ENTER BOTH",IF(OR(B915&lt;=0,C915&lt;=0),"ERROR - NONPOSITIVE",IF(OR(B915&lt;L915,C915&lt;L915),"ERROR - BELOW MIN",IF(OR(AND(B915&lt;=J915,C915&lt;=K915),AND(B915&lt;=K915,C915&lt;=J915)),"VALID - CUSTOM","ERROR - EXCEEDS BASE")))))</f>
        <v>CUSTOM BLANK</v>
      </c>
      <c r="I915" s="10" t="s">
        <v>267</v>
      </c>
      <c r="J915" s="12">
        <f>'05-ISO Reference'!$B$17</f>
        <v>13</v>
      </c>
      <c r="K915" s="12">
        <f>'05-ISO Reference'!$C$17</f>
        <v>18</v>
      </c>
      <c r="L915" s="12">
        <f>'01-Process Controls'!$G$5</f>
        <v>3</v>
      </c>
      <c r="M915" s="8"/>
      <c r="N915" s="8"/>
    </row>
    <row r="916" spans="1:14" ht="21" customHeight="1">
      <c r="A916" s="9" t="s">
        <v>1161</v>
      </c>
      <c r="B916" s="48"/>
      <c r="C916" s="48"/>
      <c r="D916" s="10" t="s">
        <v>263</v>
      </c>
      <c r="E916" s="10" t="s">
        <v>1155</v>
      </c>
      <c r="F916" s="10" t="s">
        <v>265</v>
      </c>
      <c r="G916" s="10" t="s">
        <v>266</v>
      </c>
      <c r="H916" s="11" t="str">
        <f>IF(AND(B916="",C916=""),"CUSTOM BLANK",IF(OR(B916="",C916=""),"ERROR - ENTER BOTH",IF(OR(B916&lt;=0,C916&lt;=0),"ERROR - NONPOSITIVE",IF(OR(B916&lt;L916,C916&lt;L916),"ERROR - BELOW MIN",IF(OR(AND(B916&lt;=J916,C916&lt;=K916),AND(B916&lt;=K916,C916&lt;=J916)),"VALID - CUSTOM","ERROR - EXCEEDS BASE")))))</f>
        <v>CUSTOM BLANK</v>
      </c>
      <c r="I916" s="10" t="s">
        <v>267</v>
      </c>
      <c r="J916" s="12">
        <f>'05-ISO Reference'!$B$17</f>
        <v>13</v>
      </c>
      <c r="K916" s="12">
        <f>'05-ISO Reference'!$C$17</f>
        <v>18</v>
      </c>
      <c r="L916" s="12">
        <f>'01-Process Controls'!$G$5</f>
        <v>3</v>
      </c>
      <c r="M916" s="8"/>
      <c r="N916" s="8"/>
    </row>
    <row r="917" spans="1:14" ht="21" customHeight="1">
      <c r="A917" s="9" t="s">
        <v>1162</v>
      </c>
      <c r="B917" s="48"/>
      <c r="C917" s="48"/>
      <c r="D917" s="10" t="s">
        <v>263</v>
      </c>
      <c r="E917" s="10" t="s">
        <v>1155</v>
      </c>
      <c r="F917" s="10" t="s">
        <v>265</v>
      </c>
      <c r="G917" s="10" t="s">
        <v>266</v>
      </c>
      <c r="H917" s="11" t="str">
        <f>IF(AND(B917="",C917=""),"CUSTOM BLANK",IF(OR(B917="",C917=""),"ERROR - ENTER BOTH",IF(OR(B917&lt;=0,C917&lt;=0),"ERROR - NONPOSITIVE",IF(OR(B917&lt;L917,C917&lt;L917),"ERROR - BELOW MIN",IF(OR(AND(B917&lt;=J917,C917&lt;=K917),AND(B917&lt;=K917,C917&lt;=J917)),"VALID - CUSTOM","ERROR - EXCEEDS BASE")))))</f>
        <v>CUSTOM BLANK</v>
      </c>
      <c r="I917" s="10" t="s">
        <v>267</v>
      </c>
      <c r="J917" s="12">
        <f>'05-ISO Reference'!$B$17</f>
        <v>13</v>
      </c>
      <c r="K917" s="12">
        <f>'05-ISO Reference'!$C$17</f>
        <v>18</v>
      </c>
      <c r="L917" s="12">
        <f>'01-Process Controls'!$G$5</f>
        <v>3</v>
      </c>
      <c r="M917" s="8"/>
      <c r="N917" s="8"/>
    </row>
    <row r="918" spans="1:14" ht="21" customHeight="1">
      <c r="A918" s="9" t="s">
        <v>1163</v>
      </c>
      <c r="B918" s="48"/>
      <c r="C918" s="48"/>
      <c r="D918" s="10" t="s">
        <v>263</v>
      </c>
      <c r="E918" s="10" t="s">
        <v>1155</v>
      </c>
      <c r="F918" s="10" t="s">
        <v>265</v>
      </c>
      <c r="G918" s="10" t="s">
        <v>266</v>
      </c>
      <c r="H918" s="11" t="str">
        <f>IF(AND(B918="",C918=""),"CUSTOM BLANK",IF(OR(B918="",C918=""),"ERROR - ENTER BOTH",IF(OR(B918&lt;=0,C918&lt;=0),"ERROR - NONPOSITIVE",IF(OR(B918&lt;L918,C918&lt;L918),"ERROR - BELOW MIN",IF(OR(AND(B918&lt;=J918,C918&lt;=K918),AND(B918&lt;=K918,C918&lt;=J918)),"VALID - CUSTOM","ERROR - EXCEEDS BASE")))))</f>
        <v>CUSTOM BLANK</v>
      </c>
      <c r="I918" s="10" t="s">
        <v>267</v>
      </c>
      <c r="J918" s="12">
        <f>'05-ISO Reference'!$B$17</f>
        <v>13</v>
      </c>
      <c r="K918" s="12">
        <f>'05-ISO Reference'!$C$17</f>
        <v>18</v>
      </c>
      <c r="L918" s="12">
        <f>'01-Process Controls'!$G$5</f>
        <v>3</v>
      </c>
      <c r="M918" s="8"/>
      <c r="N918" s="8"/>
    </row>
    <row r="919" spans="1:14" ht="21" customHeight="1">
      <c r="A919" s="9" t="s">
        <v>1164</v>
      </c>
      <c r="B919" s="48"/>
      <c r="C919" s="48"/>
      <c r="D919" s="10" t="s">
        <v>263</v>
      </c>
      <c r="E919" s="10" t="s">
        <v>1155</v>
      </c>
      <c r="F919" s="10" t="s">
        <v>265</v>
      </c>
      <c r="G919" s="10" t="s">
        <v>266</v>
      </c>
      <c r="H919" s="11" t="str">
        <f>IF(AND(B919="",C919=""),"CUSTOM BLANK",IF(OR(B919="",C919=""),"ERROR - ENTER BOTH",IF(OR(B919&lt;=0,C919&lt;=0),"ERROR - NONPOSITIVE",IF(OR(B919&lt;L919,C919&lt;L919),"ERROR - BELOW MIN",IF(OR(AND(B919&lt;=J919,C919&lt;=K919),AND(B919&lt;=K919,C919&lt;=J919)),"VALID - CUSTOM","ERROR - EXCEEDS BASE")))))</f>
        <v>CUSTOM BLANK</v>
      </c>
      <c r="I919" s="10" t="s">
        <v>267</v>
      </c>
      <c r="J919" s="12">
        <f>'05-ISO Reference'!$B$17</f>
        <v>13</v>
      </c>
      <c r="K919" s="12">
        <f>'05-ISO Reference'!$C$17</f>
        <v>18</v>
      </c>
      <c r="L919" s="12">
        <f>'01-Process Controls'!$G$5</f>
        <v>3</v>
      </c>
      <c r="M919" s="8"/>
      <c r="N919" s="8"/>
    </row>
    <row r="920" spans="1:14" ht="21" customHeight="1">
      <c r="A920" s="9" t="s">
        <v>1165</v>
      </c>
      <c r="B920" s="48"/>
      <c r="C920" s="48"/>
      <c r="D920" s="10" t="s">
        <v>263</v>
      </c>
      <c r="E920" s="10" t="s">
        <v>1155</v>
      </c>
      <c r="F920" s="10" t="s">
        <v>265</v>
      </c>
      <c r="G920" s="10" t="s">
        <v>266</v>
      </c>
      <c r="H920" s="11" t="str">
        <f>IF(AND(B920="",C920=""),"CUSTOM BLANK",IF(OR(B920="",C920=""),"ERROR - ENTER BOTH",IF(OR(B920&lt;=0,C920&lt;=0),"ERROR - NONPOSITIVE",IF(OR(B920&lt;L920,C920&lt;L920),"ERROR - BELOW MIN",IF(OR(AND(B920&lt;=J920,C920&lt;=K920),AND(B920&lt;=K920,C920&lt;=J920)),"VALID - CUSTOM","ERROR - EXCEEDS BASE")))))</f>
        <v>CUSTOM BLANK</v>
      </c>
      <c r="I920" s="10" t="s">
        <v>267</v>
      </c>
      <c r="J920" s="12">
        <f>'05-ISO Reference'!$B$17</f>
        <v>13</v>
      </c>
      <c r="K920" s="12">
        <f>'05-ISO Reference'!$C$17</f>
        <v>18</v>
      </c>
      <c r="L920" s="12">
        <f>'01-Process Controls'!$G$5</f>
        <v>3</v>
      </c>
      <c r="M920" s="8"/>
      <c r="N920" s="8"/>
    </row>
    <row r="921" spans="1:14" ht="21" customHeight="1">
      <c r="A921" s="9" t="s">
        <v>1166</v>
      </c>
      <c r="B921" s="48"/>
      <c r="C921" s="48"/>
      <c r="D921" s="10" t="s">
        <v>263</v>
      </c>
      <c r="E921" s="10" t="s">
        <v>1155</v>
      </c>
      <c r="F921" s="10" t="s">
        <v>265</v>
      </c>
      <c r="G921" s="10" t="s">
        <v>266</v>
      </c>
      <c r="H921" s="11" t="str">
        <f>IF(AND(B921="",C921=""),"CUSTOM BLANK",IF(OR(B921="",C921=""),"ERROR - ENTER BOTH",IF(OR(B921&lt;=0,C921&lt;=0),"ERROR - NONPOSITIVE",IF(OR(B921&lt;L921,C921&lt;L921),"ERROR - BELOW MIN",IF(OR(AND(B921&lt;=J921,C921&lt;=K921),AND(B921&lt;=K921,C921&lt;=J921)),"VALID - CUSTOM","ERROR - EXCEEDS BASE")))))</f>
        <v>CUSTOM BLANK</v>
      </c>
      <c r="I921" s="10" t="s">
        <v>267</v>
      </c>
      <c r="J921" s="12">
        <f>'05-ISO Reference'!$B$17</f>
        <v>13</v>
      </c>
      <c r="K921" s="12">
        <f>'05-ISO Reference'!$C$17</f>
        <v>18</v>
      </c>
      <c r="L921" s="12">
        <f>'01-Process Controls'!$G$5</f>
        <v>3</v>
      </c>
      <c r="M921" s="8"/>
      <c r="N921" s="8"/>
    </row>
    <row r="922" spans="1:14" ht="21" customHeight="1">
      <c r="A922" s="9" t="s">
        <v>1167</v>
      </c>
      <c r="B922" s="48"/>
      <c r="C922" s="48"/>
      <c r="D922" s="10" t="s">
        <v>263</v>
      </c>
      <c r="E922" s="10" t="s">
        <v>1155</v>
      </c>
      <c r="F922" s="10" t="s">
        <v>265</v>
      </c>
      <c r="G922" s="10" t="s">
        <v>266</v>
      </c>
      <c r="H922" s="11" t="str">
        <f>IF(AND(B922="",C922=""),"CUSTOM BLANK",IF(OR(B922="",C922=""),"ERROR - ENTER BOTH",IF(OR(B922&lt;=0,C922&lt;=0),"ERROR - NONPOSITIVE",IF(OR(B922&lt;L922,C922&lt;L922),"ERROR - BELOW MIN",IF(OR(AND(B922&lt;=J922,C922&lt;=K922),AND(B922&lt;=K922,C922&lt;=J922)),"VALID - CUSTOM","ERROR - EXCEEDS BASE")))))</f>
        <v>CUSTOM BLANK</v>
      </c>
      <c r="I922" s="10" t="s">
        <v>267</v>
      </c>
      <c r="J922" s="12">
        <f>'05-ISO Reference'!$B$17</f>
        <v>13</v>
      </c>
      <c r="K922" s="12">
        <f>'05-ISO Reference'!$C$17</f>
        <v>18</v>
      </c>
      <c r="L922" s="12">
        <f>'01-Process Controls'!$G$5</f>
        <v>3</v>
      </c>
      <c r="M922" s="8"/>
      <c r="N922" s="8"/>
    </row>
    <row r="923" spans="1:14" ht="21" customHeight="1">
      <c r="A923" s="9" t="s">
        <v>1168</v>
      </c>
      <c r="B923" s="48"/>
      <c r="C923" s="48"/>
      <c r="D923" s="10" t="s">
        <v>263</v>
      </c>
      <c r="E923" s="10" t="s">
        <v>1155</v>
      </c>
      <c r="F923" s="10" t="s">
        <v>265</v>
      </c>
      <c r="G923" s="10" t="s">
        <v>266</v>
      </c>
      <c r="H923" s="11" t="str">
        <f>IF(AND(B923="",C923=""),"CUSTOM BLANK",IF(OR(B923="",C923=""),"ERROR - ENTER BOTH",IF(OR(B923&lt;=0,C923&lt;=0),"ERROR - NONPOSITIVE",IF(OR(B923&lt;L923,C923&lt;L923),"ERROR - BELOW MIN",IF(OR(AND(B923&lt;=J923,C923&lt;=K923),AND(B923&lt;=K923,C923&lt;=J923)),"VALID - CUSTOM","ERROR - EXCEEDS BASE")))))</f>
        <v>CUSTOM BLANK</v>
      </c>
      <c r="I923" s="10" t="s">
        <v>267</v>
      </c>
      <c r="J923" s="12">
        <f>'05-ISO Reference'!$B$17</f>
        <v>13</v>
      </c>
      <c r="K923" s="12">
        <f>'05-ISO Reference'!$C$17</f>
        <v>18</v>
      </c>
      <c r="L923" s="12">
        <f>'01-Process Controls'!$G$5</f>
        <v>3</v>
      </c>
      <c r="M923" s="8"/>
      <c r="N923" s="8"/>
    </row>
    <row r="924" spans="1:14" ht="21" customHeight="1">
      <c r="A924" s="9" t="s">
        <v>1169</v>
      </c>
      <c r="B924" s="48"/>
      <c r="C924" s="48"/>
      <c r="D924" s="10" t="s">
        <v>263</v>
      </c>
      <c r="E924" s="10" t="s">
        <v>1155</v>
      </c>
      <c r="F924" s="10" t="s">
        <v>265</v>
      </c>
      <c r="G924" s="10" t="s">
        <v>266</v>
      </c>
      <c r="H924" s="11" t="str">
        <f>IF(AND(B924="",C924=""),"CUSTOM BLANK",IF(OR(B924="",C924=""),"ERROR - ENTER BOTH",IF(OR(B924&lt;=0,C924&lt;=0),"ERROR - NONPOSITIVE",IF(OR(B924&lt;L924,C924&lt;L924),"ERROR - BELOW MIN",IF(OR(AND(B924&lt;=J924,C924&lt;=K924),AND(B924&lt;=K924,C924&lt;=J924)),"VALID - CUSTOM","ERROR - EXCEEDS BASE")))))</f>
        <v>CUSTOM BLANK</v>
      </c>
      <c r="I924" s="10" t="s">
        <v>267</v>
      </c>
      <c r="J924" s="12">
        <f>'05-ISO Reference'!$B$17</f>
        <v>13</v>
      </c>
      <c r="K924" s="12">
        <f>'05-ISO Reference'!$C$17</f>
        <v>18</v>
      </c>
      <c r="L924" s="12">
        <f>'01-Process Controls'!$G$5</f>
        <v>3</v>
      </c>
      <c r="M924" s="8"/>
      <c r="N924" s="8"/>
    </row>
    <row r="925" spans="1:14" ht="21" hidden="1" customHeight="1">
      <c r="A925" s="44"/>
      <c r="B925" s="49"/>
      <c r="C925" s="49"/>
      <c r="D925" s="46"/>
      <c r="E925" s="46"/>
      <c r="F925" s="46"/>
      <c r="G925" s="46"/>
      <c r="H925" s="47"/>
      <c r="I925" s="46"/>
      <c r="J925" s="8"/>
      <c r="K925" s="8"/>
      <c r="L925" s="8"/>
      <c r="M925" s="8"/>
      <c r="N925" s="8"/>
    </row>
    <row r="926" spans="1:14" ht="21" hidden="1" customHeight="1">
      <c r="A926" s="9"/>
      <c r="B926" s="50"/>
      <c r="C926" s="50"/>
      <c r="D926" s="10"/>
      <c r="E926" s="10"/>
      <c r="F926" s="10"/>
      <c r="G926" s="10"/>
      <c r="H926" s="11"/>
      <c r="I926" s="10"/>
      <c r="J926" s="8"/>
      <c r="K926" s="8"/>
      <c r="L926" s="8"/>
      <c r="M926" s="8"/>
      <c r="N926" s="8"/>
    </row>
    <row r="927" spans="1:14" ht="21" hidden="1" customHeight="1">
      <c r="A927" s="9"/>
      <c r="B927" s="50"/>
      <c r="C927" s="50"/>
      <c r="D927" s="10"/>
      <c r="E927" s="10"/>
      <c r="F927" s="10"/>
      <c r="G927" s="10"/>
      <c r="H927" s="11"/>
      <c r="I927" s="10"/>
      <c r="J927" s="8"/>
      <c r="K927" s="8"/>
      <c r="L927" s="8"/>
      <c r="M927" s="8"/>
      <c r="N927" s="8"/>
    </row>
    <row r="928" spans="1:14" ht="21" hidden="1" customHeight="1">
      <c r="A928" s="9"/>
      <c r="B928" s="50"/>
      <c r="C928" s="50"/>
      <c r="D928" s="10"/>
      <c r="E928" s="10"/>
      <c r="F928" s="10"/>
      <c r="G928" s="10"/>
      <c r="H928" s="11"/>
      <c r="I928" s="10"/>
      <c r="J928" s="8"/>
      <c r="K928" s="8"/>
      <c r="L928" s="8"/>
      <c r="M928" s="8"/>
      <c r="N928" s="8"/>
    </row>
    <row r="929" spans="1:14" ht="21" hidden="1" customHeight="1">
      <c r="A929" s="9"/>
      <c r="B929" s="50"/>
      <c r="C929" s="50"/>
      <c r="D929" s="10"/>
      <c r="E929" s="10"/>
      <c r="F929" s="10"/>
      <c r="G929" s="10"/>
      <c r="H929" s="11"/>
      <c r="I929" s="10"/>
      <c r="J929" s="8"/>
      <c r="K929" s="8"/>
      <c r="L929" s="8"/>
      <c r="M929" s="8"/>
      <c r="N929" s="8"/>
    </row>
    <row r="930" spans="1:14" ht="21" hidden="1" customHeight="1">
      <c r="A930" s="9"/>
      <c r="B930" s="50"/>
      <c r="C930" s="50"/>
      <c r="D930" s="10"/>
      <c r="E930" s="10"/>
      <c r="F930" s="10"/>
      <c r="G930" s="10"/>
      <c r="H930" s="11"/>
      <c r="I930" s="10"/>
      <c r="J930" s="8"/>
      <c r="K930" s="8"/>
      <c r="L930" s="8"/>
      <c r="M930" s="8"/>
      <c r="N930" s="8"/>
    </row>
    <row r="931" spans="1:14" ht="21" hidden="1" customHeight="1">
      <c r="A931" s="9"/>
      <c r="B931" s="50"/>
      <c r="C931" s="50"/>
      <c r="D931" s="10"/>
      <c r="E931" s="10"/>
      <c r="F931" s="10"/>
      <c r="G931" s="10"/>
      <c r="H931" s="11"/>
      <c r="I931" s="10"/>
      <c r="J931" s="8"/>
      <c r="K931" s="8"/>
      <c r="L931" s="8"/>
      <c r="M931" s="8"/>
      <c r="N931" s="8"/>
    </row>
    <row r="932" spans="1:14" ht="21" hidden="1" customHeight="1">
      <c r="A932" s="9"/>
      <c r="B932" s="50"/>
      <c r="C932" s="50"/>
      <c r="D932" s="10"/>
      <c r="E932" s="10"/>
      <c r="F932" s="10"/>
      <c r="G932" s="10"/>
      <c r="H932" s="11"/>
      <c r="I932" s="10"/>
      <c r="J932" s="8"/>
      <c r="K932" s="8"/>
      <c r="L932" s="8"/>
      <c r="M932" s="8"/>
      <c r="N932" s="8"/>
    </row>
    <row r="933" spans="1:14" ht="21" hidden="1" customHeight="1">
      <c r="A933" s="9"/>
      <c r="B933" s="50"/>
      <c r="C933" s="50"/>
      <c r="D933" s="10"/>
      <c r="E933" s="10"/>
      <c r="F933" s="10"/>
      <c r="G933" s="10"/>
      <c r="H933" s="11"/>
      <c r="I933" s="10"/>
      <c r="J933" s="8"/>
      <c r="K933" s="8"/>
      <c r="L933" s="8"/>
      <c r="M933" s="8"/>
      <c r="N933" s="8"/>
    </row>
    <row r="934" spans="1:14" ht="21" hidden="1" customHeight="1">
      <c r="A934" s="9"/>
      <c r="B934" s="50"/>
      <c r="C934" s="50"/>
      <c r="D934" s="10"/>
      <c r="E934" s="10"/>
      <c r="F934" s="10"/>
      <c r="G934" s="10"/>
      <c r="H934" s="11"/>
      <c r="I934" s="10"/>
      <c r="J934" s="8"/>
      <c r="K934" s="8"/>
      <c r="L934" s="8"/>
      <c r="M934" s="8"/>
      <c r="N934" s="8"/>
    </row>
    <row r="935" spans="1:14" ht="21" hidden="1" customHeight="1">
      <c r="A935" s="9"/>
      <c r="B935" s="50"/>
      <c r="C935" s="50"/>
      <c r="D935" s="10"/>
      <c r="E935" s="10"/>
      <c r="F935" s="10"/>
      <c r="G935" s="10"/>
      <c r="H935" s="11"/>
      <c r="I935" s="10"/>
      <c r="J935" s="8"/>
      <c r="K935" s="8"/>
      <c r="L935" s="8"/>
      <c r="M935" s="8"/>
      <c r="N935" s="8"/>
    </row>
    <row r="936" spans="1:14" ht="21" hidden="1" customHeight="1">
      <c r="A936" s="9"/>
      <c r="B936" s="50"/>
      <c r="C936" s="50"/>
      <c r="D936" s="10"/>
      <c r="E936" s="10"/>
      <c r="F936" s="10"/>
      <c r="G936" s="10"/>
      <c r="H936" s="11"/>
      <c r="I936" s="10"/>
      <c r="J936" s="8"/>
      <c r="K936" s="8"/>
      <c r="L936" s="8"/>
      <c r="M936" s="8"/>
      <c r="N936" s="8"/>
    </row>
    <row r="937" spans="1:14" ht="21" hidden="1" customHeight="1">
      <c r="A937" s="9"/>
      <c r="B937" s="50"/>
      <c r="C937" s="50"/>
      <c r="D937" s="10"/>
      <c r="E937" s="10"/>
      <c r="F937" s="10"/>
      <c r="G937" s="10"/>
      <c r="H937" s="11"/>
      <c r="I937" s="10"/>
      <c r="J937" s="8"/>
      <c r="K937" s="8"/>
      <c r="L937" s="8"/>
      <c r="M937" s="8"/>
      <c r="N937" s="8"/>
    </row>
    <row r="938" spans="1:14" ht="21" hidden="1" customHeight="1">
      <c r="A938" s="9"/>
      <c r="B938" s="50"/>
      <c r="C938" s="50"/>
      <c r="D938" s="10"/>
      <c r="E938" s="10"/>
      <c r="F938" s="10"/>
      <c r="G938" s="10"/>
      <c r="H938" s="11"/>
      <c r="I938" s="10"/>
      <c r="J938" s="8"/>
      <c r="K938" s="8"/>
      <c r="L938" s="8"/>
      <c r="M938" s="8"/>
      <c r="N938" s="8"/>
    </row>
    <row r="939" spans="1:14" ht="21" hidden="1" customHeight="1">
      <c r="A939" s="9"/>
      <c r="B939" s="50"/>
      <c r="C939" s="50"/>
      <c r="D939" s="10"/>
      <c r="E939" s="10"/>
      <c r="F939" s="10"/>
      <c r="G939" s="10"/>
      <c r="H939" s="11"/>
      <c r="I939" s="10"/>
      <c r="J939" s="8"/>
      <c r="K939" s="8"/>
      <c r="L939" s="8"/>
      <c r="M939" s="8"/>
      <c r="N939" s="8"/>
    </row>
    <row r="940" spans="1:14" ht="21" hidden="1" customHeight="1">
      <c r="A940" s="9"/>
      <c r="B940" s="50"/>
      <c r="C940" s="50"/>
      <c r="D940" s="10"/>
      <c r="E940" s="10"/>
      <c r="F940" s="10"/>
      <c r="G940" s="10"/>
      <c r="H940" s="11"/>
      <c r="I940" s="10"/>
      <c r="J940" s="8"/>
      <c r="K940" s="8"/>
      <c r="L940" s="8"/>
      <c r="M940" s="8"/>
      <c r="N940" s="8"/>
    </row>
    <row r="941" spans="1:14" ht="21" hidden="1" customHeight="1">
      <c r="A941" s="9"/>
      <c r="B941" s="50"/>
      <c r="C941" s="50"/>
      <c r="D941" s="10"/>
      <c r="E941" s="10"/>
      <c r="F941" s="10"/>
      <c r="G941" s="10"/>
      <c r="H941" s="11"/>
      <c r="I941" s="10"/>
      <c r="J941" s="8"/>
      <c r="K941" s="8"/>
      <c r="L941" s="8"/>
      <c r="M941" s="8"/>
      <c r="N941" s="8"/>
    </row>
    <row r="942" spans="1:14" ht="21" hidden="1" customHeight="1">
      <c r="A942" s="9"/>
      <c r="B942" s="50"/>
      <c r="C942" s="50"/>
      <c r="D942" s="10"/>
      <c r="E942" s="10"/>
      <c r="F942" s="10"/>
      <c r="G942" s="10"/>
      <c r="H942" s="11"/>
      <c r="I942" s="10"/>
      <c r="J942" s="8"/>
      <c r="K942" s="8"/>
      <c r="L942" s="8"/>
      <c r="M942" s="8"/>
      <c r="N942" s="8"/>
    </row>
    <row r="943" spans="1:14" ht="21" hidden="1" customHeight="1">
      <c r="A943" s="9"/>
      <c r="B943" s="50"/>
      <c r="C943" s="50"/>
      <c r="D943" s="10"/>
      <c r="E943" s="10"/>
      <c r="F943" s="10"/>
      <c r="G943" s="10"/>
      <c r="H943" s="11"/>
      <c r="I943" s="10"/>
      <c r="J943" s="8"/>
      <c r="K943" s="8"/>
      <c r="L943" s="8"/>
      <c r="M943" s="8"/>
      <c r="N943" s="8"/>
    </row>
    <row r="944" spans="1:14" ht="21" hidden="1" customHeight="1">
      <c r="A944" s="9"/>
      <c r="B944" s="50"/>
      <c r="C944" s="50"/>
      <c r="D944" s="10"/>
      <c r="E944" s="10"/>
      <c r="F944" s="10"/>
      <c r="G944" s="10"/>
      <c r="H944" s="11"/>
      <c r="I944" s="10"/>
      <c r="J944" s="8"/>
      <c r="K944" s="8"/>
      <c r="L944" s="8"/>
      <c r="M944" s="8"/>
      <c r="N944" s="8"/>
    </row>
    <row r="945" spans="1:14" ht="21" hidden="1" customHeight="1">
      <c r="A945" s="9"/>
      <c r="B945" s="50"/>
      <c r="C945" s="50"/>
      <c r="D945" s="10"/>
      <c r="E945" s="10"/>
      <c r="F945" s="10"/>
      <c r="G945" s="10"/>
      <c r="H945" s="11"/>
      <c r="I945" s="10"/>
      <c r="J945" s="8"/>
      <c r="K945" s="8"/>
      <c r="L945" s="8"/>
      <c r="M945" s="8"/>
      <c r="N945" s="8"/>
    </row>
    <row r="946" spans="1:14" ht="21" hidden="1" customHeight="1">
      <c r="A946" s="9"/>
      <c r="B946" s="50"/>
      <c r="C946" s="50"/>
      <c r="D946" s="10"/>
      <c r="E946" s="10"/>
      <c r="F946" s="10"/>
      <c r="G946" s="10"/>
      <c r="H946" s="11"/>
      <c r="I946" s="10"/>
      <c r="J946" s="8"/>
      <c r="K946" s="8"/>
      <c r="L946" s="8"/>
      <c r="M946" s="8"/>
      <c r="N946" s="8"/>
    </row>
    <row r="947" spans="1:14" ht="21" hidden="1" customHeight="1">
      <c r="A947" s="9"/>
      <c r="B947" s="50"/>
      <c r="C947" s="50"/>
      <c r="D947" s="10"/>
      <c r="E947" s="10"/>
      <c r="F947" s="10"/>
      <c r="G947" s="10"/>
      <c r="H947" s="11"/>
      <c r="I947" s="10"/>
      <c r="J947" s="8"/>
      <c r="K947" s="8"/>
      <c r="L947" s="8"/>
      <c r="M947" s="8"/>
      <c r="N947" s="8"/>
    </row>
    <row r="948" spans="1:14" ht="21" hidden="1" customHeight="1">
      <c r="A948" s="9"/>
      <c r="B948" s="50"/>
      <c r="C948" s="50"/>
      <c r="D948" s="10"/>
      <c r="E948" s="10"/>
      <c r="F948" s="10"/>
      <c r="G948" s="10"/>
      <c r="H948" s="11"/>
      <c r="I948" s="10"/>
      <c r="J948" s="8"/>
      <c r="K948" s="8"/>
      <c r="L948" s="8"/>
      <c r="M948" s="8"/>
      <c r="N948" s="8"/>
    </row>
    <row r="949" spans="1:14" ht="21" hidden="1" customHeight="1">
      <c r="A949" s="9"/>
      <c r="B949" s="50"/>
      <c r="C949" s="50"/>
      <c r="D949" s="10"/>
      <c r="E949" s="10"/>
      <c r="F949" s="10"/>
      <c r="G949" s="10"/>
      <c r="H949" s="11"/>
      <c r="I949" s="10"/>
      <c r="J949" s="8"/>
      <c r="K949" s="8"/>
      <c r="L949" s="8"/>
      <c r="M949" s="8"/>
      <c r="N949" s="8"/>
    </row>
    <row r="950" spans="1:14" ht="21" hidden="1" customHeight="1">
      <c r="A950" s="9"/>
      <c r="B950" s="50"/>
      <c r="C950" s="50"/>
      <c r="D950" s="10"/>
      <c r="E950" s="10"/>
      <c r="F950" s="10"/>
      <c r="G950" s="10"/>
      <c r="H950" s="11"/>
      <c r="I950" s="10"/>
      <c r="J950" s="8"/>
      <c r="K950" s="8"/>
      <c r="L950" s="8"/>
      <c r="M950" s="8"/>
      <c r="N950" s="8"/>
    </row>
    <row r="951" spans="1:14" ht="21" hidden="1" customHeight="1">
      <c r="A951" s="9"/>
      <c r="B951" s="50"/>
      <c r="C951" s="50"/>
      <c r="D951" s="10"/>
      <c r="E951" s="10"/>
      <c r="F951" s="10"/>
      <c r="G951" s="10"/>
      <c r="H951" s="11"/>
      <c r="I951" s="10"/>
      <c r="J951" s="8"/>
      <c r="K951" s="8"/>
      <c r="L951" s="8"/>
      <c r="M951" s="8"/>
      <c r="N951" s="8"/>
    </row>
    <row r="952" spans="1:14" ht="21" hidden="1" customHeight="1">
      <c r="A952" s="9"/>
      <c r="B952" s="50"/>
      <c r="C952" s="50"/>
      <c r="D952" s="10"/>
      <c r="E952" s="10"/>
      <c r="F952" s="10"/>
      <c r="G952" s="10"/>
      <c r="H952" s="11"/>
      <c r="I952" s="10"/>
      <c r="J952" s="8"/>
      <c r="K952" s="8"/>
      <c r="L952" s="8"/>
      <c r="M952" s="8"/>
      <c r="N952" s="8"/>
    </row>
    <row r="953" spans="1:14" ht="21" hidden="1" customHeight="1">
      <c r="A953" s="9"/>
      <c r="B953" s="50"/>
      <c r="C953" s="50"/>
      <c r="D953" s="10"/>
      <c r="E953" s="10"/>
      <c r="F953" s="10"/>
      <c r="G953" s="10"/>
      <c r="H953" s="11"/>
      <c r="I953" s="10"/>
      <c r="J953" s="8"/>
      <c r="K953" s="8"/>
      <c r="L953" s="8"/>
      <c r="M953" s="8"/>
      <c r="N953" s="8"/>
    </row>
    <row r="954" spans="1:14" ht="21" hidden="1" customHeight="1">
      <c r="A954" s="9"/>
      <c r="B954" s="50"/>
      <c r="C954" s="50"/>
      <c r="D954" s="10"/>
      <c r="E954" s="10"/>
      <c r="F954" s="10"/>
      <c r="G954" s="10"/>
      <c r="H954" s="11"/>
      <c r="I954" s="10"/>
      <c r="J954" s="8"/>
      <c r="K954" s="8"/>
      <c r="L954" s="8"/>
      <c r="M954" s="8"/>
      <c r="N954" s="8"/>
    </row>
    <row r="955" spans="1:14" ht="21" hidden="1" customHeight="1">
      <c r="A955" s="9"/>
      <c r="B955" s="50"/>
      <c r="C955" s="50"/>
      <c r="D955" s="10"/>
      <c r="E955" s="10"/>
      <c r="F955" s="10"/>
      <c r="G955" s="10"/>
      <c r="H955" s="11"/>
      <c r="I955" s="10"/>
      <c r="J955" s="8"/>
      <c r="K955" s="8"/>
      <c r="L955" s="8"/>
      <c r="M955" s="8"/>
      <c r="N955" s="8"/>
    </row>
    <row r="956" spans="1:14" ht="21" hidden="1" customHeight="1">
      <c r="A956" s="9"/>
      <c r="B956" s="50"/>
      <c r="C956" s="50"/>
      <c r="D956" s="10"/>
      <c r="E956" s="10"/>
      <c r="F956" s="10"/>
      <c r="G956" s="10"/>
      <c r="H956" s="11"/>
      <c r="I956" s="10"/>
      <c r="J956" s="8"/>
      <c r="K956" s="8"/>
      <c r="L956" s="8"/>
      <c r="M956" s="8"/>
      <c r="N956" s="8"/>
    </row>
    <row r="957" spans="1:14" ht="21" hidden="1" customHeight="1">
      <c r="A957" s="9"/>
      <c r="B957" s="50"/>
      <c r="C957" s="50"/>
      <c r="D957" s="10"/>
      <c r="E957" s="10"/>
      <c r="F957" s="10"/>
      <c r="G957" s="10"/>
      <c r="H957" s="11"/>
      <c r="I957" s="10"/>
      <c r="J957" s="8"/>
      <c r="K957" s="8"/>
      <c r="L957" s="8"/>
      <c r="M957" s="8"/>
      <c r="N957" s="8"/>
    </row>
    <row r="958" spans="1:14" ht="21" hidden="1" customHeight="1">
      <c r="A958" s="9"/>
      <c r="B958" s="50"/>
      <c r="C958" s="50"/>
      <c r="D958" s="10"/>
      <c r="E958" s="10"/>
      <c r="F958" s="10"/>
      <c r="G958" s="10"/>
      <c r="H958" s="11"/>
      <c r="I958" s="10"/>
      <c r="J958" s="8"/>
      <c r="K958" s="8"/>
      <c r="L958" s="8"/>
      <c r="M958" s="8"/>
      <c r="N958" s="8"/>
    </row>
    <row r="959" spans="1:14" ht="21" hidden="1" customHeight="1">
      <c r="A959" s="9"/>
      <c r="B959" s="50"/>
      <c r="C959" s="50"/>
      <c r="D959" s="10"/>
      <c r="E959" s="10"/>
      <c r="F959" s="10"/>
      <c r="G959" s="10"/>
      <c r="H959" s="11"/>
      <c r="I959" s="10"/>
      <c r="J959" s="8"/>
      <c r="K959" s="8"/>
      <c r="L959" s="8"/>
      <c r="M959" s="8"/>
      <c r="N959" s="8"/>
    </row>
    <row r="960" spans="1:14" ht="21" hidden="1" customHeight="1">
      <c r="A960" s="9"/>
      <c r="B960" s="50"/>
      <c r="C960" s="50"/>
      <c r="D960" s="10"/>
      <c r="E960" s="10"/>
      <c r="F960" s="10"/>
      <c r="G960" s="10"/>
      <c r="H960" s="11"/>
      <c r="I960" s="10"/>
      <c r="J960" s="8"/>
      <c r="K960" s="8"/>
      <c r="L960" s="8"/>
      <c r="M960" s="8"/>
      <c r="N960" s="8"/>
    </row>
    <row r="961" spans="1:14" ht="21" hidden="1" customHeight="1">
      <c r="A961" s="9"/>
      <c r="B961" s="51"/>
      <c r="C961" s="51"/>
      <c r="D961" s="10"/>
      <c r="E961" s="10"/>
      <c r="F961" s="10"/>
      <c r="G961" s="10"/>
      <c r="H961" s="11"/>
      <c r="I961" s="10"/>
      <c r="J961" s="8"/>
      <c r="K961" s="8"/>
      <c r="L961" s="8"/>
      <c r="M961" s="8"/>
      <c r="N961" s="8"/>
    </row>
    <row r="962" spans="1:14" ht="21" hidden="1" customHeight="1">
      <c r="A962" s="9"/>
      <c r="B962" s="51"/>
      <c r="C962" s="51"/>
      <c r="D962" s="10"/>
      <c r="E962" s="10"/>
      <c r="F962" s="10"/>
      <c r="G962" s="10"/>
      <c r="H962" s="11"/>
      <c r="I962" s="10"/>
      <c r="J962" s="8"/>
      <c r="K962" s="8"/>
      <c r="L962" s="8"/>
      <c r="M962" s="8"/>
      <c r="N962" s="8"/>
    </row>
    <row r="963" spans="1:14" ht="21" hidden="1" customHeight="1">
      <c r="A963" s="9"/>
      <c r="B963" s="51"/>
      <c r="C963" s="51"/>
      <c r="D963" s="10"/>
      <c r="E963" s="10"/>
      <c r="F963" s="10"/>
      <c r="G963" s="10"/>
      <c r="H963" s="11"/>
      <c r="I963" s="10"/>
      <c r="J963" s="8"/>
      <c r="K963" s="8"/>
      <c r="L963" s="8"/>
      <c r="M963" s="8"/>
      <c r="N963" s="8"/>
    </row>
    <row r="964" spans="1:14" ht="21" hidden="1" customHeight="1">
      <c r="A964" s="9"/>
      <c r="B964" s="51"/>
      <c r="C964" s="51"/>
      <c r="D964" s="10"/>
      <c r="E964" s="10"/>
      <c r="F964" s="10"/>
      <c r="G964" s="10"/>
      <c r="H964" s="11"/>
      <c r="I964" s="10"/>
      <c r="J964" s="8"/>
      <c r="K964" s="8"/>
      <c r="L964" s="8"/>
      <c r="M964" s="8"/>
      <c r="N964" s="8"/>
    </row>
    <row r="965" spans="1:14" ht="21" hidden="1" customHeight="1">
      <c r="A965" s="9"/>
      <c r="B965" s="51"/>
      <c r="C965" s="51"/>
      <c r="D965" s="10"/>
      <c r="E965" s="10"/>
      <c r="F965" s="10"/>
      <c r="G965" s="10"/>
      <c r="H965" s="11"/>
      <c r="I965" s="10"/>
      <c r="J965" s="8"/>
      <c r="K965" s="8"/>
      <c r="L965" s="8"/>
      <c r="M965" s="8"/>
      <c r="N965" s="8"/>
    </row>
    <row r="966" spans="1:14" ht="21" hidden="1" customHeight="1">
      <c r="A966" s="9"/>
      <c r="B966" s="51"/>
      <c r="C966" s="51"/>
      <c r="D966" s="10"/>
      <c r="E966" s="10"/>
      <c r="F966" s="10"/>
      <c r="G966" s="10"/>
      <c r="H966" s="11"/>
      <c r="I966" s="10"/>
      <c r="J966" s="8"/>
      <c r="K966" s="8"/>
      <c r="L966" s="8"/>
      <c r="M966" s="8"/>
      <c r="N966" s="8"/>
    </row>
    <row r="967" spans="1:14" ht="21" hidden="1" customHeight="1">
      <c r="A967" s="9"/>
      <c r="B967" s="51"/>
      <c r="C967" s="51"/>
      <c r="D967" s="10"/>
      <c r="E967" s="10"/>
      <c r="F967" s="10"/>
      <c r="G967" s="10"/>
      <c r="H967" s="11"/>
      <c r="I967" s="10"/>
      <c r="J967" s="8"/>
      <c r="K967" s="8"/>
      <c r="L967" s="8"/>
      <c r="M967" s="8"/>
      <c r="N967" s="8"/>
    </row>
    <row r="968" spans="1:14" ht="21" hidden="1" customHeight="1">
      <c r="A968" s="9"/>
      <c r="B968" s="51"/>
      <c r="C968" s="51"/>
      <c r="D968" s="10"/>
      <c r="E968" s="10"/>
      <c r="F968" s="10"/>
      <c r="G968" s="10"/>
      <c r="H968" s="11"/>
      <c r="I968" s="10"/>
      <c r="J968" s="8"/>
      <c r="K968" s="8"/>
      <c r="L968" s="8"/>
      <c r="M968" s="8"/>
      <c r="N968" s="8"/>
    </row>
    <row r="969" spans="1:14" ht="21" hidden="1" customHeight="1">
      <c r="A969" s="9"/>
      <c r="B969" s="51"/>
      <c r="C969" s="51"/>
      <c r="D969" s="10"/>
      <c r="E969" s="10"/>
      <c r="F969" s="10"/>
      <c r="G969" s="10"/>
      <c r="H969" s="11"/>
      <c r="I969" s="10"/>
      <c r="J969" s="8"/>
      <c r="K969" s="8"/>
      <c r="L969" s="8"/>
      <c r="M969" s="8"/>
      <c r="N969" s="8"/>
    </row>
    <row r="970" spans="1:14" ht="21" hidden="1" customHeight="1">
      <c r="A970" s="9"/>
      <c r="B970" s="51"/>
      <c r="C970" s="51"/>
      <c r="D970" s="10"/>
      <c r="E970" s="10"/>
      <c r="F970" s="10"/>
      <c r="G970" s="10"/>
      <c r="H970" s="11"/>
      <c r="I970" s="10"/>
      <c r="J970" s="8"/>
      <c r="K970" s="8"/>
      <c r="L970" s="8"/>
      <c r="M970" s="8"/>
      <c r="N970" s="8"/>
    </row>
    <row r="971" spans="1:14" ht="21" hidden="1" customHeight="1">
      <c r="A971" s="9"/>
      <c r="B971" s="51"/>
      <c r="C971" s="51"/>
      <c r="D971" s="10"/>
      <c r="E971" s="10"/>
      <c r="F971" s="10"/>
      <c r="G971" s="10"/>
      <c r="H971" s="11"/>
      <c r="I971" s="10"/>
      <c r="J971" s="8"/>
      <c r="K971" s="8"/>
      <c r="L971" s="8"/>
      <c r="M971" s="8"/>
      <c r="N971" s="8"/>
    </row>
    <row r="972" spans="1:14" ht="21" hidden="1" customHeight="1">
      <c r="A972" s="9"/>
      <c r="B972" s="51"/>
      <c r="C972" s="51"/>
      <c r="D972" s="10"/>
      <c r="E972" s="10"/>
      <c r="F972" s="10"/>
      <c r="G972" s="10"/>
      <c r="H972" s="11"/>
      <c r="I972" s="10"/>
      <c r="J972" s="8"/>
      <c r="K972" s="8"/>
      <c r="L972" s="8"/>
      <c r="M972" s="8"/>
      <c r="N972" s="8"/>
    </row>
    <row r="973" spans="1:14" ht="21" hidden="1" customHeight="1">
      <c r="A973" s="9"/>
      <c r="B973" s="51"/>
      <c r="C973" s="51"/>
      <c r="D973" s="10"/>
      <c r="E973" s="10"/>
      <c r="F973" s="10"/>
      <c r="G973" s="10"/>
      <c r="H973" s="11"/>
      <c r="I973" s="10"/>
      <c r="J973" s="8"/>
      <c r="K973" s="8"/>
      <c r="L973" s="8"/>
      <c r="M973" s="8"/>
      <c r="N973" s="8"/>
    </row>
    <row r="974" spans="1:14" ht="21" hidden="1" customHeight="1">
      <c r="A974" s="9"/>
      <c r="B974" s="51"/>
      <c r="C974" s="51"/>
      <c r="D974" s="10"/>
      <c r="E974" s="10"/>
      <c r="F974" s="10"/>
      <c r="G974" s="10"/>
      <c r="H974" s="11"/>
      <c r="I974" s="10"/>
      <c r="J974" s="8"/>
      <c r="K974" s="8"/>
      <c r="L974" s="8"/>
      <c r="M974" s="8"/>
      <c r="N974" s="8"/>
    </row>
    <row r="975" spans="1:14" ht="21" hidden="1" customHeight="1">
      <c r="A975" s="9"/>
      <c r="B975" s="51"/>
      <c r="C975" s="51"/>
      <c r="D975" s="10"/>
      <c r="E975" s="10"/>
      <c r="F975" s="10"/>
      <c r="G975" s="10"/>
      <c r="H975" s="11"/>
      <c r="I975" s="10"/>
      <c r="J975" s="8"/>
      <c r="K975" s="8"/>
      <c r="L975" s="8"/>
      <c r="M975" s="8"/>
      <c r="N975" s="8"/>
    </row>
    <row r="976" spans="1:14" ht="21" customHeight="1">
      <c r="A976" s="44" t="s">
        <v>30</v>
      </c>
      <c r="B976" s="52">
        <f>ROUNDDOWN('03-POD Product Guide'!$E$41,0)</f>
        <v>600</v>
      </c>
      <c r="C976" s="52">
        <f>ROUNDDOWN('03-POD Product Guide'!$F$41,0)</f>
        <v>900</v>
      </c>
      <c r="D976" s="46" t="s">
        <v>30</v>
      </c>
      <c r="E976" s="46" t="s">
        <v>1170</v>
      </c>
      <c r="F976" s="46" t="s">
        <v>1171</v>
      </c>
      <c r="G976" s="46" t="s">
        <v>1172</v>
      </c>
      <c r="H976" s="47" t="str">
        <f>'03-POD Product Guide'!$J$41</f>
        <v>VALID - NOMINAL EDGE</v>
      </c>
      <c r="I976" s="46" t="s">
        <v>1173</v>
      </c>
      <c r="J976" s="8"/>
      <c r="K976" s="8"/>
      <c r="L976" s="8"/>
      <c r="M976" s="8"/>
      <c r="N976" s="8"/>
    </row>
    <row r="977" spans="1:14" ht="21" customHeight="1">
      <c r="A977" s="9" t="s">
        <v>1174</v>
      </c>
      <c r="B977" s="53">
        <f>ROUNDDOWN('03-POD Product Guide'!$E$42,0)</f>
        <v>580</v>
      </c>
      <c r="C977" s="53">
        <f>ROUNDDOWN('03-POD Product Guide'!$F$42,0)</f>
        <v>880</v>
      </c>
      <c r="D977" s="10" t="s">
        <v>30</v>
      </c>
      <c r="E977" s="10" t="s">
        <v>1175</v>
      </c>
      <c r="F977" s="10" t="s">
        <v>1171</v>
      </c>
      <c r="G977" s="10" t="s">
        <v>1172</v>
      </c>
      <c r="H977" s="11" t="str">
        <f>'03-POD Product Guide'!$J$42</f>
        <v>VALID - SAFE</v>
      </c>
      <c r="I977" s="10" t="s">
        <v>1176</v>
      </c>
      <c r="J977" s="8"/>
      <c r="K977" s="8"/>
      <c r="L977" s="8"/>
      <c r="M977" s="8"/>
      <c r="N977" s="8"/>
    </row>
    <row r="978" spans="1:14" ht="21" customHeight="1">
      <c r="A978" s="9" t="s">
        <v>1177</v>
      </c>
      <c r="B978" s="53">
        <f>ROUNDDOWN('03-POD Product Guide'!$E$43,0)</f>
        <v>600</v>
      </c>
      <c r="C978" s="53">
        <f>ROUNDDOWN('03-POD Product Guide'!$F$43,0)</f>
        <v>450</v>
      </c>
      <c r="D978" s="10" t="s">
        <v>30</v>
      </c>
      <c r="E978" s="10" t="s">
        <v>1178</v>
      </c>
      <c r="F978" s="10" t="s">
        <v>1171</v>
      </c>
      <c r="G978" s="10" t="s">
        <v>1179</v>
      </c>
      <c r="H978" s="11" t="str">
        <f>'03-POD Product Guide'!$J$43</f>
        <v>VALID - SAFE</v>
      </c>
      <c r="I978" s="10" t="s">
        <v>1180</v>
      </c>
      <c r="J978" s="8"/>
      <c r="K978" s="8"/>
      <c r="L978" s="8"/>
      <c r="M978" s="8"/>
      <c r="N978" s="8"/>
    </row>
    <row r="979" spans="1:14" ht="21" customHeight="1">
      <c r="A979" s="9" t="s">
        <v>1181</v>
      </c>
      <c r="B979" s="53">
        <f>ROUNDDOWN('03-POD Product Guide'!$E$44,0)</f>
        <v>420</v>
      </c>
      <c r="C979" s="53">
        <f>ROUNDDOWN('03-POD Product Guide'!$F$44,0)</f>
        <v>594</v>
      </c>
      <c r="D979" s="10" t="s">
        <v>30</v>
      </c>
      <c r="E979" s="10" t="s">
        <v>356</v>
      </c>
      <c r="F979" s="10" t="s">
        <v>1182</v>
      </c>
      <c r="G979" s="10" t="s">
        <v>1183</v>
      </c>
      <c r="H979" s="11" t="str">
        <f>'03-POD Product Guide'!$J$44</f>
        <v>VALID - SAFE</v>
      </c>
      <c r="I979" s="10" t="s">
        <v>1184</v>
      </c>
      <c r="J979" s="8"/>
      <c r="K979" s="8"/>
      <c r="L979" s="8"/>
      <c r="M979" s="8"/>
      <c r="N979" s="8"/>
    </row>
    <row r="980" spans="1:14" ht="21" customHeight="1">
      <c r="A980" s="9" t="s">
        <v>1185</v>
      </c>
      <c r="B980" s="53">
        <f>ROUNDDOWN('03-POD Product Guide'!$E$45,0)</f>
        <v>594</v>
      </c>
      <c r="C980" s="53">
        <f>ROUNDDOWN('03-POD Product Guide'!$F$45,0)</f>
        <v>420</v>
      </c>
      <c r="D980" s="10" t="s">
        <v>30</v>
      </c>
      <c r="E980" s="10" t="s">
        <v>356</v>
      </c>
      <c r="F980" s="10" t="s">
        <v>1182</v>
      </c>
      <c r="G980" s="10" t="s">
        <v>1186</v>
      </c>
      <c r="H980" s="11" t="str">
        <f>'03-POD Product Guide'!$J$45</f>
        <v>VALID - SAFE</v>
      </c>
      <c r="I980" s="10" t="s">
        <v>1184</v>
      </c>
      <c r="J980" s="8"/>
      <c r="K980" s="8"/>
      <c r="L980" s="8"/>
      <c r="M980" s="8"/>
      <c r="N980" s="8"/>
    </row>
    <row r="981" spans="1:14" ht="21" customHeight="1">
      <c r="A981" s="9" t="s">
        <v>1187</v>
      </c>
      <c r="B981" s="53">
        <f>ROUNDDOWN('03-POD Product Guide'!$E$46,0)</f>
        <v>297</v>
      </c>
      <c r="C981" s="53">
        <f>ROUNDDOWN('03-POD Product Guide'!$F$46,0)</f>
        <v>420</v>
      </c>
      <c r="D981" s="10" t="s">
        <v>30</v>
      </c>
      <c r="E981" s="10" t="s">
        <v>430</v>
      </c>
      <c r="F981" s="10" t="s">
        <v>1182</v>
      </c>
      <c r="G981" s="10" t="s">
        <v>1183</v>
      </c>
      <c r="H981" s="11" t="str">
        <f>'03-POD Product Guide'!$J$46</f>
        <v>VALID - SAFE</v>
      </c>
      <c r="I981" s="10" t="s">
        <v>87</v>
      </c>
      <c r="J981" s="8"/>
      <c r="K981" s="8"/>
      <c r="L981" s="8"/>
      <c r="M981" s="8"/>
      <c r="N981" s="8"/>
    </row>
    <row r="982" spans="1:14" ht="21" customHeight="1">
      <c r="A982" s="9" t="s">
        <v>1188</v>
      </c>
      <c r="B982" s="53">
        <f>ROUNDDOWN('03-POD Product Guide'!$E$47,0)</f>
        <v>210</v>
      </c>
      <c r="C982" s="53">
        <f>ROUNDDOWN('03-POD Product Guide'!$F$47,0)</f>
        <v>297</v>
      </c>
      <c r="D982" s="10" t="s">
        <v>30</v>
      </c>
      <c r="E982" s="10" t="s">
        <v>504</v>
      </c>
      <c r="F982" s="10" t="s">
        <v>1182</v>
      </c>
      <c r="G982" s="10" t="s">
        <v>1183</v>
      </c>
      <c r="H982" s="11" t="str">
        <f>'03-POD Product Guide'!$J$47</f>
        <v>VALID - SAFE</v>
      </c>
      <c r="I982" s="10" t="s">
        <v>87</v>
      </c>
      <c r="J982" s="8"/>
      <c r="K982" s="8"/>
      <c r="L982" s="8"/>
      <c r="M982" s="8"/>
      <c r="N982" s="8"/>
    </row>
    <row r="983" spans="1:14" ht="21" customHeight="1">
      <c r="A983" s="9" t="s">
        <v>1189</v>
      </c>
      <c r="B983" s="53">
        <f>ROUNDDOWN('03-POD Product Guide'!$E$48,0)</f>
        <v>148</v>
      </c>
      <c r="C983" s="53">
        <f>ROUNDDOWN('03-POD Product Guide'!$F$48,0)</f>
        <v>210</v>
      </c>
      <c r="D983" s="10" t="s">
        <v>30</v>
      </c>
      <c r="E983" s="10" t="s">
        <v>578</v>
      </c>
      <c r="F983" s="10" t="s">
        <v>1182</v>
      </c>
      <c r="G983" s="10" t="s">
        <v>1183</v>
      </c>
      <c r="H983" s="11" t="str">
        <f>'03-POD Product Guide'!$J$48</f>
        <v>VALID - SAFE</v>
      </c>
      <c r="I983" s="10" t="s">
        <v>87</v>
      </c>
      <c r="J983" s="8"/>
      <c r="K983" s="8"/>
      <c r="L983" s="8"/>
      <c r="M983" s="8"/>
      <c r="N983" s="8"/>
    </row>
    <row r="984" spans="1:14" ht="21" customHeight="1">
      <c r="A984" s="9" t="s">
        <v>1190</v>
      </c>
      <c r="B984" s="53">
        <f>ROUNDDOWN('03-POD Product Guide'!$E$49,0)</f>
        <v>300</v>
      </c>
      <c r="C984" s="53">
        <f>ROUNDDOWN('03-POD Product Guide'!$F$49,0)</f>
        <v>300</v>
      </c>
      <c r="D984" s="10" t="s">
        <v>30</v>
      </c>
      <c r="E984" s="10" t="s">
        <v>1191</v>
      </c>
      <c r="F984" s="10" t="s">
        <v>1192</v>
      </c>
      <c r="G984" s="10" t="s">
        <v>1193</v>
      </c>
      <c r="H984" s="11" t="str">
        <f>'03-POD Product Guide'!$J$49</f>
        <v>VALID - SAFE</v>
      </c>
      <c r="I984" s="10" t="s">
        <v>1194</v>
      </c>
      <c r="J984" s="8"/>
      <c r="K984" s="8"/>
      <c r="L984" s="8"/>
      <c r="M984" s="8"/>
      <c r="N984" s="8"/>
    </row>
    <row r="985" spans="1:14" ht="21" customHeight="1">
      <c r="A985" s="9" t="s">
        <v>1195</v>
      </c>
      <c r="B985" s="53">
        <f>ROUNDDOWN('03-POD Product Guide'!$E$50,0)</f>
        <v>250</v>
      </c>
      <c r="C985" s="53">
        <f>ROUNDDOWN('03-POD Product Guide'!$F$50,0)</f>
        <v>250</v>
      </c>
      <c r="D985" s="10" t="s">
        <v>30</v>
      </c>
      <c r="E985" s="10" t="s">
        <v>1191</v>
      </c>
      <c r="F985" s="10" t="s">
        <v>1192</v>
      </c>
      <c r="G985" s="10" t="s">
        <v>1193</v>
      </c>
      <c r="H985" s="11" t="str">
        <f>'03-POD Product Guide'!$J$50</f>
        <v>VALID - SAFE</v>
      </c>
      <c r="I985" s="10" t="s">
        <v>1194</v>
      </c>
      <c r="J985" s="8"/>
      <c r="K985" s="8"/>
      <c r="L985" s="8"/>
      <c r="M985" s="8"/>
      <c r="N985" s="8"/>
    </row>
    <row r="986" spans="1:14" ht="21" customHeight="1">
      <c r="A986" s="9" t="s">
        <v>1196</v>
      </c>
      <c r="B986" s="53">
        <f>ROUNDDOWN('03-POD Product Guide'!$E$51,0)</f>
        <v>200</v>
      </c>
      <c r="C986" s="53">
        <f>ROUNDDOWN('03-POD Product Guide'!$F$51,0)</f>
        <v>200</v>
      </c>
      <c r="D986" s="10" t="s">
        <v>30</v>
      </c>
      <c r="E986" s="10" t="s">
        <v>1191</v>
      </c>
      <c r="F986" s="10" t="s">
        <v>1192</v>
      </c>
      <c r="G986" s="10" t="s">
        <v>1193</v>
      </c>
      <c r="H986" s="11" t="str">
        <f>'03-POD Product Guide'!$J$51</f>
        <v>VALID - SAFE</v>
      </c>
      <c r="I986" s="10" t="s">
        <v>1194</v>
      </c>
      <c r="J986" s="8"/>
      <c r="K986" s="8"/>
      <c r="L986" s="8"/>
      <c r="M986" s="8"/>
      <c r="N986" s="8"/>
    </row>
    <row r="987" spans="1:14" ht="21" customHeight="1">
      <c r="A987" s="9" t="s">
        <v>1197</v>
      </c>
      <c r="B987" s="53">
        <f>ROUNDDOWN('03-POD Product Guide'!$E$52,0)</f>
        <v>150</v>
      </c>
      <c r="C987" s="53">
        <f>ROUNDDOWN('03-POD Product Guide'!$F$52,0)</f>
        <v>150</v>
      </c>
      <c r="D987" s="10" t="s">
        <v>30</v>
      </c>
      <c r="E987" s="10" t="s">
        <v>1191</v>
      </c>
      <c r="F987" s="10" t="s">
        <v>1192</v>
      </c>
      <c r="G987" s="10" t="s">
        <v>1193</v>
      </c>
      <c r="H987" s="11" t="str">
        <f>'03-POD Product Guide'!$J$52</f>
        <v>VALID - SAFE</v>
      </c>
      <c r="I987" s="10" t="s">
        <v>1194</v>
      </c>
      <c r="J987" s="8"/>
      <c r="K987" s="8"/>
      <c r="L987" s="8"/>
      <c r="M987" s="8"/>
      <c r="N987" s="8"/>
    </row>
    <row r="988" spans="1:14" ht="21" customHeight="1">
      <c r="A988" s="9" t="s">
        <v>1198</v>
      </c>
      <c r="B988" s="53">
        <f>ROUNDDOWN('03-POD Product Guide'!$E$53,0)</f>
        <v>120</v>
      </c>
      <c r="C988" s="53">
        <f>ROUNDDOWN('03-POD Product Guide'!$F$53,0)</f>
        <v>120</v>
      </c>
      <c r="D988" s="10" t="s">
        <v>30</v>
      </c>
      <c r="E988" s="10" t="s">
        <v>1191</v>
      </c>
      <c r="F988" s="10" t="s">
        <v>1192</v>
      </c>
      <c r="G988" s="10" t="s">
        <v>1193</v>
      </c>
      <c r="H988" s="11" t="str">
        <f>'03-POD Product Guide'!$J$53</f>
        <v>VALID - SAFE</v>
      </c>
      <c r="I988" s="10" t="s">
        <v>1194</v>
      </c>
      <c r="J988" s="8"/>
      <c r="K988" s="8"/>
      <c r="L988" s="8"/>
      <c r="M988" s="8"/>
      <c r="N988" s="8"/>
    </row>
    <row r="989" spans="1:14" ht="21" customHeight="1">
      <c r="A989" s="9" t="s">
        <v>1199</v>
      </c>
      <c r="B989" s="53">
        <f>ROUNDDOWN('03-POD Product Guide'!$E$54,0)</f>
        <v>50</v>
      </c>
      <c r="C989" s="53">
        <f>ROUNDDOWN('03-POD Product Guide'!$F$54,0)</f>
        <v>50</v>
      </c>
      <c r="D989" s="10" t="s">
        <v>30</v>
      </c>
      <c r="E989" s="10" t="s">
        <v>1200</v>
      </c>
      <c r="F989" s="10" t="s">
        <v>1192</v>
      </c>
      <c r="G989" s="10" t="s">
        <v>1193</v>
      </c>
      <c r="H989" s="11" t="str">
        <f>'03-POD Product Guide'!$J$54</f>
        <v>VALID - SAFE</v>
      </c>
      <c r="I989" s="10" t="s">
        <v>1201</v>
      </c>
      <c r="J989" s="8"/>
      <c r="K989" s="8"/>
      <c r="L989" s="8"/>
      <c r="M989" s="8"/>
      <c r="N989" s="8"/>
    </row>
    <row r="990" spans="1:14" ht="21" customHeight="1">
      <c r="A990" s="9" t="s">
        <v>1202</v>
      </c>
      <c r="B990" s="53">
        <f>ROUNDDOWN('03-POD Product Guide'!$E$55,0)</f>
        <v>100</v>
      </c>
      <c r="C990" s="53">
        <f>ROUNDDOWN('03-POD Product Guide'!$F$55,0)</f>
        <v>75</v>
      </c>
      <c r="D990" s="10" t="s">
        <v>30</v>
      </c>
      <c r="E990" s="10" t="s">
        <v>1203</v>
      </c>
      <c r="F990" s="10" t="s">
        <v>1204</v>
      </c>
      <c r="G990" s="10" t="s">
        <v>1186</v>
      </c>
      <c r="H990" s="11" t="str">
        <f>'03-POD Product Guide'!$J$55</f>
        <v>VALID - SAFE</v>
      </c>
      <c r="I990" s="10" t="s">
        <v>1205</v>
      </c>
      <c r="J990" s="8"/>
      <c r="K990" s="8"/>
      <c r="L990" s="8"/>
      <c r="M990" s="8"/>
      <c r="N990" s="8"/>
    </row>
    <row r="991" spans="1:14" ht="21" customHeight="1">
      <c r="A991" s="9" t="s">
        <v>1206</v>
      </c>
      <c r="B991" s="53">
        <f>ROUNDDOWN('03-POD Product Guide'!$E$56,0)</f>
        <v>150</v>
      </c>
      <c r="C991" s="53">
        <f>ROUNDDOWN('03-POD Product Guide'!$F$56,0)</f>
        <v>100</v>
      </c>
      <c r="D991" s="10" t="s">
        <v>30</v>
      </c>
      <c r="E991" s="10" t="s">
        <v>1203</v>
      </c>
      <c r="F991" s="10" t="s">
        <v>1204</v>
      </c>
      <c r="G991" s="10" t="s">
        <v>1186</v>
      </c>
      <c r="H991" s="11" t="str">
        <f>'03-POD Product Guide'!$J$56</f>
        <v>VALID - SAFE</v>
      </c>
      <c r="I991" s="10" t="s">
        <v>1205</v>
      </c>
      <c r="J991" s="8"/>
      <c r="K991" s="8"/>
      <c r="L991" s="8"/>
      <c r="M991" s="8"/>
      <c r="N991" s="8"/>
    </row>
    <row r="992" spans="1:14" ht="21" customHeight="1">
      <c r="A992" s="9" t="s">
        <v>1207</v>
      </c>
      <c r="B992" s="53">
        <f>ROUNDDOWN('03-POD Product Guide'!$E$57,0)</f>
        <v>200</v>
      </c>
      <c r="C992" s="53">
        <f>ROUNDDOWN('03-POD Product Guide'!$F$57,0)</f>
        <v>150</v>
      </c>
      <c r="D992" s="10" t="s">
        <v>30</v>
      </c>
      <c r="E992" s="10" t="s">
        <v>1203</v>
      </c>
      <c r="F992" s="10" t="s">
        <v>1204</v>
      </c>
      <c r="G992" s="10" t="s">
        <v>1186</v>
      </c>
      <c r="H992" s="11" t="str">
        <f>'03-POD Product Guide'!$J$57</f>
        <v>VALID - SAFE</v>
      </c>
      <c r="I992" s="10" t="s">
        <v>1205</v>
      </c>
      <c r="J992" s="8"/>
      <c r="K992" s="8"/>
      <c r="L992" s="8"/>
      <c r="M992" s="8"/>
      <c r="N992" s="8"/>
    </row>
    <row r="993" spans="1:14" ht="21" customHeight="1">
      <c r="A993" s="9" t="s">
        <v>1208</v>
      </c>
      <c r="B993" s="53">
        <f>ROUNDDOWN('03-POD Product Guide'!$E$58,0)</f>
        <v>300</v>
      </c>
      <c r="C993" s="53">
        <f>ROUNDDOWN('03-POD Product Guide'!$F$58,0)</f>
        <v>200</v>
      </c>
      <c r="D993" s="10" t="s">
        <v>30</v>
      </c>
      <c r="E993" s="10" t="s">
        <v>1209</v>
      </c>
      <c r="F993" s="10" t="s">
        <v>1204</v>
      </c>
      <c r="G993" s="10" t="s">
        <v>1186</v>
      </c>
      <c r="H993" s="11" t="str">
        <f>'03-POD Product Guide'!$J$58</f>
        <v>VALID - SAFE</v>
      </c>
      <c r="I993" s="10" t="s">
        <v>1205</v>
      </c>
      <c r="J993" s="8"/>
      <c r="K993" s="8"/>
      <c r="L993" s="8"/>
      <c r="M993" s="8"/>
      <c r="N993" s="8"/>
    </row>
    <row r="994" spans="1:14" ht="21" customHeight="1">
      <c r="A994" s="9" t="s">
        <v>1210</v>
      </c>
      <c r="B994" s="53">
        <f>ROUNDDOWN('03-POD Product Guide'!$E$59,0)</f>
        <v>400</v>
      </c>
      <c r="C994" s="53">
        <f>ROUNDDOWN('03-POD Product Guide'!$F$59,0)</f>
        <v>300</v>
      </c>
      <c r="D994" s="10" t="s">
        <v>30</v>
      </c>
      <c r="E994" s="10" t="s">
        <v>1211</v>
      </c>
      <c r="F994" s="10" t="s">
        <v>1192</v>
      </c>
      <c r="G994" s="10" t="s">
        <v>1186</v>
      </c>
      <c r="H994" s="11" t="str">
        <f>'03-POD Product Guide'!$J$59</f>
        <v>VALID - SAFE</v>
      </c>
      <c r="I994" s="10" t="s">
        <v>1212</v>
      </c>
      <c r="J994" s="8"/>
      <c r="K994" s="8"/>
      <c r="L994" s="8"/>
      <c r="M994" s="8"/>
      <c r="N994" s="8"/>
    </row>
    <row r="995" spans="1:14" ht="21" customHeight="1">
      <c r="A995" s="9" t="s">
        <v>1213</v>
      </c>
      <c r="B995" s="53">
        <f>ROUNDDOWN('03-POD Product Guide'!$E$60,0)</f>
        <v>500</v>
      </c>
      <c r="C995" s="53">
        <f>ROUNDDOWN('03-POD Product Guide'!$F$60,0)</f>
        <v>300</v>
      </c>
      <c r="D995" s="10" t="s">
        <v>30</v>
      </c>
      <c r="E995" s="10" t="s">
        <v>1211</v>
      </c>
      <c r="F995" s="10" t="s">
        <v>1192</v>
      </c>
      <c r="G995" s="10" t="s">
        <v>1186</v>
      </c>
      <c r="H995" s="11" t="str">
        <f>'03-POD Product Guide'!$J$60</f>
        <v>VALID - SAFE</v>
      </c>
      <c r="I995" s="10" t="s">
        <v>1212</v>
      </c>
      <c r="J995" s="8"/>
      <c r="K995" s="8"/>
      <c r="L995" s="8"/>
      <c r="M995" s="8"/>
      <c r="N995" s="8"/>
    </row>
    <row r="996" spans="1:14" ht="21" customHeight="1">
      <c r="A996" s="9" t="s">
        <v>1214</v>
      </c>
      <c r="B996" s="53">
        <f>ROUNDDOWN('03-POD Product Guide'!$E$61,0)</f>
        <v>300</v>
      </c>
      <c r="C996" s="53">
        <f>ROUNDDOWN('03-POD Product Guide'!$F$61,0)</f>
        <v>100</v>
      </c>
      <c r="D996" s="10" t="s">
        <v>30</v>
      </c>
      <c r="E996" s="10" t="s">
        <v>1215</v>
      </c>
      <c r="F996" s="10" t="s">
        <v>1192</v>
      </c>
      <c r="G996" s="10" t="s">
        <v>1186</v>
      </c>
      <c r="H996" s="11" t="str">
        <f>'03-POD Product Guide'!$J$61</f>
        <v>VALID - SAFE</v>
      </c>
      <c r="I996" s="10" t="s">
        <v>1216</v>
      </c>
      <c r="J996" s="8"/>
      <c r="K996" s="8"/>
      <c r="L996" s="8"/>
      <c r="M996" s="8"/>
      <c r="N996" s="8"/>
    </row>
    <row r="997" spans="1:14" ht="21" customHeight="1">
      <c r="A997" s="9" t="s">
        <v>1217</v>
      </c>
      <c r="B997" s="53">
        <f>ROUNDDOWN('03-POD Product Guide'!$E$62,0)</f>
        <v>200</v>
      </c>
      <c r="C997" s="53">
        <f>ROUNDDOWN('03-POD Product Guide'!$F$62,0)</f>
        <v>80</v>
      </c>
      <c r="D997" s="10" t="s">
        <v>30</v>
      </c>
      <c r="E997" s="10" t="s">
        <v>1215</v>
      </c>
      <c r="F997" s="10" t="s">
        <v>1192</v>
      </c>
      <c r="G997" s="10" t="s">
        <v>1186</v>
      </c>
      <c r="H997" s="11" t="str">
        <f>'03-POD Product Guide'!$J$62</f>
        <v>VALID - SAFE</v>
      </c>
      <c r="I997" s="10" t="s">
        <v>1216</v>
      </c>
      <c r="J997" s="8"/>
      <c r="K997" s="8"/>
      <c r="L997" s="8"/>
      <c r="M997" s="8"/>
      <c r="N997" s="8"/>
    </row>
    <row r="998" spans="1:14" ht="21" customHeight="1">
      <c r="A998" s="9" t="s">
        <v>1218</v>
      </c>
      <c r="B998" s="53">
        <f>ROUNDDOWN('03-POD Product Guide'!$E$63,0)</f>
        <v>30</v>
      </c>
      <c r="C998" s="53">
        <f>ROUNDDOWN('03-POD Product Guide'!$F$63,0)</f>
        <v>30</v>
      </c>
      <c r="D998" s="10" t="s">
        <v>30</v>
      </c>
      <c r="E998" s="10" t="s">
        <v>1219</v>
      </c>
      <c r="F998" s="10" t="s">
        <v>1204</v>
      </c>
      <c r="G998" s="10" t="s">
        <v>1193</v>
      </c>
      <c r="H998" s="11" t="str">
        <f>'03-POD Product Guide'!$J$63</f>
        <v>VALID - SAFE</v>
      </c>
      <c r="I998" s="10" t="s">
        <v>1220</v>
      </c>
      <c r="J998" s="8"/>
      <c r="K998" s="8"/>
      <c r="L998" s="8"/>
      <c r="M998" s="8"/>
      <c r="N998" s="8"/>
    </row>
    <row r="999" spans="1:14" ht="21" customHeight="1">
      <c r="A999" s="9" t="s">
        <v>1221</v>
      </c>
      <c r="B999" s="53">
        <f>ROUNDDOWN('03-POD Product Guide'!$E$64,0)</f>
        <v>40</v>
      </c>
      <c r="C999" s="53">
        <f>ROUNDDOWN('03-POD Product Guide'!$F$64,0)</f>
        <v>40</v>
      </c>
      <c r="D999" s="10" t="s">
        <v>30</v>
      </c>
      <c r="E999" s="10" t="s">
        <v>1219</v>
      </c>
      <c r="F999" s="10" t="s">
        <v>1204</v>
      </c>
      <c r="G999" s="10" t="s">
        <v>1193</v>
      </c>
      <c r="H999" s="11" t="str">
        <f>'03-POD Product Guide'!$J$64</f>
        <v>VALID - SAFE</v>
      </c>
      <c r="I999" s="10" t="s">
        <v>1222</v>
      </c>
      <c r="J999" s="8"/>
      <c r="K999" s="8"/>
      <c r="L999" s="8"/>
      <c r="M999" s="8"/>
      <c r="N999" s="8"/>
    </row>
    <row r="1000" spans="1:14" ht="21" customHeight="1">
      <c r="A1000" s="9" t="s">
        <v>1223</v>
      </c>
      <c r="B1000" s="53">
        <f>ROUNDDOWN('03-POD Product Guide'!$E$65,0)</f>
        <v>60</v>
      </c>
      <c r="C1000" s="53">
        <f>ROUNDDOWN('03-POD Product Guide'!$F$65,0)</f>
        <v>40</v>
      </c>
      <c r="D1000" s="10" t="s">
        <v>30</v>
      </c>
      <c r="E1000" s="10" t="s">
        <v>1219</v>
      </c>
      <c r="F1000" s="10" t="s">
        <v>1204</v>
      </c>
      <c r="G1000" s="10" t="s">
        <v>1186</v>
      </c>
      <c r="H1000" s="11" t="str">
        <f>'03-POD Product Guide'!$J$65</f>
        <v>VALID - SAFE</v>
      </c>
      <c r="I1000" s="10" t="s">
        <v>1222</v>
      </c>
      <c r="J1000" s="8"/>
      <c r="K1000" s="8"/>
      <c r="L1000" s="8"/>
      <c r="M1000" s="8"/>
      <c r="N1000" s="8"/>
    </row>
    <row r="1001" spans="1:14" ht="21" customHeight="1">
      <c r="A1001" s="9" t="s">
        <v>1224</v>
      </c>
      <c r="B1001" s="53">
        <f>ROUNDDOWN('03-POD Product Guide'!$E$66,0)</f>
        <v>70</v>
      </c>
      <c r="C1001" s="53">
        <f>ROUNDDOWN('03-POD Product Guide'!$F$66,0)</f>
        <v>50</v>
      </c>
      <c r="D1001" s="10" t="s">
        <v>30</v>
      </c>
      <c r="E1001" s="10" t="s">
        <v>1219</v>
      </c>
      <c r="F1001" s="10" t="s">
        <v>1204</v>
      </c>
      <c r="G1001" s="10" t="s">
        <v>1186</v>
      </c>
      <c r="H1001" s="11" t="str">
        <f>'03-POD Product Guide'!$J$66</f>
        <v>VALID - SAFE</v>
      </c>
      <c r="I1001" s="10" t="s">
        <v>1222</v>
      </c>
      <c r="J1001" s="8"/>
      <c r="K1001" s="8"/>
      <c r="L1001" s="8"/>
      <c r="M1001" s="8"/>
      <c r="N1001" s="8"/>
    </row>
    <row r="1002" spans="1:14" ht="21" customHeight="1">
      <c r="A1002" s="9" t="s">
        <v>1225</v>
      </c>
      <c r="B1002" s="53">
        <f>ROUNDDOWN('03-POD Product Guide'!$E$67,0)</f>
        <v>90</v>
      </c>
      <c r="C1002" s="53">
        <f>ROUNDDOWN('03-POD Product Guide'!$F$67,0)</f>
        <v>90</v>
      </c>
      <c r="D1002" s="10" t="s">
        <v>30</v>
      </c>
      <c r="E1002" s="10" t="s">
        <v>1226</v>
      </c>
      <c r="F1002" s="10" t="s">
        <v>1204</v>
      </c>
      <c r="G1002" s="10" t="s">
        <v>1193</v>
      </c>
      <c r="H1002" s="11" t="str">
        <f>'03-POD Product Guide'!$J$67</f>
        <v>VALID - SAFE</v>
      </c>
      <c r="I1002" s="10" t="s">
        <v>1227</v>
      </c>
      <c r="J1002" s="8"/>
      <c r="K1002" s="8"/>
      <c r="L1002" s="8"/>
      <c r="M1002" s="8"/>
      <c r="N1002" s="8"/>
    </row>
    <row r="1003" spans="1:14" ht="21" customHeight="1">
      <c r="A1003" s="9" t="s">
        <v>1228</v>
      </c>
      <c r="B1003" s="53">
        <f>ROUNDDOWN('03-POD Product Guide'!$E$68,0)</f>
        <v>100</v>
      </c>
      <c r="C1003" s="53">
        <f>ROUNDDOWN('03-POD Product Guide'!$F$68,0)</f>
        <v>100</v>
      </c>
      <c r="D1003" s="10" t="s">
        <v>30</v>
      </c>
      <c r="E1003" s="10" t="s">
        <v>1226</v>
      </c>
      <c r="F1003" s="10" t="s">
        <v>1204</v>
      </c>
      <c r="G1003" s="10" t="s">
        <v>1193</v>
      </c>
      <c r="H1003" s="11" t="str">
        <f>'03-POD Product Guide'!$J$68</f>
        <v>VALID - SAFE</v>
      </c>
      <c r="I1003" s="10" t="s">
        <v>1227</v>
      </c>
      <c r="J1003" s="8"/>
      <c r="K1003" s="8"/>
      <c r="L1003" s="8"/>
      <c r="M1003" s="8"/>
      <c r="N1003" s="8"/>
    </row>
    <row r="1004" spans="1:14" ht="21" customHeight="1">
      <c r="A1004" s="9" t="s">
        <v>1229</v>
      </c>
      <c r="B1004" s="53">
        <f>ROUNDDOWN('03-POD Product Guide'!$E$69,0)</f>
        <v>75</v>
      </c>
      <c r="C1004" s="53">
        <f>ROUNDDOWN('03-POD Product Guide'!$F$69,0)</f>
        <v>150</v>
      </c>
      <c r="D1004" s="10" t="s">
        <v>30</v>
      </c>
      <c r="E1004" s="10" t="s">
        <v>1230</v>
      </c>
      <c r="F1004" s="10" t="s">
        <v>1204</v>
      </c>
      <c r="G1004" s="10" t="s">
        <v>1183</v>
      </c>
      <c r="H1004" s="11" t="str">
        <f>'03-POD Product Guide'!$J$69</f>
        <v>VALID - SAFE</v>
      </c>
      <c r="I1004" s="10" t="s">
        <v>1231</v>
      </c>
      <c r="J1004" s="8"/>
      <c r="K1004" s="8"/>
      <c r="L1004" s="8"/>
      <c r="M1004" s="8"/>
      <c r="N1004" s="8"/>
    </row>
    <row r="1005" spans="1:14" ht="21" customHeight="1">
      <c r="A1005" s="9" t="s">
        <v>1232</v>
      </c>
      <c r="B1005" s="53">
        <f>ROUNDDOWN('03-POD Product Guide'!$E$70,0)</f>
        <v>85</v>
      </c>
      <c r="C1005" s="53">
        <f>ROUNDDOWN('03-POD Product Guide'!$F$70,0)</f>
        <v>54</v>
      </c>
      <c r="D1005" s="10" t="s">
        <v>30</v>
      </c>
      <c r="E1005" s="10" t="s">
        <v>1233</v>
      </c>
      <c r="F1005" s="10" t="s">
        <v>1234</v>
      </c>
      <c r="G1005" s="10" t="s">
        <v>1186</v>
      </c>
      <c r="H1005" s="11" t="str">
        <f>'03-POD Product Guide'!$J$70</f>
        <v>VALID - SAFE</v>
      </c>
      <c r="I1005" s="10" t="s">
        <v>1235</v>
      </c>
      <c r="J1005" s="8"/>
      <c r="K1005" s="8"/>
      <c r="L1005" s="8"/>
      <c r="M1005" s="8"/>
      <c r="N1005" s="8"/>
    </row>
    <row r="1006" spans="1:14" ht="21" customHeight="1">
      <c r="A1006" s="9" t="s">
        <v>1236</v>
      </c>
      <c r="B1006" s="53">
        <f>ROUNDDOWN('03-POD Product Guide'!$E$71,0)</f>
        <v>210</v>
      </c>
      <c r="C1006" s="53">
        <f>ROUNDDOWN('03-POD Product Guide'!$F$71,0)</f>
        <v>95</v>
      </c>
      <c r="D1006" s="10" t="s">
        <v>30</v>
      </c>
      <c r="E1006" s="10" t="s">
        <v>1237</v>
      </c>
      <c r="F1006" s="10" t="s">
        <v>1192</v>
      </c>
      <c r="G1006" s="10" t="s">
        <v>1238</v>
      </c>
      <c r="H1006" s="11" t="str">
        <f>'03-POD Product Guide'!$J$71</f>
        <v>VALID - SAFE</v>
      </c>
      <c r="I1006" s="10" t="s">
        <v>1239</v>
      </c>
      <c r="J1006" s="8"/>
      <c r="K1006" s="8"/>
      <c r="L1006" s="8"/>
      <c r="M1006" s="8"/>
      <c r="N1006" s="8"/>
    </row>
    <row r="1007" spans="1:14" ht="21" customHeight="1">
      <c r="A1007" s="9" t="s">
        <v>1240</v>
      </c>
      <c r="B1007" s="53">
        <f>ROUNDDOWN('03-POD Product Guide'!$E$72,0)</f>
        <v>220</v>
      </c>
      <c r="C1007" s="53">
        <f>ROUNDDOWN('03-POD Product Guide'!$F$72,0)</f>
        <v>80</v>
      </c>
      <c r="D1007" s="10" t="s">
        <v>30</v>
      </c>
      <c r="E1007" s="10" t="s">
        <v>1241</v>
      </c>
      <c r="F1007" s="10" t="s">
        <v>1192</v>
      </c>
      <c r="G1007" s="10" t="s">
        <v>1242</v>
      </c>
      <c r="H1007" s="11" t="str">
        <f>'03-POD Product Guide'!$J$72</f>
        <v>VALID - SAFE</v>
      </c>
      <c r="I1007" s="10" t="s">
        <v>1243</v>
      </c>
      <c r="J1007" s="8"/>
      <c r="K1007" s="8"/>
      <c r="L1007" s="8"/>
      <c r="M1007" s="8"/>
      <c r="N1007" s="8"/>
    </row>
    <row r="1008" spans="1:14" ht="21" customHeight="1">
      <c r="A1008" s="9" t="s">
        <v>1244</v>
      </c>
      <c r="B1008" s="53">
        <f>ROUNDDOWN('03-POD Product Guide'!$E$73,0)</f>
        <v>300</v>
      </c>
      <c r="C1008" s="53">
        <f>ROUNDDOWN('03-POD Product Guide'!$F$73,0)</f>
        <v>450</v>
      </c>
      <c r="D1008" s="10" t="s">
        <v>30</v>
      </c>
      <c r="E1008" s="10" t="s">
        <v>1245</v>
      </c>
      <c r="F1008" s="10" t="s">
        <v>1192</v>
      </c>
      <c r="G1008" s="10" t="s">
        <v>1183</v>
      </c>
      <c r="H1008" s="11" t="str">
        <f>'03-POD Product Guide'!$J$73</f>
        <v>VALID - SAFE</v>
      </c>
      <c r="I1008" s="10" t="s">
        <v>1246</v>
      </c>
      <c r="J1008" s="8"/>
      <c r="K1008" s="8"/>
      <c r="L1008" s="8"/>
      <c r="M1008" s="8"/>
      <c r="N1008" s="8"/>
    </row>
    <row r="1009" spans="1:14" ht="21" customHeight="1">
      <c r="A1009" s="9" t="s">
        <v>1247</v>
      </c>
      <c r="B1009" s="53">
        <f>ROUNDDOWN('03-POD Product Guide'!$E$74,0)</f>
        <v>450</v>
      </c>
      <c r="C1009" s="53">
        <f>ROUNDDOWN('03-POD Product Guide'!$F$74,0)</f>
        <v>600</v>
      </c>
      <c r="D1009" s="10" t="s">
        <v>30</v>
      </c>
      <c r="E1009" s="10" t="s">
        <v>1245</v>
      </c>
      <c r="F1009" s="10" t="s">
        <v>1192</v>
      </c>
      <c r="G1009" s="10" t="s">
        <v>1183</v>
      </c>
      <c r="H1009" s="11" t="str">
        <f>'03-POD Product Guide'!$J$74</f>
        <v>VALID - SAFE</v>
      </c>
      <c r="I1009" s="10" t="s">
        <v>1246</v>
      </c>
      <c r="J1009" s="8"/>
      <c r="K1009" s="8"/>
      <c r="L1009" s="8"/>
      <c r="M1009" s="8"/>
      <c r="N1009" s="8"/>
    </row>
    <row r="1010" spans="1:14" ht="21" customHeight="1">
      <c r="A1010" s="9" t="s">
        <v>1248</v>
      </c>
      <c r="B1010" s="53">
        <f>ROUNDDOWN('03-POD Product Guide'!$E$75,0)</f>
        <v>600</v>
      </c>
      <c r="C1010" s="53">
        <f>ROUNDDOWN('03-POD Product Guide'!$F$75,0)</f>
        <v>150</v>
      </c>
      <c r="D1010" s="10" t="s">
        <v>30</v>
      </c>
      <c r="E1010" s="10" t="s">
        <v>1249</v>
      </c>
      <c r="F1010" s="10" t="s">
        <v>1192</v>
      </c>
      <c r="G1010" s="10" t="s">
        <v>1186</v>
      </c>
      <c r="H1010" s="11" t="str">
        <f>'03-POD Product Guide'!$J$75</f>
        <v>VALID - SAFE</v>
      </c>
      <c r="I1010" s="10" t="s">
        <v>1250</v>
      </c>
      <c r="J1010" s="8"/>
      <c r="K1010" s="8"/>
      <c r="L1010" s="8"/>
      <c r="M1010" s="8"/>
      <c r="N1010" s="8"/>
    </row>
    <row r="1011" spans="1:14" ht="21" customHeight="1">
      <c r="A1011" s="9" t="s">
        <v>1251</v>
      </c>
      <c r="B1011" s="53">
        <f>ROUNDDOWN('03-POD Product Guide'!$E$76,0)</f>
        <v>600</v>
      </c>
      <c r="C1011" s="53">
        <f>ROUNDDOWN('03-POD Product Guide'!$F$76,0)</f>
        <v>300</v>
      </c>
      <c r="D1011" s="10" t="s">
        <v>30</v>
      </c>
      <c r="E1011" s="10" t="s">
        <v>1252</v>
      </c>
      <c r="F1011" s="10" t="s">
        <v>1192</v>
      </c>
      <c r="G1011" s="10" t="s">
        <v>1186</v>
      </c>
      <c r="H1011" s="11" t="str">
        <f>'03-POD Product Guide'!$J$76</f>
        <v>VALID - SAFE</v>
      </c>
      <c r="I1011" s="10" t="s">
        <v>1250</v>
      </c>
      <c r="J1011" s="8"/>
      <c r="K1011" s="8"/>
      <c r="L1011" s="8"/>
      <c r="M1011" s="8"/>
      <c r="N1011" s="8"/>
    </row>
    <row r="1012" spans="1:14" ht="21" customHeight="1">
      <c r="A1012" s="9" t="s">
        <v>1253</v>
      </c>
      <c r="B1012" s="48"/>
      <c r="C1012" s="48"/>
      <c r="D1012" s="10" t="s">
        <v>30</v>
      </c>
      <c r="E1012" s="10" t="s">
        <v>1254</v>
      </c>
      <c r="F1012" s="10" t="s">
        <v>265</v>
      </c>
      <c r="G1012" s="10" t="s">
        <v>1255</v>
      </c>
      <c r="H1012" s="11" t="str">
        <f>IF(AND(B1012="",C1012=""),"CUSTOM BLANK",IF(OR(B1012="",C1012=""),"ERROR - ENTER BOTH",IF(OR(B1012&lt;=0,C1012&lt;=0),"ERROR - NONPOSITIVE",IF(OR(B1012&lt;'01-Process Controls'!$G$7,C1012&lt;'01-Process Controls'!$G$7),"ERROR - BELOW MIN",IF(NOT(OR(AND(B1012&lt;='01-Process Controls'!$D$7,C1012&lt;='01-Process Controls'!$E$7),AND(B1012&lt;='01-Process Controls'!$E$7,C1012&lt;='01-Process Controls'!$D$7))),"ERROR - EXCEEDS BED",IF(FALSE,"VALID - DUPLICATE SIZE",IF(OR(AND(B1012&lt;='01-Process Controls'!$D$7-2*'01-Process Controls'!$H$7,C1012&lt;='01-Process Controls'!$E$7-2*'01-Process Controls'!$H$7),AND(B1012&lt;='01-Process Controls'!$E$7-2*'01-Process Controls'!$H$7,C1012&lt;='01-Process Controls'!$D$7-2*'01-Process Controls'!$H$7)),"VALID - CUSTOM SAFE","VALID - CUSTOM NOMINAL EDGE")))))))</f>
        <v>CUSTOM BLANK</v>
      </c>
      <c r="I1012" s="10" t="s">
        <v>1256</v>
      </c>
      <c r="J1012" s="8"/>
      <c r="K1012" s="8"/>
      <c r="L1012" s="8"/>
      <c r="M1012" s="8"/>
      <c r="N1012" s="8"/>
    </row>
    <row r="1013" spans="1:14" ht="21" customHeight="1">
      <c r="A1013" s="9" t="s">
        <v>1257</v>
      </c>
      <c r="B1013" s="48"/>
      <c r="C1013" s="48"/>
      <c r="D1013" s="10" t="s">
        <v>30</v>
      </c>
      <c r="E1013" s="10" t="s">
        <v>1254</v>
      </c>
      <c r="F1013" s="10" t="s">
        <v>265</v>
      </c>
      <c r="G1013" s="10" t="s">
        <v>1255</v>
      </c>
      <c r="H1013" s="11" t="str">
        <f>IF(AND(B1013="",C1013=""),"CUSTOM BLANK",IF(OR(B1013="",C1013=""),"ERROR - ENTER BOTH",IF(OR(B1013&lt;=0,C1013&lt;=0),"ERROR - NONPOSITIVE",IF(OR(B1013&lt;'01-Process Controls'!$G$7,C1013&lt;'01-Process Controls'!$G$7),"ERROR - BELOW MIN",IF(NOT(OR(AND(B1013&lt;='01-Process Controls'!$D$7,C1013&lt;='01-Process Controls'!$E$7),AND(B1013&lt;='01-Process Controls'!$E$7,C1013&lt;='01-Process Controls'!$D$7))),"ERROR - EXCEEDS BED",IF(COUNTIFS($B$1012:B1012,B1013,$C$1012:C1012,C1013)&gt;0,"VALID - DUPLICATE SIZE",IF(OR(AND(B1013&lt;='01-Process Controls'!$D$7-2*'01-Process Controls'!$H$7,C1013&lt;='01-Process Controls'!$E$7-2*'01-Process Controls'!$H$7),AND(B1013&lt;='01-Process Controls'!$E$7-2*'01-Process Controls'!$H$7,C1013&lt;='01-Process Controls'!$D$7-2*'01-Process Controls'!$H$7)),"VALID - CUSTOM SAFE","VALID - CUSTOM NOMINAL EDGE")))))))</f>
        <v>CUSTOM BLANK</v>
      </c>
      <c r="I1013" s="10" t="s">
        <v>1256</v>
      </c>
      <c r="J1013" s="8"/>
      <c r="K1013" s="8"/>
      <c r="L1013" s="8"/>
      <c r="M1013" s="8"/>
      <c r="N1013" s="8"/>
    </row>
    <row r="1014" spans="1:14" ht="21" customHeight="1">
      <c r="A1014" s="9" t="s">
        <v>1258</v>
      </c>
      <c r="B1014" s="48"/>
      <c r="C1014" s="48"/>
      <c r="D1014" s="10" t="s">
        <v>30</v>
      </c>
      <c r="E1014" s="10" t="s">
        <v>1254</v>
      </c>
      <c r="F1014" s="10" t="s">
        <v>265</v>
      </c>
      <c r="G1014" s="10" t="s">
        <v>1255</v>
      </c>
      <c r="H1014" s="11" t="str">
        <f>IF(AND(B1014="",C1014=""),"CUSTOM BLANK",IF(OR(B1014="",C1014=""),"ERROR - ENTER BOTH",IF(OR(B1014&lt;=0,C1014&lt;=0),"ERROR - NONPOSITIVE",IF(OR(B1014&lt;'01-Process Controls'!$G$7,C1014&lt;'01-Process Controls'!$G$7),"ERROR - BELOW MIN",IF(NOT(OR(AND(B1014&lt;='01-Process Controls'!$D$7,C1014&lt;='01-Process Controls'!$E$7),AND(B1014&lt;='01-Process Controls'!$E$7,C1014&lt;='01-Process Controls'!$D$7))),"ERROR - EXCEEDS BED",IF(COUNTIFS($B$1012:B1013,B1014,$C$1012:C1013,C1014)&gt;0,"VALID - DUPLICATE SIZE",IF(OR(AND(B1014&lt;='01-Process Controls'!$D$7-2*'01-Process Controls'!$H$7,C1014&lt;='01-Process Controls'!$E$7-2*'01-Process Controls'!$H$7),AND(B1014&lt;='01-Process Controls'!$E$7-2*'01-Process Controls'!$H$7,C1014&lt;='01-Process Controls'!$D$7-2*'01-Process Controls'!$H$7)),"VALID - CUSTOM SAFE","VALID - CUSTOM NOMINAL EDGE")))))))</f>
        <v>CUSTOM BLANK</v>
      </c>
      <c r="I1014" s="10" t="s">
        <v>1256</v>
      </c>
      <c r="J1014" s="8"/>
      <c r="K1014" s="8"/>
      <c r="L1014" s="8"/>
      <c r="M1014" s="8"/>
      <c r="N1014" s="8"/>
    </row>
    <row r="1015" spans="1:14" ht="21" customHeight="1">
      <c r="A1015" s="9" t="s">
        <v>1259</v>
      </c>
      <c r="B1015" s="48"/>
      <c r="C1015" s="48"/>
      <c r="D1015" s="10" t="s">
        <v>30</v>
      </c>
      <c r="E1015" s="10" t="s">
        <v>1254</v>
      </c>
      <c r="F1015" s="10" t="s">
        <v>265</v>
      </c>
      <c r="G1015" s="10" t="s">
        <v>1255</v>
      </c>
      <c r="H1015" s="11" t="str">
        <f>IF(AND(B1015="",C1015=""),"CUSTOM BLANK",IF(OR(B1015="",C1015=""),"ERROR - ENTER BOTH",IF(OR(B1015&lt;=0,C1015&lt;=0),"ERROR - NONPOSITIVE",IF(OR(B1015&lt;'01-Process Controls'!$G$7,C1015&lt;'01-Process Controls'!$G$7),"ERROR - BELOW MIN",IF(NOT(OR(AND(B1015&lt;='01-Process Controls'!$D$7,C1015&lt;='01-Process Controls'!$E$7),AND(B1015&lt;='01-Process Controls'!$E$7,C1015&lt;='01-Process Controls'!$D$7))),"ERROR - EXCEEDS BED",IF(COUNTIFS($B$1012:B1014,B1015,$C$1012:C1014,C1015)&gt;0,"VALID - DUPLICATE SIZE",IF(OR(AND(B1015&lt;='01-Process Controls'!$D$7-2*'01-Process Controls'!$H$7,C1015&lt;='01-Process Controls'!$E$7-2*'01-Process Controls'!$H$7),AND(B1015&lt;='01-Process Controls'!$E$7-2*'01-Process Controls'!$H$7,C1015&lt;='01-Process Controls'!$D$7-2*'01-Process Controls'!$H$7)),"VALID - CUSTOM SAFE","VALID - CUSTOM NOMINAL EDGE")))))))</f>
        <v>CUSTOM BLANK</v>
      </c>
      <c r="I1015" s="10" t="s">
        <v>1256</v>
      </c>
      <c r="J1015" s="8"/>
      <c r="K1015" s="8"/>
      <c r="L1015" s="8"/>
      <c r="M1015" s="8"/>
      <c r="N1015" s="8"/>
    </row>
    <row r="1016" spans="1:14" ht="21" customHeight="1">
      <c r="A1016" s="9" t="s">
        <v>1260</v>
      </c>
      <c r="B1016" s="48"/>
      <c r="C1016" s="48"/>
      <c r="D1016" s="10" t="s">
        <v>30</v>
      </c>
      <c r="E1016" s="10" t="s">
        <v>1254</v>
      </c>
      <c r="F1016" s="10" t="s">
        <v>265</v>
      </c>
      <c r="G1016" s="10" t="s">
        <v>1255</v>
      </c>
      <c r="H1016" s="11" t="str">
        <f>IF(AND(B1016="",C1016=""),"CUSTOM BLANK",IF(OR(B1016="",C1016=""),"ERROR - ENTER BOTH",IF(OR(B1016&lt;=0,C1016&lt;=0),"ERROR - NONPOSITIVE",IF(OR(B1016&lt;'01-Process Controls'!$G$7,C1016&lt;'01-Process Controls'!$G$7),"ERROR - BELOW MIN",IF(NOT(OR(AND(B1016&lt;='01-Process Controls'!$D$7,C1016&lt;='01-Process Controls'!$E$7),AND(B1016&lt;='01-Process Controls'!$E$7,C1016&lt;='01-Process Controls'!$D$7))),"ERROR - EXCEEDS BED",IF(COUNTIFS($B$1012:B1015,B1016,$C$1012:C1015,C1016)&gt;0,"VALID - DUPLICATE SIZE",IF(OR(AND(B1016&lt;='01-Process Controls'!$D$7-2*'01-Process Controls'!$H$7,C1016&lt;='01-Process Controls'!$E$7-2*'01-Process Controls'!$H$7),AND(B1016&lt;='01-Process Controls'!$E$7-2*'01-Process Controls'!$H$7,C1016&lt;='01-Process Controls'!$D$7-2*'01-Process Controls'!$H$7)),"VALID - CUSTOM SAFE","VALID - CUSTOM NOMINAL EDGE")))))))</f>
        <v>CUSTOM BLANK</v>
      </c>
      <c r="I1016" s="10" t="s">
        <v>1256</v>
      </c>
      <c r="J1016" s="8"/>
      <c r="K1016" s="8"/>
      <c r="L1016" s="8"/>
      <c r="M1016" s="8"/>
      <c r="N1016" s="8"/>
    </row>
    <row r="1017" spans="1:14" ht="21" customHeight="1">
      <c r="A1017" s="9" t="s">
        <v>1261</v>
      </c>
      <c r="B1017" s="48"/>
      <c r="C1017" s="48"/>
      <c r="D1017" s="10" t="s">
        <v>30</v>
      </c>
      <c r="E1017" s="10" t="s">
        <v>1254</v>
      </c>
      <c r="F1017" s="10" t="s">
        <v>265</v>
      </c>
      <c r="G1017" s="10" t="s">
        <v>1255</v>
      </c>
      <c r="H1017" s="11" t="str">
        <f>IF(AND(B1017="",C1017=""),"CUSTOM BLANK",IF(OR(B1017="",C1017=""),"ERROR - ENTER BOTH",IF(OR(B1017&lt;=0,C1017&lt;=0),"ERROR - NONPOSITIVE",IF(OR(B1017&lt;'01-Process Controls'!$G$7,C1017&lt;'01-Process Controls'!$G$7),"ERROR - BELOW MIN",IF(NOT(OR(AND(B1017&lt;='01-Process Controls'!$D$7,C1017&lt;='01-Process Controls'!$E$7),AND(B1017&lt;='01-Process Controls'!$E$7,C1017&lt;='01-Process Controls'!$D$7))),"ERROR - EXCEEDS BED",IF(COUNTIFS($B$1012:B1016,B1017,$C$1012:C1016,C1017)&gt;0,"VALID - DUPLICATE SIZE",IF(OR(AND(B1017&lt;='01-Process Controls'!$D$7-2*'01-Process Controls'!$H$7,C1017&lt;='01-Process Controls'!$E$7-2*'01-Process Controls'!$H$7),AND(B1017&lt;='01-Process Controls'!$E$7-2*'01-Process Controls'!$H$7,C1017&lt;='01-Process Controls'!$D$7-2*'01-Process Controls'!$H$7)),"VALID - CUSTOM SAFE","VALID - CUSTOM NOMINAL EDGE")))))))</f>
        <v>CUSTOM BLANK</v>
      </c>
      <c r="I1017" s="10" t="s">
        <v>1256</v>
      </c>
      <c r="J1017" s="8"/>
      <c r="K1017" s="8"/>
      <c r="L1017" s="8"/>
      <c r="M1017" s="8"/>
      <c r="N1017" s="8"/>
    </row>
    <row r="1018" spans="1:14" ht="21" customHeight="1">
      <c r="A1018" s="9" t="s">
        <v>1262</v>
      </c>
      <c r="B1018" s="48"/>
      <c r="C1018" s="48"/>
      <c r="D1018" s="10" t="s">
        <v>30</v>
      </c>
      <c r="E1018" s="10" t="s">
        <v>1254</v>
      </c>
      <c r="F1018" s="10" t="s">
        <v>265</v>
      </c>
      <c r="G1018" s="10" t="s">
        <v>1255</v>
      </c>
      <c r="H1018" s="11" t="str">
        <f>IF(AND(B1018="",C1018=""),"CUSTOM BLANK",IF(OR(B1018="",C1018=""),"ERROR - ENTER BOTH",IF(OR(B1018&lt;=0,C1018&lt;=0),"ERROR - NONPOSITIVE",IF(OR(B1018&lt;'01-Process Controls'!$G$7,C1018&lt;'01-Process Controls'!$G$7),"ERROR - BELOW MIN",IF(NOT(OR(AND(B1018&lt;='01-Process Controls'!$D$7,C1018&lt;='01-Process Controls'!$E$7),AND(B1018&lt;='01-Process Controls'!$E$7,C1018&lt;='01-Process Controls'!$D$7))),"ERROR - EXCEEDS BED",IF(COUNTIFS($B$1012:B1017,B1018,$C$1012:C1017,C1018)&gt;0,"VALID - DUPLICATE SIZE",IF(OR(AND(B1018&lt;='01-Process Controls'!$D$7-2*'01-Process Controls'!$H$7,C1018&lt;='01-Process Controls'!$E$7-2*'01-Process Controls'!$H$7),AND(B1018&lt;='01-Process Controls'!$E$7-2*'01-Process Controls'!$H$7,C1018&lt;='01-Process Controls'!$D$7-2*'01-Process Controls'!$H$7)),"VALID - CUSTOM SAFE","VALID - CUSTOM NOMINAL EDGE")))))))</f>
        <v>CUSTOM BLANK</v>
      </c>
      <c r="I1018" s="10" t="s">
        <v>1256</v>
      </c>
      <c r="J1018" s="8"/>
      <c r="K1018" s="8"/>
      <c r="L1018" s="8"/>
      <c r="M1018" s="8"/>
      <c r="N1018" s="8"/>
    </row>
    <row r="1019" spans="1:14" ht="21" customHeight="1">
      <c r="A1019" s="9" t="s">
        <v>1263</v>
      </c>
      <c r="B1019" s="48"/>
      <c r="C1019" s="48"/>
      <c r="D1019" s="10" t="s">
        <v>30</v>
      </c>
      <c r="E1019" s="10" t="s">
        <v>1254</v>
      </c>
      <c r="F1019" s="10" t="s">
        <v>265</v>
      </c>
      <c r="G1019" s="10" t="s">
        <v>1255</v>
      </c>
      <c r="H1019" s="11" t="str">
        <f>IF(AND(B1019="",C1019=""),"CUSTOM BLANK",IF(OR(B1019="",C1019=""),"ERROR - ENTER BOTH",IF(OR(B1019&lt;=0,C1019&lt;=0),"ERROR - NONPOSITIVE",IF(OR(B1019&lt;'01-Process Controls'!$G$7,C1019&lt;'01-Process Controls'!$G$7),"ERROR - BELOW MIN",IF(NOT(OR(AND(B1019&lt;='01-Process Controls'!$D$7,C1019&lt;='01-Process Controls'!$E$7),AND(B1019&lt;='01-Process Controls'!$E$7,C1019&lt;='01-Process Controls'!$D$7))),"ERROR - EXCEEDS BED",IF(COUNTIFS($B$1012:B1018,B1019,$C$1012:C1018,C1019)&gt;0,"VALID - DUPLICATE SIZE",IF(OR(AND(B1019&lt;='01-Process Controls'!$D$7-2*'01-Process Controls'!$H$7,C1019&lt;='01-Process Controls'!$E$7-2*'01-Process Controls'!$H$7),AND(B1019&lt;='01-Process Controls'!$E$7-2*'01-Process Controls'!$H$7,C1019&lt;='01-Process Controls'!$D$7-2*'01-Process Controls'!$H$7)),"VALID - CUSTOM SAFE","VALID - CUSTOM NOMINAL EDGE")))))))</f>
        <v>CUSTOM BLANK</v>
      </c>
      <c r="I1019" s="10" t="s">
        <v>1256</v>
      </c>
      <c r="J1019" s="8"/>
      <c r="K1019" s="8"/>
      <c r="L1019" s="8"/>
      <c r="M1019" s="8"/>
      <c r="N1019" s="8"/>
    </row>
    <row r="1020" spans="1:14" ht="21" customHeight="1">
      <c r="A1020" s="9" t="s">
        <v>1264</v>
      </c>
      <c r="B1020" s="48"/>
      <c r="C1020" s="48"/>
      <c r="D1020" s="10" t="s">
        <v>30</v>
      </c>
      <c r="E1020" s="10" t="s">
        <v>1254</v>
      </c>
      <c r="F1020" s="10" t="s">
        <v>265</v>
      </c>
      <c r="G1020" s="10" t="s">
        <v>1255</v>
      </c>
      <c r="H1020" s="11" t="str">
        <f>IF(AND(B1020="",C1020=""),"CUSTOM BLANK",IF(OR(B1020="",C1020=""),"ERROR - ENTER BOTH",IF(OR(B1020&lt;=0,C1020&lt;=0),"ERROR - NONPOSITIVE",IF(OR(B1020&lt;'01-Process Controls'!$G$7,C1020&lt;'01-Process Controls'!$G$7),"ERROR - BELOW MIN",IF(NOT(OR(AND(B1020&lt;='01-Process Controls'!$D$7,C1020&lt;='01-Process Controls'!$E$7),AND(B1020&lt;='01-Process Controls'!$E$7,C1020&lt;='01-Process Controls'!$D$7))),"ERROR - EXCEEDS BED",IF(COUNTIFS($B$1012:B1019,B1020,$C$1012:C1019,C1020)&gt;0,"VALID - DUPLICATE SIZE",IF(OR(AND(B1020&lt;='01-Process Controls'!$D$7-2*'01-Process Controls'!$H$7,C1020&lt;='01-Process Controls'!$E$7-2*'01-Process Controls'!$H$7),AND(B1020&lt;='01-Process Controls'!$E$7-2*'01-Process Controls'!$H$7,C1020&lt;='01-Process Controls'!$D$7-2*'01-Process Controls'!$H$7)),"VALID - CUSTOM SAFE","VALID - CUSTOM NOMINAL EDGE")))))))</f>
        <v>CUSTOM BLANK</v>
      </c>
      <c r="I1020" s="10" t="s">
        <v>1256</v>
      </c>
      <c r="J1020" s="8"/>
      <c r="K1020" s="8"/>
      <c r="L1020" s="8"/>
      <c r="M1020" s="8"/>
      <c r="N1020" s="8"/>
    </row>
    <row r="1021" spans="1:14" ht="21" customHeight="1">
      <c r="A1021" s="9" t="s">
        <v>1265</v>
      </c>
      <c r="B1021" s="48"/>
      <c r="C1021" s="48"/>
      <c r="D1021" s="10" t="s">
        <v>30</v>
      </c>
      <c r="E1021" s="10" t="s">
        <v>1254</v>
      </c>
      <c r="F1021" s="10" t="s">
        <v>265</v>
      </c>
      <c r="G1021" s="10" t="s">
        <v>1255</v>
      </c>
      <c r="H1021" s="11" t="str">
        <f>IF(AND(B1021="",C1021=""),"CUSTOM BLANK",IF(OR(B1021="",C1021=""),"ERROR - ENTER BOTH",IF(OR(B1021&lt;=0,C1021&lt;=0),"ERROR - NONPOSITIVE",IF(OR(B1021&lt;'01-Process Controls'!$G$7,C1021&lt;'01-Process Controls'!$G$7),"ERROR - BELOW MIN",IF(NOT(OR(AND(B1021&lt;='01-Process Controls'!$D$7,C1021&lt;='01-Process Controls'!$E$7),AND(B1021&lt;='01-Process Controls'!$E$7,C1021&lt;='01-Process Controls'!$D$7))),"ERROR - EXCEEDS BED",IF(COUNTIFS($B$1012:B1020,B1021,$C$1012:C1020,C1021)&gt;0,"VALID - DUPLICATE SIZE",IF(OR(AND(B1021&lt;='01-Process Controls'!$D$7-2*'01-Process Controls'!$H$7,C1021&lt;='01-Process Controls'!$E$7-2*'01-Process Controls'!$H$7),AND(B1021&lt;='01-Process Controls'!$E$7-2*'01-Process Controls'!$H$7,C1021&lt;='01-Process Controls'!$D$7-2*'01-Process Controls'!$H$7)),"VALID - CUSTOM SAFE","VALID - CUSTOM NOMINAL EDGE")))))))</f>
        <v>CUSTOM BLANK</v>
      </c>
      <c r="I1021" s="10" t="s">
        <v>1256</v>
      </c>
      <c r="J1021" s="8"/>
      <c r="K1021" s="8"/>
      <c r="L1021" s="8"/>
      <c r="M1021" s="8"/>
      <c r="N1021" s="8"/>
    </row>
    <row r="1022" spans="1:14" ht="21" customHeight="1">
      <c r="A1022" s="9" t="s">
        <v>1266</v>
      </c>
      <c r="B1022" s="48"/>
      <c r="C1022" s="48"/>
      <c r="D1022" s="10" t="s">
        <v>30</v>
      </c>
      <c r="E1022" s="10" t="s">
        <v>1254</v>
      </c>
      <c r="F1022" s="10" t="s">
        <v>265</v>
      </c>
      <c r="G1022" s="10" t="s">
        <v>1255</v>
      </c>
      <c r="H1022" s="11" t="str">
        <f>IF(AND(B1022="",C1022=""),"CUSTOM BLANK",IF(OR(B1022="",C1022=""),"ERROR - ENTER BOTH",IF(OR(B1022&lt;=0,C1022&lt;=0),"ERROR - NONPOSITIVE",IF(OR(B1022&lt;'01-Process Controls'!$G$7,C1022&lt;'01-Process Controls'!$G$7),"ERROR - BELOW MIN",IF(NOT(OR(AND(B1022&lt;='01-Process Controls'!$D$7,C1022&lt;='01-Process Controls'!$E$7),AND(B1022&lt;='01-Process Controls'!$E$7,C1022&lt;='01-Process Controls'!$D$7))),"ERROR - EXCEEDS BED",IF(COUNTIFS($B$1012:B1021,B1022,$C$1012:C1021,C1022)&gt;0,"VALID - DUPLICATE SIZE",IF(OR(AND(B1022&lt;='01-Process Controls'!$D$7-2*'01-Process Controls'!$H$7,C1022&lt;='01-Process Controls'!$E$7-2*'01-Process Controls'!$H$7),AND(B1022&lt;='01-Process Controls'!$E$7-2*'01-Process Controls'!$H$7,C1022&lt;='01-Process Controls'!$D$7-2*'01-Process Controls'!$H$7)),"VALID - CUSTOM SAFE","VALID - CUSTOM NOMINAL EDGE")))))))</f>
        <v>CUSTOM BLANK</v>
      </c>
      <c r="I1022" s="10" t="s">
        <v>1256</v>
      </c>
      <c r="J1022" s="8"/>
      <c r="K1022" s="8"/>
      <c r="L1022" s="8"/>
      <c r="M1022" s="8"/>
      <c r="N1022" s="8"/>
    </row>
    <row r="1023" spans="1:14" ht="21" customHeight="1">
      <c r="A1023" s="9" t="s">
        <v>1267</v>
      </c>
      <c r="B1023" s="48"/>
      <c r="C1023" s="48"/>
      <c r="D1023" s="10" t="s">
        <v>30</v>
      </c>
      <c r="E1023" s="10" t="s">
        <v>1254</v>
      </c>
      <c r="F1023" s="10" t="s">
        <v>265</v>
      </c>
      <c r="G1023" s="10" t="s">
        <v>1255</v>
      </c>
      <c r="H1023" s="11" t="str">
        <f>IF(AND(B1023="",C1023=""),"CUSTOM BLANK",IF(OR(B1023="",C1023=""),"ERROR - ENTER BOTH",IF(OR(B1023&lt;=0,C1023&lt;=0),"ERROR - NONPOSITIVE",IF(OR(B1023&lt;'01-Process Controls'!$G$7,C1023&lt;'01-Process Controls'!$G$7),"ERROR - BELOW MIN",IF(NOT(OR(AND(B1023&lt;='01-Process Controls'!$D$7,C1023&lt;='01-Process Controls'!$E$7),AND(B1023&lt;='01-Process Controls'!$E$7,C1023&lt;='01-Process Controls'!$D$7))),"ERROR - EXCEEDS BED",IF(COUNTIFS($B$1012:B1022,B1023,$C$1012:C1022,C1023)&gt;0,"VALID - DUPLICATE SIZE",IF(OR(AND(B1023&lt;='01-Process Controls'!$D$7-2*'01-Process Controls'!$H$7,C1023&lt;='01-Process Controls'!$E$7-2*'01-Process Controls'!$H$7),AND(B1023&lt;='01-Process Controls'!$E$7-2*'01-Process Controls'!$H$7,C1023&lt;='01-Process Controls'!$D$7-2*'01-Process Controls'!$H$7)),"VALID - CUSTOM SAFE","VALID - CUSTOM NOMINAL EDGE")))))))</f>
        <v>CUSTOM BLANK</v>
      </c>
      <c r="I1023" s="10" t="s">
        <v>1256</v>
      </c>
      <c r="J1023" s="8"/>
      <c r="K1023" s="8"/>
      <c r="L1023" s="8"/>
      <c r="M1023" s="8"/>
      <c r="N1023" s="8"/>
    </row>
    <row r="1024" spans="1:14" ht="21" customHeight="1">
      <c r="A1024" s="9" t="s">
        <v>1268</v>
      </c>
      <c r="B1024" s="48"/>
      <c r="C1024" s="48"/>
      <c r="D1024" s="10" t="s">
        <v>30</v>
      </c>
      <c r="E1024" s="10" t="s">
        <v>1254</v>
      </c>
      <c r="F1024" s="10" t="s">
        <v>265</v>
      </c>
      <c r="G1024" s="10" t="s">
        <v>1255</v>
      </c>
      <c r="H1024" s="11" t="str">
        <f>IF(AND(B1024="",C1024=""),"CUSTOM BLANK",IF(OR(B1024="",C1024=""),"ERROR - ENTER BOTH",IF(OR(B1024&lt;=0,C1024&lt;=0),"ERROR - NONPOSITIVE",IF(OR(B1024&lt;'01-Process Controls'!$G$7,C1024&lt;'01-Process Controls'!$G$7),"ERROR - BELOW MIN",IF(NOT(OR(AND(B1024&lt;='01-Process Controls'!$D$7,C1024&lt;='01-Process Controls'!$E$7),AND(B1024&lt;='01-Process Controls'!$E$7,C1024&lt;='01-Process Controls'!$D$7))),"ERROR - EXCEEDS BED",IF(COUNTIFS($B$1012:B1023,B1024,$C$1012:C1023,C1024)&gt;0,"VALID - DUPLICATE SIZE",IF(OR(AND(B1024&lt;='01-Process Controls'!$D$7-2*'01-Process Controls'!$H$7,C1024&lt;='01-Process Controls'!$E$7-2*'01-Process Controls'!$H$7),AND(B1024&lt;='01-Process Controls'!$E$7-2*'01-Process Controls'!$H$7,C1024&lt;='01-Process Controls'!$D$7-2*'01-Process Controls'!$H$7)),"VALID - CUSTOM SAFE","VALID - CUSTOM NOMINAL EDGE")))))))</f>
        <v>CUSTOM BLANK</v>
      </c>
      <c r="I1024" s="10" t="s">
        <v>1256</v>
      </c>
      <c r="J1024" s="8"/>
      <c r="K1024" s="8"/>
      <c r="L1024" s="8"/>
      <c r="M1024" s="8"/>
      <c r="N1024" s="8"/>
    </row>
    <row r="1025" spans="1:14" ht="21" customHeight="1">
      <c r="A1025" s="9" t="s">
        <v>1269</v>
      </c>
      <c r="B1025" s="48"/>
      <c r="C1025" s="48"/>
      <c r="D1025" s="10" t="s">
        <v>30</v>
      </c>
      <c r="E1025" s="10" t="s">
        <v>1254</v>
      </c>
      <c r="F1025" s="10" t="s">
        <v>265</v>
      </c>
      <c r="G1025" s="10" t="s">
        <v>1255</v>
      </c>
      <c r="H1025" s="11" t="str">
        <f>IF(AND(B1025="",C1025=""),"CUSTOM BLANK",IF(OR(B1025="",C1025=""),"ERROR - ENTER BOTH",IF(OR(B1025&lt;=0,C1025&lt;=0),"ERROR - NONPOSITIVE",IF(OR(B1025&lt;'01-Process Controls'!$G$7,C1025&lt;'01-Process Controls'!$G$7),"ERROR - BELOW MIN",IF(NOT(OR(AND(B1025&lt;='01-Process Controls'!$D$7,C1025&lt;='01-Process Controls'!$E$7),AND(B1025&lt;='01-Process Controls'!$E$7,C1025&lt;='01-Process Controls'!$D$7))),"ERROR - EXCEEDS BED",IF(COUNTIFS($B$1012:B1024,B1025,$C$1012:C1024,C1025)&gt;0,"VALID - DUPLICATE SIZE",IF(OR(AND(B1025&lt;='01-Process Controls'!$D$7-2*'01-Process Controls'!$H$7,C1025&lt;='01-Process Controls'!$E$7-2*'01-Process Controls'!$H$7),AND(B1025&lt;='01-Process Controls'!$E$7-2*'01-Process Controls'!$H$7,C1025&lt;='01-Process Controls'!$D$7-2*'01-Process Controls'!$H$7)),"VALID - CUSTOM SAFE","VALID - CUSTOM NOMINAL EDGE")))))))</f>
        <v>CUSTOM BLANK</v>
      </c>
      <c r="I1025" s="10" t="s">
        <v>1256</v>
      </c>
      <c r="J1025" s="8"/>
      <c r="K1025" s="8"/>
      <c r="L1025" s="8"/>
      <c r="M1025" s="8"/>
      <c r="N1025" s="8"/>
    </row>
    <row r="1026" spans="1:14" ht="21" customHeight="1">
      <c r="A1026" s="9" t="s">
        <v>1270</v>
      </c>
      <c r="B1026" s="48"/>
      <c r="C1026" s="48"/>
      <c r="D1026" s="10" t="s">
        <v>30</v>
      </c>
      <c r="E1026" s="10" t="s">
        <v>1254</v>
      </c>
      <c r="F1026" s="10" t="s">
        <v>265</v>
      </c>
      <c r="G1026" s="10" t="s">
        <v>1255</v>
      </c>
      <c r="H1026" s="11" t="str">
        <f>IF(AND(B1026="",C1026=""),"CUSTOM BLANK",IF(OR(B1026="",C1026=""),"ERROR - ENTER BOTH",IF(OR(B1026&lt;=0,C1026&lt;=0),"ERROR - NONPOSITIVE",IF(OR(B1026&lt;'01-Process Controls'!$G$7,C1026&lt;'01-Process Controls'!$G$7),"ERROR - BELOW MIN",IF(NOT(OR(AND(B1026&lt;='01-Process Controls'!$D$7,C1026&lt;='01-Process Controls'!$E$7),AND(B1026&lt;='01-Process Controls'!$E$7,C1026&lt;='01-Process Controls'!$D$7))),"ERROR - EXCEEDS BED",IF(COUNTIFS($B$1012:B1025,B1026,$C$1012:C1025,C1026)&gt;0,"VALID - DUPLICATE SIZE",IF(OR(AND(B1026&lt;='01-Process Controls'!$D$7-2*'01-Process Controls'!$H$7,C1026&lt;='01-Process Controls'!$E$7-2*'01-Process Controls'!$H$7),AND(B1026&lt;='01-Process Controls'!$E$7-2*'01-Process Controls'!$H$7,C1026&lt;='01-Process Controls'!$D$7-2*'01-Process Controls'!$H$7)),"VALID - CUSTOM SAFE","VALID - CUSTOM NOMINAL EDGE")))))))</f>
        <v>CUSTOM BLANK</v>
      </c>
      <c r="I1026" s="10" t="s">
        <v>1256</v>
      </c>
      <c r="J1026" s="8"/>
      <c r="K1026" s="8"/>
      <c r="L1026" s="8"/>
      <c r="M1026" s="8"/>
      <c r="N1026" s="8"/>
    </row>
    <row r="1027" spans="1:14" ht="21" customHeight="1">
      <c r="A1027" s="44" t="s">
        <v>36</v>
      </c>
      <c r="B1027" s="52">
        <f>ROUNDDOWN('03-POD Product Guide'!$E$77,0)</f>
        <v>1300</v>
      </c>
      <c r="C1027" s="52">
        <f>ROUNDDOWN('03-POD Product Guide'!$F$77,0)</f>
        <v>900</v>
      </c>
      <c r="D1027" s="46" t="s">
        <v>36</v>
      </c>
      <c r="E1027" s="46" t="s">
        <v>1170</v>
      </c>
      <c r="F1027" s="46" t="s">
        <v>1171</v>
      </c>
      <c r="G1027" s="46" t="s">
        <v>1172</v>
      </c>
      <c r="H1027" s="47" t="str">
        <f>'03-POD Product Guide'!$J$77</f>
        <v>VALID - NOMINAL EDGE</v>
      </c>
      <c r="I1027" s="46" t="s">
        <v>1271</v>
      </c>
      <c r="J1027" s="12"/>
      <c r="K1027" s="12"/>
      <c r="L1027" s="12"/>
      <c r="M1027" s="12"/>
      <c r="N1027" s="12"/>
    </row>
    <row r="1028" spans="1:14" ht="21" customHeight="1">
      <c r="A1028" s="9" t="s">
        <v>1272</v>
      </c>
      <c r="B1028" s="53">
        <f>ROUNDDOWN('03-POD Product Guide'!$E$78,0)</f>
        <v>1280</v>
      </c>
      <c r="C1028" s="53">
        <f>ROUNDDOWN('03-POD Product Guide'!$F$78,0)</f>
        <v>880</v>
      </c>
      <c r="D1028" s="10" t="s">
        <v>36</v>
      </c>
      <c r="E1028" s="10" t="s">
        <v>1175</v>
      </c>
      <c r="F1028" s="10" t="s">
        <v>1171</v>
      </c>
      <c r="G1028" s="10" t="s">
        <v>1172</v>
      </c>
      <c r="H1028" s="11" t="str">
        <f>'03-POD Product Guide'!$J$78</f>
        <v>VALID - SAFE</v>
      </c>
      <c r="I1028" s="10" t="s">
        <v>1273</v>
      </c>
      <c r="J1028" s="12"/>
      <c r="K1028" s="12"/>
      <c r="L1028" s="12"/>
      <c r="M1028" s="12"/>
      <c r="N1028" s="12"/>
    </row>
    <row r="1029" spans="1:14" ht="21" customHeight="1">
      <c r="A1029" s="9" t="s">
        <v>1274</v>
      </c>
      <c r="B1029" s="53">
        <f>ROUNDDOWN('03-POD Product Guide'!$E$79,0)</f>
        <v>1200</v>
      </c>
      <c r="C1029" s="53">
        <f>ROUNDDOWN('03-POD Product Guide'!$F$79,0)</f>
        <v>900</v>
      </c>
      <c r="D1029" s="10" t="s">
        <v>36</v>
      </c>
      <c r="E1029" s="10" t="s">
        <v>1275</v>
      </c>
      <c r="F1029" s="10" t="s">
        <v>1276</v>
      </c>
      <c r="G1029" s="10" t="s">
        <v>1186</v>
      </c>
      <c r="H1029" s="11" t="str">
        <f>'03-POD Product Guide'!$J$79</f>
        <v>VALID - NOMINAL EDGE</v>
      </c>
      <c r="I1029" s="10" t="s">
        <v>1277</v>
      </c>
      <c r="J1029" s="12"/>
      <c r="K1029" s="12"/>
      <c r="L1029" s="12"/>
      <c r="M1029" s="12"/>
      <c r="N1029" s="12"/>
    </row>
    <row r="1030" spans="1:14" ht="21" customHeight="1">
      <c r="A1030" s="9" t="s">
        <v>1278</v>
      </c>
      <c r="B1030" s="53">
        <f>ROUNDDOWN('03-POD Product Guide'!$E$80,0)</f>
        <v>1200</v>
      </c>
      <c r="C1030" s="53">
        <f>ROUNDDOWN('03-POD Product Guide'!$F$80,0)</f>
        <v>600</v>
      </c>
      <c r="D1030" s="10" t="s">
        <v>36</v>
      </c>
      <c r="E1030" s="10" t="s">
        <v>1275</v>
      </c>
      <c r="F1030" s="10" t="s">
        <v>1276</v>
      </c>
      <c r="G1030" s="10" t="s">
        <v>1186</v>
      </c>
      <c r="H1030" s="11" t="str">
        <f>'03-POD Product Guide'!$J$80</f>
        <v>VALID - SAFE</v>
      </c>
      <c r="I1030" s="10" t="s">
        <v>1277</v>
      </c>
      <c r="J1030" s="12"/>
      <c r="K1030" s="12"/>
      <c r="L1030" s="12"/>
      <c r="M1030" s="12"/>
      <c r="N1030" s="12"/>
    </row>
    <row r="1031" spans="1:14" ht="21" customHeight="1">
      <c r="A1031" s="9" t="s">
        <v>1279</v>
      </c>
      <c r="B1031" s="53">
        <f>ROUNDDOWN('03-POD Product Guide'!$E$81,0)</f>
        <v>900</v>
      </c>
      <c r="C1031" s="53">
        <f>ROUNDDOWN('03-POD Product Guide'!$F$81,0)</f>
        <v>600</v>
      </c>
      <c r="D1031" s="10" t="s">
        <v>36</v>
      </c>
      <c r="E1031" s="10" t="s">
        <v>1275</v>
      </c>
      <c r="F1031" s="10" t="s">
        <v>1276</v>
      </c>
      <c r="G1031" s="10" t="s">
        <v>1186</v>
      </c>
      <c r="H1031" s="11" t="str">
        <f>'03-POD Product Guide'!$J$81</f>
        <v>VALID - SAFE</v>
      </c>
      <c r="I1031" s="10" t="s">
        <v>1277</v>
      </c>
      <c r="J1031" s="12"/>
      <c r="K1031" s="12"/>
      <c r="L1031" s="12"/>
      <c r="M1031" s="12"/>
      <c r="N1031" s="12"/>
    </row>
    <row r="1032" spans="1:14" ht="21" customHeight="1">
      <c r="A1032" s="9" t="s">
        <v>1280</v>
      </c>
      <c r="B1032" s="53">
        <f>ROUNDDOWN('03-POD Product Guide'!$E$82,0)</f>
        <v>600</v>
      </c>
      <c r="C1032" s="53">
        <f>ROUNDDOWN('03-POD Product Guide'!$F$82,0)</f>
        <v>450</v>
      </c>
      <c r="D1032" s="10" t="s">
        <v>36</v>
      </c>
      <c r="E1032" s="10" t="s">
        <v>1275</v>
      </c>
      <c r="F1032" s="10" t="s">
        <v>1276</v>
      </c>
      <c r="G1032" s="10" t="s">
        <v>1186</v>
      </c>
      <c r="H1032" s="11" t="str">
        <f>'03-POD Product Guide'!$J$82</f>
        <v>VALID - SAFE</v>
      </c>
      <c r="I1032" s="10" t="s">
        <v>1277</v>
      </c>
      <c r="J1032" s="12"/>
      <c r="K1032" s="12"/>
      <c r="L1032" s="12"/>
      <c r="M1032" s="12"/>
      <c r="N1032" s="12"/>
    </row>
    <row r="1033" spans="1:14" ht="21" customHeight="1">
      <c r="A1033" s="9" t="s">
        <v>1281</v>
      </c>
      <c r="B1033" s="53">
        <f>ROUNDDOWN('03-POD Product Guide'!$E$83,0)</f>
        <v>600</v>
      </c>
      <c r="C1033" s="53">
        <f>ROUNDDOWN('03-POD Product Guide'!$F$83,0)</f>
        <v>300</v>
      </c>
      <c r="D1033" s="10" t="s">
        <v>36</v>
      </c>
      <c r="E1033" s="10" t="s">
        <v>1275</v>
      </c>
      <c r="F1033" s="10" t="s">
        <v>1276</v>
      </c>
      <c r="G1033" s="10" t="s">
        <v>1186</v>
      </c>
      <c r="H1033" s="11" t="str">
        <f>'03-POD Product Guide'!$J$83</f>
        <v>VALID - SAFE</v>
      </c>
      <c r="I1033" s="10" t="s">
        <v>1277</v>
      </c>
      <c r="J1033" s="12"/>
      <c r="K1033" s="12"/>
      <c r="L1033" s="12"/>
      <c r="M1033" s="12"/>
      <c r="N1033" s="12"/>
    </row>
    <row r="1034" spans="1:14" ht="21" customHeight="1">
      <c r="A1034" s="9" t="s">
        <v>1282</v>
      </c>
      <c r="B1034" s="53">
        <f>ROUNDDOWN('03-POD Product Guide'!$E$84,0)</f>
        <v>400</v>
      </c>
      <c r="C1034" s="53">
        <f>ROUNDDOWN('03-POD Product Guide'!$F$84,0)</f>
        <v>300</v>
      </c>
      <c r="D1034" s="10" t="s">
        <v>36</v>
      </c>
      <c r="E1034" s="10" t="s">
        <v>1275</v>
      </c>
      <c r="F1034" s="10" t="s">
        <v>1276</v>
      </c>
      <c r="G1034" s="10" t="s">
        <v>1186</v>
      </c>
      <c r="H1034" s="11" t="str">
        <f>'03-POD Product Guide'!$J$84</f>
        <v>VALID - SAFE</v>
      </c>
      <c r="I1034" s="10" t="s">
        <v>1277</v>
      </c>
      <c r="J1034" s="12"/>
      <c r="K1034" s="12"/>
      <c r="L1034" s="12"/>
      <c r="M1034" s="12"/>
      <c r="N1034" s="12"/>
    </row>
    <row r="1035" spans="1:14" ht="21" customHeight="1">
      <c r="A1035" s="9" t="s">
        <v>1283</v>
      </c>
      <c r="B1035" s="53">
        <f>ROUNDDOWN('03-POD Product Guide'!$E$85,0)</f>
        <v>300</v>
      </c>
      <c r="C1035" s="53">
        <f>ROUNDDOWN('03-POD Product Guide'!$F$85,0)</f>
        <v>200</v>
      </c>
      <c r="D1035" s="10" t="s">
        <v>36</v>
      </c>
      <c r="E1035" s="10" t="s">
        <v>1275</v>
      </c>
      <c r="F1035" s="10" t="s">
        <v>1276</v>
      </c>
      <c r="G1035" s="10" t="s">
        <v>1186</v>
      </c>
      <c r="H1035" s="11" t="str">
        <f>'03-POD Product Guide'!$J$85</f>
        <v>VALID - SAFE</v>
      </c>
      <c r="I1035" s="10" t="s">
        <v>1277</v>
      </c>
      <c r="J1035" s="12"/>
      <c r="K1035" s="12"/>
      <c r="L1035" s="12"/>
      <c r="M1035" s="12"/>
      <c r="N1035" s="12"/>
    </row>
    <row r="1036" spans="1:14" ht="21" customHeight="1">
      <c r="A1036" s="9" t="s">
        <v>1284</v>
      </c>
      <c r="B1036" s="53">
        <f>ROUNDDOWN('03-POD Product Guide'!$E$86,0)</f>
        <v>594</v>
      </c>
      <c r="C1036" s="53">
        <f>ROUNDDOWN('03-POD Product Guide'!$F$86,0)</f>
        <v>420</v>
      </c>
      <c r="D1036" s="10" t="s">
        <v>36</v>
      </c>
      <c r="E1036" s="10" t="s">
        <v>356</v>
      </c>
      <c r="F1036" s="10" t="s">
        <v>1182</v>
      </c>
      <c r="G1036" s="10" t="s">
        <v>1186</v>
      </c>
      <c r="H1036" s="11" t="str">
        <f>'03-POD Product Guide'!$J$86</f>
        <v>VALID - SAFE</v>
      </c>
      <c r="I1036" s="10" t="s">
        <v>1285</v>
      </c>
      <c r="J1036" s="12"/>
      <c r="K1036" s="12"/>
      <c r="L1036" s="12"/>
      <c r="M1036" s="12"/>
      <c r="N1036" s="12"/>
    </row>
    <row r="1037" spans="1:14" ht="21" customHeight="1">
      <c r="A1037" s="9" t="s">
        <v>1286</v>
      </c>
      <c r="B1037" s="53">
        <f>ROUNDDOWN('03-POD Product Guide'!$E$87,0)</f>
        <v>420</v>
      </c>
      <c r="C1037" s="53">
        <f>ROUNDDOWN('03-POD Product Guide'!$F$87,0)</f>
        <v>297</v>
      </c>
      <c r="D1037" s="10" t="s">
        <v>36</v>
      </c>
      <c r="E1037" s="10" t="s">
        <v>430</v>
      </c>
      <c r="F1037" s="10" t="s">
        <v>1182</v>
      </c>
      <c r="G1037" s="10" t="s">
        <v>1186</v>
      </c>
      <c r="H1037" s="11" t="str">
        <f>'03-POD Product Guide'!$J$87</f>
        <v>VALID - SAFE</v>
      </c>
      <c r="I1037" s="10" t="s">
        <v>1285</v>
      </c>
      <c r="J1037" s="12"/>
      <c r="K1037" s="12"/>
      <c r="L1037" s="12"/>
      <c r="M1037" s="12"/>
      <c r="N1037" s="12"/>
    </row>
    <row r="1038" spans="1:14" ht="21" customHeight="1">
      <c r="A1038" s="9" t="s">
        <v>1287</v>
      </c>
      <c r="B1038" s="53">
        <f>ROUNDDOWN('03-POD Product Guide'!$E$88,0)</f>
        <v>297</v>
      </c>
      <c r="C1038" s="53">
        <f>ROUNDDOWN('03-POD Product Guide'!$F$88,0)</f>
        <v>210</v>
      </c>
      <c r="D1038" s="10" t="s">
        <v>36</v>
      </c>
      <c r="E1038" s="10" t="s">
        <v>504</v>
      </c>
      <c r="F1038" s="10" t="s">
        <v>1182</v>
      </c>
      <c r="G1038" s="10" t="s">
        <v>1186</v>
      </c>
      <c r="H1038" s="11" t="str">
        <f>'03-POD Product Guide'!$J$88</f>
        <v>VALID - SAFE</v>
      </c>
      <c r="I1038" s="10" t="s">
        <v>1285</v>
      </c>
      <c r="J1038" s="12"/>
      <c r="K1038" s="12"/>
      <c r="L1038" s="12"/>
      <c r="M1038" s="12"/>
      <c r="N1038" s="12"/>
    </row>
    <row r="1039" spans="1:14" ht="21" customHeight="1">
      <c r="A1039" s="9" t="s">
        <v>1288</v>
      </c>
      <c r="B1039" s="53">
        <f>ROUNDDOWN('03-POD Product Guide'!$E$89,0)</f>
        <v>500</v>
      </c>
      <c r="C1039" s="53">
        <f>ROUNDDOWN('03-POD Product Guide'!$F$89,0)</f>
        <v>500</v>
      </c>
      <c r="D1039" s="10" t="s">
        <v>36</v>
      </c>
      <c r="E1039" s="10" t="s">
        <v>1289</v>
      </c>
      <c r="F1039" s="10" t="s">
        <v>1192</v>
      </c>
      <c r="G1039" s="10" t="s">
        <v>1193</v>
      </c>
      <c r="H1039" s="11" t="str">
        <f>'03-POD Product Guide'!$J$89</f>
        <v>VALID - SAFE</v>
      </c>
      <c r="I1039" s="10" t="s">
        <v>1290</v>
      </c>
      <c r="J1039" s="12"/>
      <c r="K1039" s="12"/>
      <c r="L1039" s="12"/>
      <c r="M1039" s="12"/>
      <c r="N1039" s="12"/>
    </row>
    <row r="1040" spans="1:14" ht="21" customHeight="1">
      <c r="A1040" s="9" t="s">
        <v>1291</v>
      </c>
      <c r="B1040" s="53">
        <f>ROUNDDOWN('03-POD Product Guide'!$E$90,0)</f>
        <v>400</v>
      </c>
      <c r="C1040" s="53">
        <f>ROUNDDOWN('03-POD Product Guide'!$F$90,0)</f>
        <v>400</v>
      </c>
      <c r="D1040" s="10" t="s">
        <v>36</v>
      </c>
      <c r="E1040" s="10" t="s">
        <v>1289</v>
      </c>
      <c r="F1040" s="10" t="s">
        <v>1192</v>
      </c>
      <c r="G1040" s="10" t="s">
        <v>1193</v>
      </c>
      <c r="H1040" s="11" t="str">
        <f>'03-POD Product Guide'!$J$90</f>
        <v>VALID - SAFE</v>
      </c>
      <c r="I1040" s="10" t="s">
        <v>1290</v>
      </c>
      <c r="J1040" s="12"/>
      <c r="K1040" s="12"/>
      <c r="L1040" s="12"/>
      <c r="M1040" s="12"/>
      <c r="N1040" s="12"/>
    </row>
    <row r="1041" spans="1:14" ht="21" customHeight="1">
      <c r="A1041" s="9" t="s">
        <v>1292</v>
      </c>
      <c r="B1041" s="53">
        <f>ROUNDDOWN('03-POD Product Guide'!$E$91,0)</f>
        <v>300</v>
      </c>
      <c r="C1041" s="53">
        <f>ROUNDDOWN('03-POD Product Guide'!$F$91,0)</f>
        <v>300</v>
      </c>
      <c r="D1041" s="10" t="s">
        <v>36</v>
      </c>
      <c r="E1041" s="10" t="s">
        <v>1289</v>
      </c>
      <c r="F1041" s="10" t="s">
        <v>1192</v>
      </c>
      <c r="G1041" s="10" t="s">
        <v>1193</v>
      </c>
      <c r="H1041" s="11" t="str">
        <f>'03-POD Product Guide'!$J$91</f>
        <v>VALID - SAFE</v>
      </c>
      <c r="I1041" s="10" t="s">
        <v>1290</v>
      </c>
      <c r="J1041" s="12"/>
      <c r="K1041" s="12"/>
      <c r="L1041" s="12"/>
      <c r="M1041" s="12"/>
      <c r="N1041" s="12"/>
    </row>
    <row r="1042" spans="1:14" ht="21" customHeight="1">
      <c r="A1042" s="9" t="s">
        <v>1293</v>
      </c>
      <c r="B1042" s="53">
        <f>ROUNDDOWN('03-POD Product Guide'!$E$92,0)</f>
        <v>250</v>
      </c>
      <c r="C1042" s="53">
        <f>ROUNDDOWN('03-POD Product Guide'!$F$92,0)</f>
        <v>250</v>
      </c>
      <c r="D1042" s="10" t="s">
        <v>36</v>
      </c>
      <c r="E1042" s="10" t="s">
        <v>1289</v>
      </c>
      <c r="F1042" s="10" t="s">
        <v>1192</v>
      </c>
      <c r="G1042" s="10" t="s">
        <v>1193</v>
      </c>
      <c r="H1042" s="11" t="str">
        <f>'03-POD Product Guide'!$J$92</f>
        <v>VALID - SAFE</v>
      </c>
      <c r="I1042" s="10" t="s">
        <v>1290</v>
      </c>
      <c r="J1042" s="12"/>
      <c r="K1042" s="12"/>
      <c r="L1042" s="12"/>
      <c r="M1042" s="12"/>
      <c r="N1042" s="12"/>
    </row>
    <row r="1043" spans="1:14" ht="21" customHeight="1">
      <c r="A1043" s="9" t="s">
        <v>1294</v>
      </c>
      <c r="B1043" s="53">
        <f>ROUNDDOWN('03-POD Product Guide'!$E$93,0)</f>
        <v>200</v>
      </c>
      <c r="C1043" s="53">
        <f>ROUNDDOWN('03-POD Product Guide'!$F$93,0)</f>
        <v>200</v>
      </c>
      <c r="D1043" s="10" t="s">
        <v>36</v>
      </c>
      <c r="E1043" s="10" t="s">
        <v>1289</v>
      </c>
      <c r="F1043" s="10" t="s">
        <v>1192</v>
      </c>
      <c r="G1043" s="10" t="s">
        <v>1193</v>
      </c>
      <c r="H1043" s="11" t="str">
        <f>'03-POD Product Guide'!$J$93</f>
        <v>VALID - SAFE</v>
      </c>
      <c r="I1043" s="10" t="s">
        <v>1290</v>
      </c>
      <c r="J1043" s="12"/>
      <c r="K1043" s="12"/>
      <c r="L1043" s="12"/>
      <c r="M1043" s="12"/>
      <c r="N1043" s="12"/>
    </row>
    <row r="1044" spans="1:14" ht="21" customHeight="1">
      <c r="A1044" s="9" t="s">
        <v>1295</v>
      </c>
      <c r="B1044" s="53">
        <f>ROUNDDOWN('03-POD Product Guide'!$E$94,0)</f>
        <v>150</v>
      </c>
      <c r="C1044" s="53">
        <f>ROUNDDOWN('03-POD Product Guide'!$F$94,0)</f>
        <v>150</v>
      </c>
      <c r="D1044" s="10" t="s">
        <v>36</v>
      </c>
      <c r="E1044" s="10" t="s">
        <v>1289</v>
      </c>
      <c r="F1044" s="10" t="s">
        <v>1192</v>
      </c>
      <c r="G1044" s="10" t="s">
        <v>1193</v>
      </c>
      <c r="H1044" s="11" t="str">
        <f>'03-POD Product Guide'!$J$94</f>
        <v>VALID - SAFE</v>
      </c>
      <c r="I1044" s="10" t="s">
        <v>1290</v>
      </c>
      <c r="J1044" s="12"/>
      <c r="K1044" s="12"/>
      <c r="L1044" s="12"/>
      <c r="M1044" s="12"/>
      <c r="N1044" s="12"/>
    </row>
    <row r="1045" spans="1:14" ht="21" customHeight="1">
      <c r="A1045" s="9" t="s">
        <v>1296</v>
      </c>
      <c r="B1045" s="53">
        <f>ROUNDDOWN('03-POD Product Guide'!$E$95,0)</f>
        <v>120</v>
      </c>
      <c r="C1045" s="53">
        <f>ROUNDDOWN('03-POD Product Guide'!$F$95,0)</f>
        <v>120</v>
      </c>
      <c r="D1045" s="10" t="s">
        <v>36</v>
      </c>
      <c r="E1045" s="10" t="s">
        <v>1289</v>
      </c>
      <c r="F1045" s="10" t="s">
        <v>1192</v>
      </c>
      <c r="G1045" s="10" t="s">
        <v>1193</v>
      </c>
      <c r="H1045" s="11" t="str">
        <f>'03-POD Product Guide'!$J$95</f>
        <v>VALID - SAFE</v>
      </c>
      <c r="I1045" s="10" t="s">
        <v>1290</v>
      </c>
      <c r="J1045" s="12"/>
      <c r="K1045" s="12"/>
      <c r="L1045" s="12"/>
      <c r="M1045" s="12"/>
      <c r="N1045" s="12"/>
    </row>
    <row r="1046" spans="1:14" ht="21" customHeight="1">
      <c r="A1046" s="9" t="s">
        <v>1297</v>
      </c>
      <c r="B1046" s="53">
        <f>ROUNDDOWN('03-POD Product Guide'!$E$96,0)</f>
        <v>30</v>
      </c>
      <c r="C1046" s="53">
        <f>ROUNDDOWN('03-POD Product Guide'!$F$96,0)</f>
        <v>30</v>
      </c>
      <c r="D1046" s="10" t="s">
        <v>36</v>
      </c>
      <c r="E1046" s="10" t="s">
        <v>1219</v>
      </c>
      <c r="F1046" s="10" t="s">
        <v>1204</v>
      </c>
      <c r="G1046" s="10" t="s">
        <v>1193</v>
      </c>
      <c r="H1046" s="11" t="str">
        <f>'03-POD Product Guide'!$J$96</f>
        <v>VALID - SAFE</v>
      </c>
      <c r="I1046" s="10" t="s">
        <v>1298</v>
      </c>
      <c r="J1046" s="12"/>
      <c r="K1046" s="12"/>
      <c r="L1046" s="12"/>
      <c r="M1046" s="12"/>
      <c r="N1046" s="12"/>
    </row>
    <row r="1047" spans="1:14" ht="21" customHeight="1">
      <c r="A1047" s="9" t="s">
        <v>1299</v>
      </c>
      <c r="B1047" s="53">
        <f>ROUNDDOWN('03-POD Product Guide'!$E$97,0)</f>
        <v>40</v>
      </c>
      <c r="C1047" s="53">
        <f>ROUNDDOWN('03-POD Product Guide'!$F$97,0)</f>
        <v>40</v>
      </c>
      <c r="D1047" s="10" t="s">
        <v>36</v>
      </c>
      <c r="E1047" s="10" t="s">
        <v>1219</v>
      </c>
      <c r="F1047" s="10" t="s">
        <v>1204</v>
      </c>
      <c r="G1047" s="10" t="s">
        <v>1193</v>
      </c>
      <c r="H1047" s="11" t="str">
        <f>'03-POD Product Guide'!$J$97</f>
        <v>VALID - SAFE</v>
      </c>
      <c r="I1047" s="10" t="s">
        <v>1298</v>
      </c>
      <c r="J1047" s="12"/>
      <c r="K1047" s="12"/>
      <c r="L1047" s="12"/>
      <c r="M1047" s="12"/>
      <c r="N1047" s="12"/>
    </row>
    <row r="1048" spans="1:14" ht="21" customHeight="1">
      <c r="A1048" s="9" t="s">
        <v>1300</v>
      </c>
      <c r="B1048" s="53">
        <f>ROUNDDOWN('03-POD Product Guide'!$E$98,0)</f>
        <v>50</v>
      </c>
      <c r="C1048" s="53">
        <f>ROUNDDOWN('03-POD Product Guide'!$F$98,0)</f>
        <v>50</v>
      </c>
      <c r="D1048" s="10" t="s">
        <v>36</v>
      </c>
      <c r="E1048" s="10" t="s">
        <v>1219</v>
      </c>
      <c r="F1048" s="10" t="s">
        <v>1204</v>
      </c>
      <c r="G1048" s="10" t="s">
        <v>1193</v>
      </c>
      <c r="H1048" s="11" t="str">
        <f>'03-POD Product Guide'!$J$98</f>
        <v>VALID - SAFE</v>
      </c>
      <c r="I1048" s="10" t="s">
        <v>1298</v>
      </c>
      <c r="J1048" s="12"/>
      <c r="K1048" s="12"/>
      <c r="L1048" s="12"/>
      <c r="M1048" s="12"/>
      <c r="N1048" s="12"/>
    </row>
    <row r="1049" spans="1:14" ht="21" customHeight="1">
      <c r="A1049" s="9" t="s">
        <v>1301</v>
      </c>
      <c r="B1049" s="53">
        <f>ROUNDDOWN('03-POD Product Guide'!$E$99,0)</f>
        <v>60</v>
      </c>
      <c r="C1049" s="53">
        <f>ROUNDDOWN('03-POD Product Guide'!$F$99,0)</f>
        <v>40</v>
      </c>
      <c r="D1049" s="10" t="s">
        <v>36</v>
      </c>
      <c r="E1049" s="10" t="s">
        <v>1219</v>
      </c>
      <c r="F1049" s="10" t="s">
        <v>1204</v>
      </c>
      <c r="G1049" s="10" t="s">
        <v>1186</v>
      </c>
      <c r="H1049" s="11" t="str">
        <f>'03-POD Product Guide'!$J$99</f>
        <v>VALID - SAFE</v>
      </c>
      <c r="I1049" s="10" t="s">
        <v>1298</v>
      </c>
      <c r="J1049" s="12"/>
      <c r="K1049" s="12"/>
      <c r="L1049" s="12"/>
      <c r="M1049" s="12"/>
      <c r="N1049" s="12"/>
    </row>
    <row r="1050" spans="1:14" ht="21" customHeight="1">
      <c r="A1050" s="9" t="s">
        <v>1302</v>
      </c>
      <c r="B1050" s="53">
        <f>ROUNDDOWN('03-POD Product Guide'!$E$100,0)</f>
        <v>90</v>
      </c>
      <c r="C1050" s="53">
        <f>ROUNDDOWN('03-POD Product Guide'!$F$100,0)</f>
        <v>90</v>
      </c>
      <c r="D1050" s="10" t="s">
        <v>36</v>
      </c>
      <c r="E1050" s="10" t="s">
        <v>1226</v>
      </c>
      <c r="F1050" s="10" t="s">
        <v>1204</v>
      </c>
      <c r="G1050" s="10" t="s">
        <v>1193</v>
      </c>
      <c r="H1050" s="11" t="str">
        <f>'03-POD Product Guide'!$J$100</f>
        <v>VALID - SAFE</v>
      </c>
      <c r="I1050" s="10" t="s">
        <v>1303</v>
      </c>
      <c r="J1050" s="12"/>
      <c r="K1050" s="12"/>
      <c r="L1050" s="12"/>
      <c r="M1050" s="12"/>
      <c r="N1050" s="12"/>
    </row>
    <row r="1051" spans="1:14" ht="21" customHeight="1">
      <c r="A1051" s="9" t="s">
        <v>1304</v>
      </c>
      <c r="B1051" s="53">
        <f>ROUNDDOWN('03-POD Product Guide'!$E$101,0)</f>
        <v>100</v>
      </c>
      <c r="C1051" s="53">
        <f>ROUNDDOWN('03-POD Product Guide'!$F$101,0)</f>
        <v>100</v>
      </c>
      <c r="D1051" s="10" t="s">
        <v>36</v>
      </c>
      <c r="E1051" s="10" t="s">
        <v>1226</v>
      </c>
      <c r="F1051" s="10" t="s">
        <v>1204</v>
      </c>
      <c r="G1051" s="10" t="s">
        <v>1193</v>
      </c>
      <c r="H1051" s="11" t="str">
        <f>'03-POD Product Guide'!$J$101</f>
        <v>VALID - SAFE</v>
      </c>
      <c r="I1051" s="10" t="s">
        <v>1303</v>
      </c>
      <c r="J1051" s="12"/>
      <c r="K1051" s="12"/>
      <c r="L1051" s="12"/>
      <c r="M1051" s="12"/>
      <c r="N1051" s="12"/>
    </row>
    <row r="1052" spans="1:14" ht="21" customHeight="1">
      <c r="A1052" s="9" t="s">
        <v>1305</v>
      </c>
      <c r="B1052" s="53">
        <f>ROUNDDOWN('03-POD Product Guide'!$E$102,0)</f>
        <v>75</v>
      </c>
      <c r="C1052" s="53">
        <f>ROUNDDOWN('03-POD Product Guide'!$F$102,0)</f>
        <v>75</v>
      </c>
      <c r="D1052" s="10" t="s">
        <v>36</v>
      </c>
      <c r="E1052" s="10" t="s">
        <v>1306</v>
      </c>
      <c r="F1052" s="10" t="s">
        <v>1204</v>
      </c>
      <c r="G1052" s="10" t="s">
        <v>1307</v>
      </c>
      <c r="H1052" s="11" t="str">
        <f>'03-POD Product Guide'!$J$102</f>
        <v>VALID - SAFE</v>
      </c>
      <c r="I1052" s="10" t="s">
        <v>1308</v>
      </c>
      <c r="J1052" s="12"/>
      <c r="K1052" s="12"/>
      <c r="L1052" s="12"/>
      <c r="M1052" s="12"/>
      <c r="N1052" s="12"/>
    </row>
    <row r="1053" spans="1:14" ht="21" customHeight="1">
      <c r="A1053" s="9" t="s">
        <v>1309</v>
      </c>
      <c r="B1053" s="53">
        <f>ROUNDDOWN('03-POD Product Guide'!$E$103,0)</f>
        <v>110</v>
      </c>
      <c r="C1053" s="53">
        <f>ROUNDDOWN('03-POD Product Guide'!$F$103,0)</f>
        <v>110</v>
      </c>
      <c r="D1053" s="10" t="s">
        <v>36</v>
      </c>
      <c r="E1053" s="10" t="s">
        <v>1306</v>
      </c>
      <c r="F1053" s="10" t="s">
        <v>1204</v>
      </c>
      <c r="G1053" s="10" t="s">
        <v>1307</v>
      </c>
      <c r="H1053" s="11" t="str">
        <f>'03-POD Product Guide'!$J$103</f>
        <v>VALID - SAFE</v>
      </c>
      <c r="I1053" s="10" t="s">
        <v>1308</v>
      </c>
      <c r="J1053" s="12"/>
      <c r="K1053" s="12"/>
      <c r="L1053" s="12"/>
      <c r="M1053" s="12"/>
      <c r="N1053" s="12"/>
    </row>
    <row r="1054" spans="1:14" ht="21" customHeight="1">
      <c r="A1054" s="9" t="s">
        <v>1310</v>
      </c>
      <c r="B1054" s="53">
        <f>ROUNDDOWN('03-POD Product Guide'!$E$104,0)</f>
        <v>200</v>
      </c>
      <c r="C1054" s="53">
        <f>ROUNDDOWN('03-POD Product Guide'!$F$104,0)</f>
        <v>80</v>
      </c>
      <c r="D1054" s="10" t="s">
        <v>36</v>
      </c>
      <c r="E1054" s="10" t="s">
        <v>1215</v>
      </c>
      <c r="F1054" s="10" t="s">
        <v>1192</v>
      </c>
      <c r="G1054" s="10" t="s">
        <v>1186</v>
      </c>
      <c r="H1054" s="11" t="str">
        <f>'03-POD Product Guide'!$J$104</f>
        <v>VALID - SAFE</v>
      </c>
      <c r="I1054" s="10" t="s">
        <v>1285</v>
      </c>
      <c r="J1054" s="12"/>
      <c r="K1054" s="12"/>
      <c r="L1054" s="12"/>
      <c r="M1054" s="12"/>
      <c r="N1054" s="12"/>
    </row>
    <row r="1055" spans="1:14" ht="21" customHeight="1">
      <c r="A1055" s="9" t="s">
        <v>1311</v>
      </c>
      <c r="B1055" s="53">
        <f>ROUNDDOWN('03-POD Product Guide'!$E$105,0)</f>
        <v>300</v>
      </c>
      <c r="C1055" s="53">
        <f>ROUNDDOWN('03-POD Product Guide'!$F$105,0)</f>
        <v>100</v>
      </c>
      <c r="D1055" s="10" t="s">
        <v>36</v>
      </c>
      <c r="E1055" s="10" t="s">
        <v>1215</v>
      </c>
      <c r="F1055" s="10" t="s">
        <v>1192</v>
      </c>
      <c r="G1055" s="10" t="s">
        <v>1186</v>
      </c>
      <c r="H1055" s="11" t="str">
        <f>'03-POD Product Guide'!$J$105</f>
        <v>VALID - SAFE</v>
      </c>
      <c r="I1055" s="10" t="s">
        <v>1285</v>
      </c>
      <c r="J1055" s="12"/>
      <c r="K1055" s="12"/>
      <c r="L1055" s="12"/>
      <c r="M1055" s="12"/>
      <c r="N1055" s="12"/>
    </row>
    <row r="1056" spans="1:14" ht="21" customHeight="1">
      <c r="A1056" s="9" t="s">
        <v>1312</v>
      </c>
      <c r="B1056" s="53">
        <f>ROUNDDOWN('03-POD Product Guide'!$E$106,0)</f>
        <v>400</v>
      </c>
      <c r="C1056" s="53">
        <f>ROUNDDOWN('03-POD Product Guide'!$F$106,0)</f>
        <v>200</v>
      </c>
      <c r="D1056" s="10" t="s">
        <v>36</v>
      </c>
      <c r="E1056" s="10" t="s">
        <v>1313</v>
      </c>
      <c r="F1056" s="10" t="s">
        <v>1192</v>
      </c>
      <c r="G1056" s="10" t="s">
        <v>1186</v>
      </c>
      <c r="H1056" s="11" t="str">
        <f>'03-POD Product Guide'!$J$106</f>
        <v>VALID - SAFE</v>
      </c>
      <c r="I1056" s="10" t="s">
        <v>1285</v>
      </c>
      <c r="J1056" s="12"/>
      <c r="K1056" s="12"/>
      <c r="L1056" s="12"/>
      <c r="M1056" s="12"/>
      <c r="N1056" s="12"/>
    </row>
    <row r="1057" spans="1:14" ht="21" customHeight="1">
      <c r="A1057" s="9" t="s">
        <v>1314</v>
      </c>
      <c r="B1057" s="53">
        <f>ROUNDDOWN('03-POD Product Guide'!$E$107,0)</f>
        <v>600</v>
      </c>
      <c r="C1057" s="53">
        <f>ROUNDDOWN('03-POD Product Guide'!$F$107,0)</f>
        <v>200</v>
      </c>
      <c r="D1057" s="10" t="s">
        <v>36</v>
      </c>
      <c r="E1057" s="10" t="s">
        <v>1313</v>
      </c>
      <c r="F1057" s="10" t="s">
        <v>1192</v>
      </c>
      <c r="G1057" s="10" t="s">
        <v>1186</v>
      </c>
      <c r="H1057" s="11" t="str">
        <f>'03-POD Product Guide'!$J$107</f>
        <v>VALID - SAFE</v>
      </c>
      <c r="I1057" s="10" t="s">
        <v>1285</v>
      </c>
      <c r="J1057" s="12"/>
      <c r="K1057" s="12"/>
      <c r="L1057" s="12"/>
      <c r="M1057" s="12"/>
      <c r="N1057" s="12"/>
    </row>
    <row r="1058" spans="1:14" ht="21" customHeight="1">
      <c r="A1058" s="9" t="s">
        <v>1315</v>
      </c>
      <c r="B1058" s="53">
        <f>ROUNDDOWN('03-POD Product Guide'!$E$108,0)</f>
        <v>180</v>
      </c>
      <c r="C1058" s="53">
        <f>ROUNDDOWN('03-POD Product Guide'!$F$108,0)</f>
        <v>180</v>
      </c>
      <c r="D1058" s="10" t="s">
        <v>36</v>
      </c>
      <c r="E1058" s="10" t="s">
        <v>1316</v>
      </c>
      <c r="F1058" s="10" t="s">
        <v>1192</v>
      </c>
      <c r="G1058" s="10" t="s">
        <v>1317</v>
      </c>
      <c r="H1058" s="11" t="str">
        <f>'03-POD Product Guide'!$J$108</f>
        <v>VALID - SAFE</v>
      </c>
      <c r="I1058" s="10" t="s">
        <v>1318</v>
      </c>
      <c r="J1058" s="12"/>
      <c r="K1058" s="12"/>
      <c r="L1058" s="12"/>
      <c r="M1058" s="12"/>
      <c r="N1058" s="12"/>
    </row>
    <row r="1059" spans="1:14" ht="21" customHeight="1">
      <c r="A1059" s="9" t="s">
        <v>1319</v>
      </c>
      <c r="B1059" s="53">
        <f>ROUNDDOWN('03-POD Product Guide'!$E$109,0)</f>
        <v>220</v>
      </c>
      <c r="C1059" s="53">
        <f>ROUNDDOWN('03-POD Product Guide'!$F$109,0)</f>
        <v>220</v>
      </c>
      <c r="D1059" s="10" t="s">
        <v>36</v>
      </c>
      <c r="E1059" s="10" t="s">
        <v>1316</v>
      </c>
      <c r="F1059" s="10" t="s">
        <v>1192</v>
      </c>
      <c r="G1059" s="10" t="s">
        <v>1317</v>
      </c>
      <c r="H1059" s="11" t="str">
        <f>'03-POD Product Guide'!$J$109</f>
        <v>VALID - SAFE</v>
      </c>
      <c r="I1059" s="10" t="s">
        <v>1318</v>
      </c>
      <c r="J1059" s="12"/>
      <c r="K1059" s="12"/>
      <c r="L1059" s="12"/>
      <c r="M1059" s="12"/>
      <c r="N1059" s="12"/>
    </row>
    <row r="1060" spans="1:14" ht="21" customHeight="1">
      <c r="A1060" s="9" t="s">
        <v>1320</v>
      </c>
      <c r="B1060" s="53">
        <f>ROUNDDOWN('03-POD Product Guide'!$E$110,0)</f>
        <v>50</v>
      </c>
      <c r="C1060" s="53">
        <f>ROUNDDOWN('03-POD Product Guide'!$F$110,0)</f>
        <v>30</v>
      </c>
      <c r="D1060" s="10" t="s">
        <v>36</v>
      </c>
      <c r="E1060" s="10" t="s">
        <v>1321</v>
      </c>
      <c r="F1060" s="10" t="s">
        <v>1204</v>
      </c>
      <c r="G1060" s="10" t="s">
        <v>1186</v>
      </c>
      <c r="H1060" s="11" t="str">
        <f>'03-POD Product Guide'!$J$110</f>
        <v>VALID - SAFE</v>
      </c>
      <c r="I1060" s="10" t="s">
        <v>1322</v>
      </c>
      <c r="J1060" s="12"/>
      <c r="K1060" s="12"/>
      <c r="L1060" s="12"/>
      <c r="M1060" s="12"/>
      <c r="N1060" s="12"/>
    </row>
    <row r="1061" spans="1:14" ht="21" customHeight="1">
      <c r="A1061" s="9" t="s">
        <v>1323</v>
      </c>
      <c r="B1061" s="53">
        <f>ROUNDDOWN('03-POD Product Guide'!$E$111,0)</f>
        <v>40</v>
      </c>
      <c r="C1061" s="53">
        <f>ROUNDDOWN('03-POD Product Guide'!$F$111,0)</f>
        <v>150</v>
      </c>
      <c r="D1061" s="10" t="s">
        <v>36</v>
      </c>
      <c r="E1061" s="10" t="s">
        <v>1324</v>
      </c>
      <c r="F1061" s="10" t="s">
        <v>1204</v>
      </c>
      <c r="G1061" s="10" t="s">
        <v>1183</v>
      </c>
      <c r="H1061" s="11" t="str">
        <f>'03-POD Product Guide'!$J$111</f>
        <v>VALID - SAFE</v>
      </c>
      <c r="I1061" s="10" t="s">
        <v>1325</v>
      </c>
      <c r="J1061" s="12"/>
      <c r="K1061" s="12"/>
      <c r="L1061" s="12"/>
      <c r="M1061" s="12"/>
      <c r="N1061" s="12"/>
    </row>
    <row r="1062" spans="1:14" ht="21" customHeight="1">
      <c r="A1062" s="9" t="s">
        <v>1326</v>
      </c>
      <c r="B1062" s="53">
        <f>ROUNDDOWN('03-POD Product Guide'!$E$112,0)</f>
        <v>1200</v>
      </c>
      <c r="C1062" s="53">
        <f>ROUNDDOWN('03-POD Product Guide'!$F$112,0)</f>
        <v>100</v>
      </c>
      <c r="D1062" s="10" t="s">
        <v>36</v>
      </c>
      <c r="E1062" s="10" t="s">
        <v>1249</v>
      </c>
      <c r="F1062" s="10" t="s">
        <v>1192</v>
      </c>
      <c r="G1062" s="10" t="s">
        <v>1186</v>
      </c>
      <c r="H1062" s="11" t="str">
        <f>'03-POD Product Guide'!$J$112</f>
        <v>VALID - SAFE</v>
      </c>
      <c r="I1062" s="10" t="s">
        <v>1327</v>
      </c>
      <c r="J1062" s="12"/>
      <c r="K1062" s="12"/>
      <c r="L1062" s="12"/>
      <c r="M1062" s="12"/>
      <c r="N1062" s="12"/>
    </row>
    <row r="1063" spans="1:14" ht="21" customHeight="1">
      <c r="A1063" s="9" t="s">
        <v>1328</v>
      </c>
      <c r="B1063" s="48"/>
      <c r="C1063" s="48"/>
      <c r="D1063" s="10" t="s">
        <v>36</v>
      </c>
      <c r="E1063" s="10" t="s">
        <v>1329</v>
      </c>
      <c r="F1063" s="10" t="s">
        <v>265</v>
      </c>
      <c r="G1063" s="10" t="s">
        <v>1255</v>
      </c>
      <c r="H1063" s="11" t="str">
        <f>IF(AND(B1063="",C1063=""),"CUSTOM BLANK",IF(OR(B1063="",C1063=""),"ERROR - ENTER BOTH",IF(OR(B1063&lt;=0,C1063&lt;=0),"ERROR - NONPOSITIVE",IF(OR(B1063&lt;&gt;ROUNDDOWN(B1063,0),C1063&lt;&gt;ROUNDDOWN(C1063,0)),"ERROR - WHOLE MM ONLY",IF(OR(B1063&lt;'01-Process Controls'!$G$8,C1063&lt;'01-Process Controls'!$G$8),"ERROR - BELOW MIN",IF(NOT(OR(AND(B1063&lt;='01-Process Controls'!$D$8,C1063&lt;='01-Process Controls'!$E$8),AND(B1063&lt;='01-Process Controls'!$E$8,C1063&lt;='01-Process Controls'!$D$8))),"ERROR - EXCEEDS BED",IF(FALSE,"VALID - DUPLICATE SIZE",IF(OR(AND(B1063&lt;='01-Process Controls'!$D$8-2*'01-Process Controls'!$H$8,C1063&lt;='01-Process Controls'!$E$8-2*'01-Process Controls'!$H$8),AND(B1063&lt;='01-Process Controls'!$E$8-2*'01-Process Controls'!$H$8,C1063&lt;='01-Process Controls'!$D$8-2*'01-Process Controls'!$H$8)),"VALID - CUSTOM SAFE","VALID - CUSTOM NOMINAL EDGE"))))))))</f>
        <v>CUSTOM BLANK</v>
      </c>
      <c r="I1063" s="10" t="s">
        <v>1330</v>
      </c>
      <c r="J1063" s="12"/>
      <c r="K1063" s="12"/>
      <c r="L1063" s="12"/>
      <c r="M1063" s="12"/>
      <c r="N1063" s="12"/>
    </row>
    <row r="1064" spans="1:14" ht="21" customHeight="1">
      <c r="A1064" s="9" t="s">
        <v>1331</v>
      </c>
      <c r="B1064" s="48"/>
      <c r="C1064" s="48"/>
      <c r="D1064" s="10" t="s">
        <v>36</v>
      </c>
      <c r="E1064" s="10" t="s">
        <v>1329</v>
      </c>
      <c r="F1064" s="10" t="s">
        <v>265</v>
      </c>
      <c r="G1064" s="10" t="s">
        <v>1255</v>
      </c>
      <c r="H1064" s="11" t="str">
        <f>IF(AND(B1064="",C1064=""),"CUSTOM BLANK",IF(OR(B1064="",C1064=""),"ERROR - ENTER BOTH",IF(OR(B1064&lt;=0,C1064&lt;=0),"ERROR - NONPOSITIVE",IF(OR(B1064&lt;&gt;ROUNDDOWN(B1064,0),C1064&lt;&gt;ROUNDDOWN(C1064,0)),"ERROR - WHOLE MM ONLY",IF(OR(B1064&lt;'01-Process Controls'!$G$8,C1064&lt;'01-Process Controls'!$G$8),"ERROR - BELOW MIN",IF(NOT(OR(AND(B1064&lt;='01-Process Controls'!$D$8,C1064&lt;='01-Process Controls'!$E$8),AND(B1064&lt;='01-Process Controls'!$E$8,C1064&lt;='01-Process Controls'!$D$8))),"ERROR - EXCEEDS BED",IF(COUNTIFS($B$1063:B1063,B1064,$C$1063:C1063,C1064)&gt;0,"VALID - DUPLICATE SIZE",IF(OR(AND(B1064&lt;='01-Process Controls'!$D$8-2*'01-Process Controls'!$H$8,C1064&lt;='01-Process Controls'!$E$8-2*'01-Process Controls'!$H$8),AND(B1064&lt;='01-Process Controls'!$E$8-2*'01-Process Controls'!$H$8,C1064&lt;='01-Process Controls'!$D$8-2*'01-Process Controls'!$H$8)),"VALID - CUSTOM SAFE","VALID - CUSTOM NOMINAL EDGE"))))))))</f>
        <v>CUSTOM BLANK</v>
      </c>
      <c r="I1064" s="10" t="s">
        <v>1330</v>
      </c>
      <c r="J1064" s="12"/>
      <c r="K1064" s="12"/>
      <c r="L1064" s="12"/>
      <c r="M1064" s="12"/>
      <c r="N1064" s="12"/>
    </row>
    <row r="1065" spans="1:14" ht="21" customHeight="1">
      <c r="A1065" s="9" t="s">
        <v>1332</v>
      </c>
      <c r="B1065" s="48"/>
      <c r="C1065" s="48"/>
      <c r="D1065" s="10" t="s">
        <v>36</v>
      </c>
      <c r="E1065" s="10" t="s">
        <v>1329</v>
      </c>
      <c r="F1065" s="10" t="s">
        <v>265</v>
      </c>
      <c r="G1065" s="10" t="s">
        <v>1255</v>
      </c>
      <c r="H1065" s="11" t="str">
        <f>IF(AND(B1065="",C1065=""),"CUSTOM BLANK",IF(OR(B1065="",C1065=""),"ERROR - ENTER BOTH",IF(OR(B1065&lt;=0,C1065&lt;=0),"ERROR - NONPOSITIVE",IF(OR(B1065&lt;&gt;ROUNDDOWN(B1065,0),C1065&lt;&gt;ROUNDDOWN(C1065,0)),"ERROR - WHOLE MM ONLY",IF(OR(B1065&lt;'01-Process Controls'!$G$8,C1065&lt;'01-Process Controls'!$G$8),"ERROR - BELOW MIN",IF(NOT(OR(AND(B1065&lt;='01-Process Controls'!$D$8,C1065&lt;='01-Process Controls'!$E$8),AND(B1065&lt;='01-Process Controls'!$E$8,C1065&lt;='01-Process Controls'!$D$8))),"ERROR - EXCEEDS BED",IF(COUNTIFS($B$1063:B1064,B1065,$C$1063:C1064,C1065)&gt;0,"VALID - DUPLICATE SIZE",IF(OR(AND(B1065&lt;='01-Process Controls'!$D$8-2*'01-Process Controls'!$H$8,C1065&lt;='01-Process Controls'!$E$8-2*'01-Process Controls'!$H$8),AND(B1065&lt;='01-Process Controls'!$E$8-2*'01-Process Controls'!$H$8,C1065&lt;='01-Process Controls'!$D$8-2*'01-Process Controls'!$H$8)),"VALID - CUSTOM SAFE","VALID - CUSTOM NOMINAL EDGE"))))))))</f>
        <v>CUSTOM BLANK</v>
      </c>
      <c r="I1065" s="10" t="s">
        <v>1330</v>
      </c>
      <c r="J1065" s="12"/>
      <c r="K1065" s="12"/>
      <c r="L1065" s="12"/>
      <c r="M1065" s="12"/>
      <c r="N1065" s="12"/>
    </row>
    <row r="1066" spans="1:14" ht="21" customHeight="1">
      <c r="A1066" s="9" t="s">
        <v>1333</v>
      </c>
      <c r="B1066" s="48"/>
      <c r="C1066" s="48"/>
      <c r="D1066" s="10" t="s">
        <v>36</v>
      </c>
      <c r="E1066" s="10" t="s">
        <v>1329</v>
      </c>
      <c r="F1066" s="10" t="s">
        <v>265</v>
      </c>
      <c r="G1066" s="10" t="s">
        <v>1255</v>
      </c>
      <c r="H1066" s="11" t="str">
        <f>IF(AND(B1066="",C1066=""),"CUSTOM BLANK",IF(OR(B1066="",C1066=""),"ERROR - ENTER BOTH",IF(OR(B1066&lt;=0,C1066&lt;=0),"ERROR - NONPOSITIVE",IF(OR(B1066&lt;&gt;ROUNDDOWN(B1066,0),C1066&lt;&gt;ROUNDDOWN(C1066,0)),"ERROR - WHOLE MM ONLY",IF(OR(B1066&lt;'01-Process Controls'!$G$8,C1066&lt;'01-Process Controls'!$G$8),"ERROR - BELOW MIN",IF(NOT(OR(AND(B1066&lt;='01-Process Controls'!$D$8,C1066&lt;='01-Process Controls'!$E$8),AND(B1066&lt;='01-Process Controls'!$E$8,C1066&lt;='01-Process Controls'!$D$8))),"ERROR - EXCEEDS BED",IF(COUNTIFS($B$1063:B1065,B1066,$C$1063:C1065,C1066)&gt;0,"VALID - DUPLICATE SIZE",IF(OR(AND(B1066&lt;='01-Process Controls'!$D$8-2*'01-Process Controls'!$H$8,C1066&lt;='01-Process Controls'!$E$8-2*'01-Process Controls'!$H$8),AND(B1066&lt;='01-Process Controls'!$E$8-2*'01-Process Controls'!$H$8,C1066&lt;='01-Process Controls'!$D$8-2*'01-Process Controls'!$H$8)),"VALID - CUSTOM SAFE","VALID - CUSTOM NOMINAL EDGE"))))))))</f>
        <v>CUSTOM BLANK</v>
      </c>
      <c r="I1066" s="10" t="s">
        <v>1330</v>
      </c>
      <c r="J1066" s="12"/>
      <c r="K1066" s="12"/>
      <c r="L1066" s="12"/>
      <c r="M1066" s="12"/>
      <c r="N1066" s="12"/>
    </row>
    <row r="1067" spans="1:14" ht="21" customHeight="1">
      <c r="A1067" s="9" t="s">
        <v>1334</v>
      </c>
      <c r="B1067" s="48"/>
      <c r="C1067" s="48"/>
      <c r="D1067" s="10" t="s">
        <v>36</v>
      </c>
      <c r="E1067" s="10" t="s">
        <v>1329</v>
      </c>
      <c r="F1067" s="10" t="s">
        <v>265</v>
      </c>
      <c r="G1067" s="10" t="s">
        <v>1255</v>
      </c>
      <c r="H1067" s="11" t="str">
        <f>IF(AND(B1067="",C1067=""),"CUSTOM BLANK",IF(OR(B1067="",C1067=""),"ERROR - ENTER BOTH",IF(OR(B1067&lt;=0,C1067&lt;=0),"ERROR - NONPOSITIVE",IF(OR(B1067&lt;&gt;ROUNDDOWN(B1067,0),C1067&lt;&gt;ROUNDDOWN(C1067,0)),"ERROR - WHOLE MM ONLY",IF(OR(B1067&lt;'01-Process Controls'!$G$8,C1067&lt;'01-Process Controls'!$G$8),"ERROR - BELOW MIN",IF(NOT(OR(AND(B1067&lt;='01-Process Controls'!$D$8,C1067&lt;='01-Process Controls'!$E$8),AND(B1067&lt;='01-Process Controls'!$E$8,C1067&lt;='01-Process Controls'!$D$8))),"ERROR - EXCEEDS BED",IF(COUNTIFS($B$1063:B1066,B1067,$C$1063:C1066,C1067)&gt;0,"VALID - DUPLICATE SIZE",IF(OR(AND(B1067&lt;='01-Process Controls'!$D$8-2*'01-Process Controls'!$H$8,C1067&lt;='01-Process Controls'!$E$8-2*'01-Process Controls'!$H$8),AND(B1067&lt;='01-Process Controls'!$E$8-2*'01-Process Controls'!$H$8,C1067&lt;='01-Process Controls'!$D$8-2*'01-Process Controls'!$H$8)),"VALID - CUSTOM SAFE","VALID - CUSTOM NOMINAL EDGE"))))))))</f>
        <v>CUSTOM BLANK</v>
      </c>
      <c r="I1067" s="10" t="s">
        <v>1330</v>
      </c>
      <c r="J1067" s="12"/>
      <c r="K1067" s="12"/>
      <c r="L1067" s="12"/>
      <c r="M1067" s="12"/>
      <c r="N1067" s="12"/>
    </row>
    <row r="1068" spans="1:14" ht="21" customHeight="1">
      <c r="A1068" s="9" t="s">
        <v>1335</v>
      </c>
      <c r="B1068" s="48"/>
      <c r="C1068" s="48"/>
      <c r="D1068" s="10" t="s">
        <v>36</v>
      </c>
      <c r="E1068" s="10" t="s">
        <v>1329</v>
      </c>
      <c r="F1068" s="10" t="s">
        <v>265</v>
      </c>
      <c r="G1068" s="10" t="s">
        <v>1255</v>
      </c>
      <c r="H1068" s="11" t="str">
        <f>IF(AND(B1068="",C1068=""),"CUSTOM BLANK",IF(OR(B1068="",C1068=""),"ERROR - ENTER BOTH",IF(OR(B1068&lt;=0,C1068&lt;=0),"ERROR - NONPOSITIVE",IF(OR(B1068&lt;&gt;ROUNDDOWN(B1068,0),C1068&lt;&gt;ROUNDDOWN(C1068,0)),"ERROR - WHOLE MM ONLY",IF(OR(B1068&lt;'01-Process Controls'!$G$8,C1068&lt;'01-Process Controls'!$G$8),"ERROR - BELOW MIN",IF(NOT(OR(AND(B1068&lt;='01-Process Controls'!$D$8,C1068&lt;='01-Process Controls'!$E$8),AND(B1068&lt;='01-Process Controls'!$E$8,C1068&lt;='01-Process Controls'!$D$8))),"ERROR - EXCEEDS BED",IF(COUNTIFS($B$1063:B1067,B1068,$C$1063:C1067,C1068)&gt;0,"VALID - DUPLICATE SIZE",IF(OR(AND(B1068&lt;='01-Process Controls'!$D$8-2*'01-Process Controls'!$H$8,C1068&lt;='01-Process Controls'!$E$8-2*'01-Process Controls'!$H$8),AND(B1068&lt;='01-Process Controls'!$E$8-2*'01-Process Controls'!$H$8,C1068&lt;='01-Process Controls'!$D$8-2*'01-Process Controls'!$H$8)),"VALID - CUSTOM SAFE","VALID - CUSTOM NOMINAL EDGE"))))))))</f>
        <v>CUSTOM BLANK</v>
      </c>
      <c r="I1068" s="10" t="s">
        <v>1330</v>
      </c>
      <c r="J1068" s="12"/>
      <c r="K1068" s="12"/>
      <c r="L1068" s="12"/>
      <c r="M1068" s="12"/>
      <c r="N1068" s="12"/>
    </row>
    <row r="1069" spans="1:14" ht="21" customHeight="1">
      <c r="A1069" s="9" t="s">
        <v>1336</v>
      </c>
      <c r="B1069" s="48"/>
      <c r="C1069" s="48"/>
      <c r="D1069" s="10" t="s">
        <v>36</v>
      </c>
      <c r="E1069" s="10" t="s">
        <v>1329</v>
      </c>
      <c r="F1069" s="10" t="s">
        <v>265</v>
      </c>
      <c r="G1069" s="10" t="s">
        <v>1255</v>
      </c>
      <c r="H1069" s="11" t="str">
        <f>IF(AND(B1069="",C1069=""),"CUSTOM BLANK",IF(OR(B1069="",C1069=""),"ERROR - ENTER BOTH",IF(OR(B1069&lt;=0,C1069&lt;=0),"ERROR - NONPOSITIVE",IF(OR(B1069&lt;&gt;ROUNDDOWN(B1069,0),C1069&lt;&gt;ROUNDDOWN(C1069,0)),"ERROR - WHOLE MM ONLY",IF(OR(B1069&lt;'01-Process Controls'!$G$8,C1069&lt;'01-Process Controls'!$G$8),"ERROR - BELOW MIN",IF(NOT(OR(AND(B1069&lt;='01-Process Controls'!$D$8,C1069&lt;='01-Process Controls'!$E$8),AND(B1069&lt;='01-Process Controls'!$E$8,C1069&lt;='01-Process Controls'!$D$8))),"ERROR - EXCEEDS BED",IF(COUNTIFS($B$1063:B1068,B1069,$C$1063:C1068,C1069)&gt;0,"VALID - DUPLICATE SIZE",IF(OR(AND(B1069&lt;='01-Process Controls'!$D$8-2*'01-Process Controls'!$H$8,C1069&lt;='01-Process Controls'!$E$8-2*'01-Process Controls'!$H$8),AND(B1069&lt;='01-Process Controls'!$E$8-2*'01-Process Controls'!$H$8,C1069&lt;='01-Process Controls'!$D$8-2*'01-Process Controls'!$H$8)),"VALID - CUSTOM SAFE","VALID - CUSTOM NOMINAL EDGE"))))))))</f>
        <v>CUSTOM BLANK</v>
      </c>
      <c r="I1069" s="10" t="s">
        <v>1330</v>
      </c>
      <c r="J1069" s="12"/>
      <c r="K1069" s="12"/>
      <c r="L1069" s="12"/>
      <c r="M1069" s="12"/>
      <c r="N1069" s="12"/>
    </row>
    <row r="1070" spans="1:14" ht="21" customHeight="1">
      <c r="A1070" s="9" t="s">
        <v>1337</v>
      </c>
      <c r="B1070" s="48"/>
      <c r="C1070" s="48"/>
      <c r="D1070" s="10" t="s">
        <v>36</v>
      </c>
      <c r="E1070" s="10" t="s">
        <v>1329</v>
      </c>
      <c r="F1070" s="10" t="s">
        <v>265</v>
      </c>
      <c r="G1070" s="10" t="s">
        <v>1255</v>
      </c>
      <c r="H1070" s="11" t="str">
        <f>IF(AND(B1070="",C1070=""),"CUSTOM BLANK",IF(OR(B1070="",C1070=""),"ERROR - ENTER BOTH",IF(OR(B1070&lt;=0,C1070&lt;=0),"ERROR - NONPOSITIVE",IF(OR(B1070&lt;&gt;ROUNDDOWN(B1070,0),C1070&lt;&gt;ROUNDDOWN(C1070,0)),"ERROR - WHOLE MM ONLY",IF(OR(B1070&lt;'01-Process Controls'!$G$8,C1070&lt;'01-Process Controls'!$G$8),"ERROR - BELOW MIN",IF(NOT(OR(AND(B1070&lt;='01-Process Controls'!$D$8,C1070&lt;='01-Process Controls'!$E$8),AND(B1070&lt;='01-Process Controls'!$E$8,C1070&lt;='01-Process Controls'!$D$8))),"ERROR - EXCEEDS BED",IF(COUNTIFS($B$1063:B1069,B1070,$C$1063:C1069,C1070)&gt;0,"VALID - DUPLICATE SIZE",IF(OR(AND(B1070&lt;='01-Process Controls'!$D$8-2*'01-Process Controls'!$H$8,C1070&lt;='01-Process Controls'!$E$8-2*'01-Process Controls'!$H$8),AND(B1070&lt;='01-Process Controls'!$E$8-2*'01-Process Controls'!$H$8,C1070&lt;='01-Process Controls'!$D$8-2*'01-Process Controls'!$H$8)),"VALID - CUSTOM SAFE","VALID - CUSTOM NOMINAL EDGE"))))))))</f>
        <v>CUSTOM BLANK</v>
      </c>
      <c r="I1070" s="10" t="s">
        <v>1330</v>
      </c>
      <c r="J1070" s="12"/>
      <c r="K1070" s="12"/>
      <c r="L1070" s="12"/>
      <c r="M1070" s="12"/>
      <c r="N1070" s="12"/>
    </row>
    <row r="1071" spans="1:14" ht="21" customHeight="1">
      <c r="A1071" s="9" t="s">
        <v>1338</v>
      </c>
      <c r="B1071" s="48"/>
      <c r="C1071" s="48"/>
      <c r="D1071" s="10" t="s">
        <v>36</v>
      </c>
      <c r="E1071" s="10" t="s">
        <v>1329</v>
      </c>
      <c r="F1071" s="10" t="s">
        <v>265</v>
      </c>
      <c r="G1071" s="10" t="s">
        <v>1255</v>
      </c>
      <c r="H1071" s="11" t="str">
        <f>IF(AND(B1071="",C1071=""),"CUSTOM BLANK",IF(OR(B1071="",C1071=""),"ERROR - ENTER BOTH",IF(OR(B1071&lt;=0,C1071&lt;=0),"ERROR - NONPOSITIVE",IF(OR(B1071&lt;&gt;ROUNDDOWN(B1071,0),C1071&lt;&gt;ROUNDDOWN(C1071,0)),"ERROR - WHOLE MM ONLY",IF(OR(B1071&lt;'01-Process Controls'!$G$8,C1071&lt;'01-Process Controls'!$G$8),"ERROR - BELOW MIN",IF(NOT(OR(AND(B1071&lt;='01-Process Controls'!$D$8,C1071&lt;='01-Process Controls'!$E$8),AND(B1071&lt;='01-Process Controls'!$E$8,C1071&lt;='01-Process Controls'!$D$8))),"ERROR - EXCEEDS BED",IF(COUNTIFS($B$1063:B1070,B1071,$C$1063:C1070,C1071)&gt;0,"VALID - DUPLICATE SIZE",IF(OR(AND(B1071&lt;='01-Process Controls'!$D$8-2*'01-Process Controls'!$H$8,C1071&lt;='01-Process Controls'!$E$8-2*'01-Process Controls'!$H$8),AND(B1071&lt;='01-Process Controls'!$E$8-2*'01-Process Controls'!$H$8,C1071&lt;='01-Process Controls'!$D$8-2*'01-Process Controls'!$H$8)),"VALID - CUSTOM SAFE","VALID - CUSTOM NOMINAL EDGE"))))))))</f>
        <v>CUSTOM BLANK</v>
      </c>
      <c r="I1071" s="10" t="s">
        <v>1330</v>
      </c>
      <c r="J1071" s="12"/>
      <c r="K1071" s="12"/>
      <c r="L1071" s="12"/>
      <c r="M1071" s="12"/>
      <c r="N1071" s="12"/>
    </row>
    <row r="1072" spans="1:14" ht="21" customHeight="1">
      <c r="A1072" s="9" t="s">
        <v>1339</v>
      </c>
      <c r="B1072" s="48"/>
      <c r="C1072" s="48"/>
      <c r="D1072" s="10" t="s">
        <v>36</v>
      </c>
      <c r="E1072" s="10" t="s">
        <v>1329</v>
      </c>
      <c r="F1072" s="10" t="s">
        <v>265</v>
      </c>
      <c r="G1072" s="10" t="s">
        <v>1255</v>
      </c>
      <c r="H1072" s="11" t="str">
        <f>IF(AND(B1072="",C1072=""),"CUSTOM BLANK",IF(OR(B1072="",C1072=""),"ERROR - ENTER BOTH",IF(OR(B1072&lt;=0,C1072&lt;=0),"ERROR - NONPOSITIVE",IF(OR(B1072&lt;&gt;ROUNDDOWN(B1072,0),C1072&lt;&gt;ROUNDDOWN(C1072,0)),"ERROR - WHOLE MM ONLY",IF(OR(B1072&lt;'01-Process Controls'!$G$8,C1072&lt;'01-Process Controls'!$G$8),"ERROR - BELOW MIN",IF(NOT(OR(AND(B1072&lt;='01-Process Controls'!$D$8,C1072&lt;='01-Process Controls'!$E$8),AND(B1072&lt;='01-Process Controls'!$E$8,C1072&lt;='01-Process Controls'!$D$8))),"ERROR - EXCEEDS BED",IF(COUNTIFS($B$1063:B1071,B1072,$C$1063:C1071,C1072)&gt;0,"VALID - DUPLICATE SIZE",IF(OR(AND(B1072&lt;='01-Process Controls'!$D$8-2*'01-Process Controls'!$H$8,C1072&lt;='01-Process Controls'!$E$8-2*'01-Process Controls'!$H$8),AND(B1072&lt;='01-Process Controls'!$E$8-2*'01-Process Controls'!$H$8,C1072&lt;='01-Process Controls'!$D$8-2*'01-Process Controls'!$H$8)),"VALID - CUSTOM SAFE","VALID - CUSTOM NOMINAL EDGE"))))))))</f>
        <v>CUSTOM BLANK</v>
      </c>
      <c r="I1072" s="10" t="s">
        <v>1330</v>
      </c>
      <c r="J1072" s="12"/>
      <c r="K1072" s="12"/>
      <c r="L1072" s="12"/>
      <c r="M1072" s="12"/>
      <c r="N1072" s="12"/>
    </row>
    <row r="1073" spans="1:14" ht="21" customHeight="1">
      <c r="A1073" s="9" t="s">
        <v>1340</v>
      </c>
      <c r="B1073" s="48"/>
      <c r="C1073" s="48"/>
      <c r="D1073" s="10" t="s">
        <v>36</v>
      </c>
      <c r="E1073" s="10" t="s">
        <v>1329</v>
      </c>
      <c r="F1073" s="10" t="s">
        <v>265</v>
      </c>
      <c r="G1073" s="10" t="s">
        <v>1255</v>
      </c>
      <c r="H1073" s="11" t="str">
        <f>IF(AND(B1073="",C1073=""),"CUSTOM BLANK",IF(OR(B1073="",C1073=""),"ERROR - ENTER BOTH",IF(OR(B1073&lt;=0,C1073&lt;=0),"ERROR - NONPOSITIVE",IF(OR(B1073&lt;&gt;ROUNDDOWN(B1073,0),C1073&lt;&gt;ROUNDDOWN(C1073,0)),"ERROR - WHOLE MM ONLY",IF(OR(B1073&lt;'01-Process Controls'!$G$8,C1073&lt;'01-Process Controls'!$G$8),"ERROR - BELOW MIN",IF(NOT(OR(AND(B1073&lt;='01-Process Controls'!$D$8,C1073&lt;='01-Process Controls'!$E$8),AND(B1073&lt;='01-Process Controls'!$E$8,C1073&lt;='01-Process Controls'!$D$8))),"ERROR - EXCEEDS BED",IF(COUNTIFS($B$1063:B1072,B1073,$C$1063:C1072,C1073)&gt;0,"VALID - DUPLICATE SIZE",IF(OR(AND(B1073&lt;='01-Process Controls'!$D$8-2*'01-Process Controls'!$H$8,C1073&lt;='01-Process Controls'!$E$8-2*'01-Process Controls'!$H$8),AND(B1073&lt;='01-Process Controls'!$E$8-2*'01-Process Controls'!$H$8,C1073&lt;='01-Process Controls'!$D$8-2*'01-Process Controls'!$H$8)),"VALID - CUSTOM SAFE","VALID - CUSTOM NOMINAL EDGE"))))))))</f>
        <v>CUSTOM BLANK</v>
      </c>
      <c r="I1073" s="10" t="s">
        <v>1330</v>
      </c>
      <c r="J1073" s="12"/>
      <c r="K1073" s="12"/>
      <c r="L1073" s="12"/>
      <c r="M1073" s="12"/>
      <c r="N1073" s="12"/>
    </row>
    <row r="1074" spans="1:14" ht="21" customHeight="1">
      <c r="A1074" s="9" t="s">
        <v>1341</v>
      </c>
      <c r="B1074" s="48"/>
      <c r="C1074" s="48"/>
      <c r="D1074" s="10" t="s">
        <v>36</v>
      </c>
      <c r="E1074" s="10" t="s">
        <v>1329</v>
      </c>
      <c r="F1074" s="10" t="s">
        <v>265</v>
      </c>
      <c r="G1074" s="10" t="s">
        <v>1255</v>
      </c>
      <c r="H1074" s="11" t="str">
        <f>IF(AND(B1074="",C1074=""),"CUSTOM BLANK",IF(OR(B1074="",C1074=""),"ERROR - ENTER BOTH",IF(OR(B1074&lt;=0,C1074&lt;=0),"ERROR - NONPOSITIVE",IF(OR(B1074&lt;&gt;ROUNDDOWN(B1074,0),C1074&lt;&gt;ROUNDDOWN(C1074,0)),"ERROR - WHOLE MM ONLY",IF(OR(B1074&lt;'01-Process Controls'!$G$8,C1074&lt;'01-Process Controls'!$G$8),"ERROR - BELOW MIN",IF(NOT(OR(AND(B1074&lt;='01-Process Controls'!$D$8,C1074&lt;='01-Process Controls'!$E$8),AND(B1074&lt;='01-Process Controls'!$E$8,C1074&lt;='01-Process Controls'!$D$8))),"ERROR - EXCEEDS BED",IF(COUNTIFS($B$1063:B1073,B1074,$C$1063:C1073,C1074)&gt;0,"VALID - DUPLICATE SIZE",IF(OR(AND(B1074&lt;='01-Process Controls'!$D$8-2*'01-Process Controls'!$H$8,C1074&lt;='01-Process Controls'!$E$8-2*'01-Process Controls'!$H$8),AND(B1074&lt;='01-Process Controls'!$E$8-2*'01-Process Controls'!$H$8,C1074&lt;='01-Process Controls'!$D$8-2*'01-Process Controls'!$H$8)),"VALID - CUSTOM SAFE","VALID - CUSTOM NOMINAL EDGE"))))))))</f>
        <v>CUSTOM BLANK</v>
      </c>
      <c r="I1074" s="10" t="s">
        <v>1330</v>
      </c>
      <c r="J1074" s="12"/>
      <c r="K1074" s="12"/>
      <c r="L1074" s="12"/>
      <c r="M1074" s="12"/>
      <c r="N1074" s="12"/>
    </row>
    <row r="1075" spans="1:14" ht="21" customHeight="1">
      <c r="A1075" s="9" t="s">
        <v>1342</v>
      </c>
      <c r="B1075" s="48"/>
      <c r="C1075" s="48"/>
      <c r="D1075" s="10" t="s">
        <v>36</v>
      </c>
      <c r="E1075" s="10" t="s">
        <v>1329</v>
      </c>
      <c r="F1075" s="10" t="s">
        <v>265</v>
      </c>
      <c r="G1075" s="10" t="s">
        <v>1255</v>
      </c>
      <c r="H1075" s="11" t="str">
        <f>IF(AND(B1075="",C1075=""),"CUSTOM BLANK",IF(OR(B1075="",C1075=""),"ERROR - ENTER BOTH",IF(OR(B1075&lt;=0,C1075&lt;=0),"ERROR - NONPOSITIVE",IF(OR(B1075&lt;&gt;ROUNDDOWN(B1075,0),C1075&lt;&gt;ROUNDDOWN(C1075,0)),"ERROR - WHOLE MM ONLY",IF(OR(B1075&lt;'01-Process Controls'!$G$8,C1075&lt;'01-Process Controls'!$G$8),"ERROR - BELOW MIN",IF(NOT(OR(AND(B1075&lt;='01-Process Controls'!$D$8,C1075&lt;='01-Process Controls'!$E$8),AND(B1075&lt;='01-Process Controls'!$E$8,C1075&lt;='01-Process Controls'!$D$8))),"ERROR - EXCEEDS BED",IF(COUNTIFS($B$1063:B1074,B1075,$C$1063:C1074,C1075)&gt;0,"VALID - DUPLICATE SIZE",IF(OR(AND(B1075&lt;='01-Process Controls'!$D$8-2*'01-Process Controls'!$H$8,C1075&lt;='01-Process Controls'!$E$8-2*'01-Process Controls'!$H$8),AND(B1075&lt;='01-Process Controls'!$E$8-2*'01-Process Controls'!$H$8,C1075&lt;='01-Process Controls'!$D$8-2*'01-Process Controls'!$H$8)),"VALID - CUSTOM SAFE","VALID - CUSTOM NOMINAL EDGE"))))))))</f>
        <v>CUSTOM BLANK</v>
      </c>
      <c r="I1075" s="10" t="s">
        <v>1330</v>
      </c>
      <c r="J1075" s="12"/>
      <c r="K1075" s="12"/>
      <c r="L1075" s="12"/>
      <c r="M1075" s="12"/>
      <c r="N1075" s="12"/>
    </row>
    <row r="1076" spans="1:14" ht="21" customHeight="1">
      <c r="A1076" s="9" t="s">
        <v>1343</v>
      </c>
      <c r="B1076" s="48"/>
      <c r="C1076" s="48"/>
      <c r="D1076" s="10" t="s">
        <v>36</v>
      </c>
      <c r="E1076" s="10" t="s">
        <v>1329</v>
      </c>
      <c r="F1076" s="10" t="s">
        <v>265</v>
      </c>
      <c r="G1076" s="10" t="s">
        <v>1255</v>
      </c>
      <c r="H1076" s="11" t="str">
        <f>IF(AND(B1076="",C1076=""),"CUSTOM BLANK",IF(OR(B1076="",C1076=""),"ERROR - ENTER BOTH",IF(OR(B1076&lt;=0,C1076&lt;=0),"ERROR - NONPOSITIVE",IF(OR(B1076&lt;&gt;ROUNDDOWN(B1076,0),C1076&lt;&gt;ROUNDDOWN(C1076,0)),"ERROR - WHOLE MM ONLY",IF(OR(B1076&lt;'01-Process Controls'!$G$8,C1076&lt;'01-Process Controls'!$G$8),"ERROR - BELOW MIN",IF(NOT(OR(AND(B1076&lt;='01-Process Controls'!$D$8,C1076&lt;='01-Process Controls'!$E$8),AND(B1076&lt;='01-Process Controls'!$E$8,C1076&lt;='01-Process Controls'!$D$8))),"ERROR - EXCEEDS BED",IF(COUNTIFS($B$1063:B1075,B1076,$C$1063:C1075,C1076)&gt;0,"VALID - DUPLICATE SIZE",IF(OR(AND(B1076&lt;='01-Process Controls'!$D$8-2*'01-Process Controls'!$H$8,C1076&lt;='01-Process Controls'!$E$8-2*'01-Process Controls'!$H$8),AND(B1076&lt;='01-Process Controls'!$E$8-2*'01-Process Controls'!$H$8,C1076&lt;='01-Process Controls'!$D$8-2*'01-Process Controls'!$H$8)),"VALID - CUSTOM SAFE","VALID - CUSTOM NOMINAL EDGE"))))))))</f>
        <v>CUSTOM BLANK</v>
      </c>
      <c r="I1076" s="10" t="s">
        <v>1330</v>
      </c>
      <c r="J1076" s="12"/>
      <c r="K1076" s="12"/>
      <c r="L1076" s="12"/>
      <c r="M1076" s="12"/>
      <c r="N1076" s="12"/>
    </row>
    <row r="1077" spans="1:14" ht="21" customHeight="1">
      <c r="A1077" s="9" t="s">
        <v>1344</v>
      </c>
      <c r="B1077" s="48"/>
      <c r="C1077" s="48"/>
      <c r="D1077" s="10" t="s">
        <v>36</v>
      </c>
      <c r="E1077" s="10" t="s">
        <v>1329</v>
      </c>
      <c r="F1077" s="10" t="s">
        <v>265</v>
      </c>
      <c r="G1077" s="10" t="s">
        <v>1255</v>
      </c>
      <c r="H1077" s="11" t="str">
        <f>IF(AND(B1077="",C1077=""),"CUSTOM BLANK",IF(OR(B1077="",C1077=""),"ERROR - ENTER BOTH",IF(OR(B1077&lt;=0,C1077&lt;=0),"ERROR - NONPOSITIVE",IF(OR(B1077&lt;&gt;ROUNDDOWN(B1077,0),C1077&lt;&gt;ROUNDDOWN(C1077,0)),"ERROR - WHOLE MM ONLY",IF(OR(B1077&lt;'01-Process Controls'!$G$8,C1077&lt;'01-Process Controls'!$G$8),"ERROR - BELOW MIN",IF(NOT(OR(AND(B1077&lt;='01-Process Controls'!$D$8,C1077&lt;='01-Process Controls'!$E$8),AND(B1077&lt;='01-Process Controls'!$E$8,C1077&lt;='01-Process Controls'!$D$8))),"ERROR - EXCEEDS BED",IF(COUNTIFS($B$1063:B1076,B1077,$C$1063:C1076,C1077)&gt;0,"VALID - DUPLICATE SIZE",IF(OR(AND(B1077&lt;='01-Process Controls'!$D$8-2*'01-Process Controls'!$H$8,C1077&lt;='01-Process Controls'!$E$8-2*'01-Process Controls'!$H$8),AND(B1077&lt;='01-Process Controls'!$E$8-2*'01-Process Controls'!$H$8,C1077&lt;='01-Process Controls'!$D$8-2*'01-Process Controls'!$H$8)),"VALID - CUSTOM SAFE","VALID - CUSTOM NOMINAL EDGE"))))))))</f>
        <v>CUSTOM BLANK</v>
      </c>
      <c r="I1077" s="10" t="s">
        <v>1330</v>
      </c>
      <c r="J1077" s="12"/>
      <c r="K1077" s="12"/>
      <c r="L1077" s="12"/>
      <c r="M1077" s="12"/>
      <c r="N1077" s="12"/>
    </row>
    <row r="1078" spans="1:14" ht="21" customHeight="1">
      <c r="A1078" s="44" t="s">
        <v>1345</v>
      </c>
      <c r="B1078" s="54">
        <v>300</v>
      </c>
      <c r="C1078" s="54">
        <v>255</v>
      </c>
      <c r="D1078" s="46" t="s">
        <v>47</v>
      </c>
      <c r="E1078" s="46" t="s">
        <v>1346</v>
      </c>
      <c r="F1078" s="46" t="s">
        <v>265</v>
      </c>
      <c r="G1078" s="46" t="s">
        <v>1347</v>
      </c>
      <c r="H1078" s="47" t="str">
        <f>IF(AND(B1078="",C1078=""),"CUSTOM BLANK",IF(OR(B1078="",C1078=""),"ERROR - ENTER BOTH",IF(OR(B1078&lt;=0,C1078&lt;=0),"ERROR - NONPOSITIVE",IF(OR(B1078&lt;'01-Process Controls'!$G$10,C1078&lt;'01-Process Controls'!$G$10),"ERROR - BELOW MIN",IF(FALSE,"VALID - DUPLICATE SIZE","VALID - CUSTOM")))))</f>
        <v>VALID - CUSTOM</v>
      </c>
      <c r="I1078" s="46" t="s">
        <v>1348</v>
      </c>
      <c r="J1078" s="8"/>
      <c r="K1078" s="8"/>
      <c r="L1078" s="8"/>
      <c r="M1078" s="8"/>
      <c r="N1078" s="8"/>
    </row>
    <row r="1079" spans="1:14" ht="21" customHeight="1">
      <c r="A1079" s="9" t="s">
        <v>1349</v>
      </c>
      <c r="B1079" s="48">
        <v>200</v>
      </c>
      <c r="C1079" s="48">
        <v>163</v>
      </c>
      <c r="D1079" s="10" t="s">
        <v>47</v>
      </c>
      <c r="E1079" s="10" t="s">
        <v>1346</v>
      </c>
      <c r="F1079" s="10" t="s">
        <v>265</v>
      </c>
      <c r="G1079" s="10" t="s">
        <v>1347</v>
      </c>
      <c r="H1079" s="11" t="str">
        <f>IF(AND(B1079="",C1079=""),"CUSTOM BLANK",IF(OR(B1079="",C1079=""),"ERROR - ENTER BOTH",IF(OR(B1079&lt;=0,C1079&lt;=0),"ERROR - NONPOSITIVE",IF(OR(B1079&lt;'01-Process Controls'!$G$10,C1079&lt;'01-Process Controls'!$G$10),"ERROR - BELOW MIN",IF(COUNTIFS($B$1078:B1078,B1079,$C$1078:C1078,C1079)&gt;0,"VALID - DUPLICATE SIZE","VALID - CUSTOM")))))</f>
        <v>VALID - CUSTOM</v>
      </c>
      <c r="I1079" s="10" t="s">
        <v>1348</v>
      </c>
      <c r="J1079" s="8"/>
      <c r="K1079" s="8"/>
      <c r="L1079" s="8"/>
      <c r="M1079" s="8"/>
      <c r="N1079" s="8"/>
    </row>
    <row r="1080" spans="1:14" ht="21" customHeight="1">
      <c r="A1080" s="9" t="s">
        <v>1350</v>
      </c>
      <c r="B1080" s="48">
        <v>150</v>
      </c>
      <c r="C1080" s="48">
        <v>165</v>
      </c>
      <c r="D1080" s="10" t="s">
        <v>47</v>
      </c>
      <c r="E1080" s="10" t="s">
        <v>1346</v>
      </c>
      <c r="F1080" s="10" t="s">
        <v>265</v>
      </c>
      <c r="G1080" s="10" t="s">
        <v>1347</v>
      </c>
      <c r="H1080" s="11" t="str">
        <f>IF(AND(B1080="",C1080=""),"CUSTOM BLANK",IF(OR(B1080="",C1080=""),"ERROR - ENTER BOTH",IF(OR(B1080&lt;=0,C1080&lt;=0),"ERROR - NONPOSITIVE",IF(OR(B1080&lt;'01-Process Controls'!$G$10,C1080&lt;'01-Process Controls'!$G$10),"ERROR - BELOW MIN",IF(COUNTIFS($B$1078:B1079,B1080,$C$1078:C1079,C1080)&gt;0,"VALID - DUPLICATE SIZE","VALID - CUSTOM")))))</f>
        <v>VALID - CUSTOM</v>
      </c>
      <c r="I1080" s="10" t="s">
        <v>1348</v>
      </c>
      <c r="J1080" s="8"/>
      <c r="K1080" s="8"/>
      <c r="L1080" s="8"/>
      <c r="M1080" s="8"/>
      <c r="N1080" s="8"/>
    </row>
    <row r="1081" spans="1:14" ht="21" customHeight="1">
      <c r="A1081" s="9" t="s">
        <v>1351</v>
      </c>
      <c r="B1081" s="48">
        <v>140</v>
      </c>
      <c r="C1081" s="48">
        <v>120</v>
      </c>
      <c r="D1081" s="10" t="s">
        <v>47</v>
      </c>
      <c r="E1081" s="10" t="s">
        <v>1346</v>
      </c>
      <c r="F1081" s="10" t="s">
        <v>265</v>
      </c>
      <c r="G1081" s="10" t="s">
        <v>1347</v>
      </c>
      <c r="H1081" s="11" t="str">
        <f>IF(AND(B1081="",C1081=""),"CUSTOM BLANK",IF(OR(B1081="",C1081=""),"ERROR - ENTER BOTH",IF(OR(B1081&lt;=0,C1081&lt;=0),"ERROR - NONPOSITIVE",IF(OR(B1081&lt;'01-Process Controls'!$G$10,C1081&lt;'01-Process Controls'!$G$10),"ERROR - BELOW MIN",IF(COUNTIFS($B$1078:B1080,B1081,$C$1078:C1080,C1081)&gt;0,"VALID - DUPLICATE SIZE","VALID - CUSTOM")))))</f>
        <v>VALID - CUSTOM</v>
      </c>
      <c r="I1081" s="10" t="s">
        <v>1348</v>
      </c>
      <c r="J1081" s="8"/>
      <c r="K1081" s="8"/>
      <c r="L1081" s="8"/>
      <c r="M1081" s="8"/>
      <c r="N1081" s="8"/>
    </row>
    <row r="1082" spans="1:14" ht="21" customHeight="1">
      <c r="A1082" s="9" t="s">
        <v>1352</v>
      </c>
      <c r="B1082" s="48">
        <v>98</v>
      </c>
      <c r="C1082" s="48">
        <v>98</v>
      </c>
      <c r="D1082" s="10" t="s">
        <v>47</v>
      </c>
      <c r="E1082" s="10" t="s">
        <v>1346</v>
      </c>
      <c r="F1082" s="10" t="s">
        <v>265</v>
      </c>
      <c r="G1082" s="10" t="s">
        <v>1347</v>
      </c>
      <c r="H1082" s="11" t="str">
        <f>IF(AND(B1082="",C1082=""),"CUSTOM BLANK",IF(OR(B1082="",C1082=""),"ERROR - ENTER BOTH",IF(OR(B1082&lt;=0,C1082&lt;=0),"ERROR - NONPOSITIVE",IF(OR(B1082&lt;'01-Process Controls'!$G$10,C1082&lt;'01-Process Controls'!$G$10),"ERROR - BELOW MIN",IF(COUNTIFS($B$1078:B1081,B1082,$C$1078:C1081,C1082)&gt;0,"VALID - DUPLICATE SIZE","VALID - CUSTOM")))))</f>
        <v>VALID - CUSTOM</v>
      </c>
      <c r="I1082" s="10" t="s">
        <v>1348</v>
      </c>
      <c r="J1082" s="8"/>
      <c r="K1082" s="8"/>
      <c r="L1082" s="8"/>
      <c r="M1082" s="8"/>
      <c r="N1082" s="8"/>
    </row>
    <row r="1083" spans="1:14" ht="21" customHeight="1">
      <c r="A1083" s="9" t="s">
        <v>1353</v>
      </c>
      <c r="B1083" s="48">
        <v>100</v>
      </c>
      <c r="C1083" s="48">
        <v>240</v>
      </c>
      <c r="D1083" s="10" t="s">
        <v>47</v>
      </c>
      <c r="E1083" s="10" t="s">
        <v>1346</v>
      </c>
      <c r="F1083" s="10" t="s">
        <v>265</v>
      </c>
      <c r="G1083" s="10" t="s">
        <v>1347</v>
      </c>
      <c r="H1083" s="11" t="str">
        <f>IF(AND(B1083="",C1083=""),"CUSTOM BLANK",IF(OR(B1083="",C1083=""),"ERROR - ENTER BOTH",IF(OR(B1083&lt;=0,C1083&lt;=0),"ERROR - NONPOSITIVE",IF(OR(B1083&lt;'01-Process Controls'!$G$10,C1083&lt;'01-Process Controls'!$G$10),"ERROR - BELOW MIN",IF(COUNTIFS($B$1078:B1082,B1083,$C$1078:C1082,C1083)&gt;0,"VALID - DUPLICATE SIZE","VALID - CUSTOM")))))</f>
        <v>VALID - CUSTOM</v>
      </c>
      <c r="I1083" s="10" t="s">
        <v>1348</v>
      </c>
      <c r="J1083" s="8"/>
      <c r="K1083" s="8"/>
      <c r="L1083" s="8"/>
      <c r="M1083" s="8"/>
      <c r="N1083" s="8"/>
    </row>
    <row r="1084" spans="1:14" ht="21" customHeight="1">
      <c r="A1084" s="9" t="s">
        <v>1354</v>
      </c>
      <c r="B1084" s="48">
        <v>140</v>
      </c>
      <c r="C1084" s="48">
        <v>140</v>
      </c>
      <c r="D1084" s="10" t="s">
        <v>47</v>
      </c>
      <c r="E1084" s="10" t="s">
        <v>1346</v>
      </c>
      <c r="F1084" s="10" t="s">
        <v>265</v>
      </c>
      <c r="G1084" s="10" t="s">
        <v>1347</v>
      </c>
      <c r="H1084" s="11" t="str">
        <f>IF(AND(B1084="",C1084=""),"CUSTOM BLANK",IF(OR(B1084="",C1084=""),"ERROR - ENTER BOTH",IF(OR(B1084&lt;=0,C1084&lt;=0),"ERROR - NONPOSITIVE",IF(OR(B1084&lt;'01-Process Controls'!$G$10,C1084&lt;'01-Process Controls'!$G$10),"ERROR - BELOW MIN",IF(COUNTIFS($B$1078:B1083,B1084,$C$1078:C1083,C1084)&gt;0,"VALID - DUPLICATE SIZE","VALID - CUSTOM")))))</f>
        <v>VALID - CUSTOM</v>
      </c>
      <c r="I1084" s="10" t="s">
        <v>1348</v>
      </c>
      <c r="J1084" s="8"/>
      <c r="K1084" s="8"/>
      <c r="L1084" s="8"/>
      <c r="M1084" s="8"/>
      <c r="N1084" s="8"/>
    </row>
    <row r="1085" spans="1:14" ht="21" customHeight="1">
      <c r="A1085" s="9" t="s">
        <v>1355</v>
      </c>
      <c r="B1085" s="48">
        <v>190</v>
      </c>
      <c r="C1085" s="48">
        <v>190</v>
      </c>
      <c r="D1085" s="10" t="s">
        <v>47</v>
      </c>
      <c r="E1085" s="10" t="s">
        <v>1346</v>
      </c>
      <c r="F1085" s="10" t="s">
        <v>265</v>
      </c>
      <c r="G1085" s="10" t="s">
        <v>1347</v>
      </c>
      <c r="H1085" s="11" t="str">
        <f>IF(AND(B1085="",C1085=""),"CUSTOM BLANK",IF(OR(B1085="",C1085=""),"ERROR - ENTER BOTH",IF(OR(B1085&lt;=0,C1085&lt;=0),"ERROR - NONPOSITIVE",IF(OR(B1085&lt;'01-Process Controls'!$G$10,C1085&lt;'01-Process Controls'!$G$10),"ERROR - BELOW MIN",IF(COUNTIFS($B$1078:B1084,B1085,$C$1078:C1084,C1085)&gt;0,"VALID - DUPLICATE SIZE","VALID - CUSTOM")))))</f>
        <v>VALID - CUSTOM</v>
      </c>
      <c r="I1085" s="10" t="s">
        <v>1348</v>
      </c>
      <c r="J1085" s="8"/>
      <c r="K1085" s="8"/>
      <c r="L1085" s="8"/>
      <c r="M1085" s="8"/>
      <c r="N1085" s="8"/>
    </row>
    <row r="1086" spans="1:14" ht="21" customHeight="1">
      <c r="A1086" s="9" t="s">
        <v>1356</v>
      </c>
      <c r="B1086" s="48">
        <v>140</v>
      </c>
      <c r="C1086" s="48">
        <v>190</v>
      </c>
      <c r="D1086" s="10" t="s">
        <v>47</v>
      </c>
      <c r="E1086" s="10" t="s">
        <v>1346</v>
      </c>
      <c r="F1086" s="10" t="s">
        <v>265</v>
      </c>
      <c r="G1086" s="10" t="s">
        <v>1347</v>
      </c>
      <c r="H1086" s="11" t="str">
        <f>IF(AND(B1086="",C1086=""),"CUSTOM BLANK",IF(OR(B1086="",C1086=""),"ERROR - ENTER BOTH",IF(OR(B1086&lt;=0,C1086&lt;=0),"ERROR - NONPOSITIVE",IF(OR(B1086&lt;'01-Process Controls'!$G$10,C1086&lt;'01-Process Controls'!$G$10),"ERROR - BELOW MIN",IF(COUNTIFS($B$1078:B1085,B1086,$C$1078:C1085,C1086)&gt;0,"VALID - DUPLICATE SIZE","VALID - CUSTOM")))))</f>
        <v>VALID - CUSTOM</v>
      </c>
      <c r="I1086" s="10" t="s">
        <v>1348</v>
      </c>
      <c r="J1086" s="8"/>
      <c r="K1086" s="8"/>
      <c r="L1086" s="8"/>
      <c r="M1086" s="8"/>
      <c r="N1086" s="8"/>
    </row>
    <row r="1087" spans="1:14" ht="21" customHeight="1">
      <c r="A1087" s="9" t="s">
        <v>1357</v>
      </c>
      <c r="B1087" s="48">
        <v>190</v>
      </c>
      <c r="C1087" s="48">
        <v>290</v>
      </c>
      <c r="D1087" s="10" t="s">
        <v>47</v>
      </c>
      <c r="E1087" s="10" t="s">
        <v>1346</v>
      </c>
      <c r="F1087" s="10" t="s">
        <v>265</v>
      </c>
      <c r="G1087" s="10" t="s">
        <v>1347</v>
      </c>
      <c r="H1087" s="11" t="str">
        <f>IF(AND(B1087="",C1087=""),"CUSTOM BLANK",IF(OR(B1087="",C1087=""),"ERROR - ENTER BOTH",IF(OR(B1087&lt;=0,C1087&lt;=0),"ERROR - NONPOSITIVE",IF(OR(B1087&lt;'01-Process Controls'!$G$10,C1087&lt;'01-Process Controls'!$G$10),"ERROR - BELOW MIN",IF(COUNTIFS($B$1078:B1086,B1087,$C$1078:C1086,C1087)&gt;0,"VALID - DUPLICATE SIZE","VALID - CUSTOM")))))</f>
        <v>VALID - CUSTOM</v>
      </c>
      <c r="I1087" s="10" t="s">
        <v>1348</v>
      </c>
      <c r="J1087" s="8"/>
      <c r="K1087" s="8"/>
      <c r="L1087" s="8"/>
      <c r="M1087" s="8"/>
      <c r="N1087" s="8"/>
    </row>
    <row r="1088" spans="1:14" ht="21" customHeight="1">
      <c r="A1088" s="9" t="s">
        <v>1358</v>
      </c>
      <c r="B1088" s="48">
        <v>150</v>
      </c>
      <c r="C1088" s="48">
        <v>150</v>
      </c>
      <c r="D1088" s="10" t="s">
        <v>47</v>
      </c>
      <c r="E1088" s="10" t="s">
        <v>1346</v>
      </c>
      <c r="F1088" s="10" t="s">
        <v>265</v>
      </c>
      <c r="G1088" s="10" t="s">
        <v>1347</v>
      </c>
      <c r="H1088" s="11" t="str">
        <f>IF(AND(B1088="",C1088=""),"CUSTOM BLANK",IF(OR(B1088="",C1088=""),"ERROR - ENTER BOTH",IF(OR(B1088&lt;=0,C1088&lt;=0),"ERROR - NONPOSITIVE",IF(OR(B1088&lt;'01-Process Controls'!$G$10,C1088&lt;'01-Process Controls'!$G$10),"ERROR - BELOW MIN",IF(COUNTIFS($B$1078:B1087,B1088,$C$1078:C1087,C1088)&gt;0,"VALID - DUPLICATE SIZE","VALID - CUSTOM")))))</f>
        <v>VALID - CUSTOM</v>
      </c>
      <c r="I1088" s="10" t="s">
        <v>1348</v>
      </c>
      <c r="J1088" s="8"/>
      <c r="K1088" s="8"/>
      <c r="L1088" s="8"/>
      <c r="M1088" s="8"/>
      <c r="N1088" s="8"/>
    </row>
    <row r="1089" spans="1:14" ht="21" customHeight="1">
      <c r="A1089" s="9" t="s">
        <v>1359</v>
      </c>
      <c r="B1089" s="48">
        <v>280</v>
      </c>
      <c r="C1089" s="48">
        <v>360</v>
      </c>
      <c r="D1089" s="10" t="s">
        <v>47</v>
      </c>
      <c r="E1089" s="10" t="s">
        <v>1346</v>
      </c>
      <c r="F1089" s="10" t="s">
        <v>265</v>
      </c>
      <c r="G1089" s="10" t="s">
        <v>1347</v>
      </c>
      <c r="H1089" s="11" t="str">
        <f>IF(AND(B1089="",C1089=""),"CUSTOM BLANK",IF(OR(B1089="",C1089=""),"ERROR - ENTER BOTH",IF(OR(B1089&lt;=0,C1089&lt;=0),"ERROR - NONPOSITIVE",IF(OR(B1089&lt;'01-Process Controls'!$G$10,C1089&lt;'01-Process Controls'!$G$10),"ERROR - BELOW MIN",IF(COUNTIFS($B$1078:B1088,B1089,$C$1078:C1088,C1089)&gt;0,"VALID - DUPLICATE SIZE","VALID - CUSTOM")))))</f>
        <v>VALID - CUSTOM</v>
      </c>
      <c r="I1089" s="10" t="s">
        <v>1348</v>
      </c>
      <c r="J1089" s="8"/>
      <c r="K1089" s="8"/>
      <c r="L1089" s="8"/>
      <c r="M1089" s="8"/>
      <c r="N1089" s="8"/>
    </row>
    <row r="1090" spans="1:14" ht="21" customHeight="1">
      <c r="A1090" s="9" t="s">
        <v>1360</v>
      </c>
      <c r="B1090" s="48">
        <v>150</v>
      </c>
      <c r="C1090" s="48">
        <v>150</v>
      </c>
      <c r="D1090" s="10" t="s">
        <v>47</v>
      </c>
      <c r="E1090" s="10" t="s">
        <v>1346</v>
      </c>
      <c r="F1090" s="10" t="s">
        <v>265</v>
      </c>
      <c r="G1090" s="10" t="s">
        <v>1347</v>
      </c>
      <c r="H1090" s="11" t="str">
        <f>IF(AND(B1090="",C1090=""),"CUSTOM BLANK",IF(OR(B1090="",C1090=""),"ERROR - ENTER BOTH",IF(OR(B1090&lt;=0,C1090&lt;=0),"ERROR - NONPOSITIVE",IF(OR(B1090&lt;'01-Process Controls'!$G$10,C1090&lt;'01-Process Controls'!$G$10),"ERROR - BELOW MIN",IF(COUNTIFS($B$1078:B1089,B1090,$C$1078:C1089,C1090)&gt;0,"VALID - DUPLICATE SIZE","VALID - CUSTOM")))))</f>
        <v>VALID - DUPLICATE SIZE</v>
      </c>
      <c r="I1090" s="10" t="s">
        <v>1348</v>
      </c>
      <c r="J1090" s="8"/>
      <c r="K1090" s="8"/>
      <c r="L1090" s="8"/>
      <c r="M1090" s="8"/>
      <c r="N1090" s="8"/>
    </row>
    <row r="1091" spans="1:14" ht="21" customHeight="1">
      <c r="A1091" s="9" t="s">
        <v>1361</v>
      </c>
      <c r="B1091" s="48">
        <v>100</v>
      </c>
      <c r="C1091" s="48">
        <v>40</v>
      </c>
      <c r="D1091" s="10" t="s">
        <v>47</v>
      </c>
      <c r="E1091" s="10" t="s">
        <v>1346</v>
      </c>
      <c r="F1091" s="10" t="s">
        <v>265</v>
      </c>
      <c r="G1091" s="10" t="s">
        <v>1362</v>
      </c>
      <c r="H1091" s="11" t="str">
        <f>IF(AND(B1091="",C1091=""),"CUSTOM BLANK",IF(OR(B1091="",C1091=""),"ERROR - ENTER BOTH",IF(OR(B1091&lt;=0,C1091&lt;=0),"ERROR - NONPOSITIVE",IF(OR(B1091&lt;'01-Process Controls'!$G$10,C1091&lt;'01-Process Controls'!$G$10),"ERROR - BELOW MIN",IF(COUNTIFS($B$1078:B1090,B1091,$C$1078:C1090,C1091)&gt;0,"VALID - DUPLICATE SIZE","VALID - CUSTOM")))))</f>
        <v>VALID - CUSTOM</v>
      </c>
      <c r="I1091" s="10" t="s">
        <v>1348</v>
      </c>
      <c r="J1091" s="8"/>
      <c r="K1091" s="8"/>
      <c r="L1091" s="8"/>
      <c r="M1091" s="8"/>
      <c r="N1091" s="8"/>
    </row>
    <row r="1092" spans="1:14" ht="21" customHeight="1">
      <c r="A1092" s="9" t="s">
        <v>1363</v>
      </c>
      <c r="B1092" s="48"/>
      <c r="C1092" s="48"/>
      <c r="D1092" s="10" t="s">
        <v>47</v>
      </c>
      <c r="E1092" s="10" t="s">
        <v>1346</v>
      </c>
      <c r="F1092" s="10" t="s">
        <v>265</v>
      </c>
      <c r="G1092" s="10" t="s">
        <v>1362</v>
      </c>
      <c r="H1092" s="11" t="str">
        <f>IF(AND(B1092="",C1092=""),"CUSTOM BLANK",IF(OR(B1092="",C1092=""),"ERROR - ENTER BOTH",IF(OR(B1092&lt;=0,C1092&lt;=0),"ERROR - NONPOSITIVE",IF(OR(B1092&lt;'01-Process Controls'!$G$10,C1092&lt;'01-Process Controls'!$G$10),"ERROR - BELOW MIN",IF(COUNTIFS($B$1078:B1091,B1092,$C$1078:C1091,C1092)&gt;0,"VALID - DUPLICATE SIZE","VALID - CUSTOM")))))</f>
        <v>CUSTOM BLANK</v>
      </c>
      <c r="I1092" s="10" t="s">
        <v>1348</v>
      </c>
      <c r="J1092" s="8"/>
      <c r="K1092" s="8"/>
      <c r="L1092" s="8"/>
      <c r="M1092" s="8"/>
      <c r="N1092" s="8"/>
    </row>
    <row r="1093" spans="1:14" ht="21" customHeight="1">
      <c r="A1093" s="9" t="s">
        <v>1364</v>
      </c>
      <c r="B1093" s="48"/>
      <c r="C1093" s="48"/>
      <c r="D1093" s="10" t="s">
        <v>47</v>
      </c>
      <c r="E1093" s="10" t="s">
        <v>1346</v>
      </c>
      <c r="F1093" s="10" t="s">
        <v>265</v>
      </c>
      <c r="G1093" s="10" t="s">
        <v>1362</v>
      </c>
      <c r="H1093" s="11" t="str">
        <f>IF(AND(B1093="",C1093=""),"CUSTOM BLANK",IF(OR(B1093="",C1093=""),"ERROR - ENTER BOTH",IF(OR(B1093&lt;=0,C1093&lt;=0),"ERROR - NONPOSITIVE",IF(OR(B1093&lt;'01-Process Controls'!$G$10,C1093&lt;'01-Process Controls'!$G$10),"ERROR - BELOW MIN",IF(COUNTIFS($B$1078:B1092,B1093,$C$1078:C1092,C1093)&gt;0,"VALID - DUPLICATE SIZE","VALID - CUSTOM")))))</f>
        <v>CUSTOM BLANK</v>
      </c>
      <c r="I1093" s="10" t="s">
        <v>1348</v>
      </c>
      <c r="J1093" s="8"/>
      <c r="K1093" s="8"/>
      <c r="L1093" s="8"/>
      <c r="M1093" s="8"/>
      <c r="N1093" s="8"/>
    </row>
    <row r="1094" spans="1:14" ht="21" customHeight="1">
      <c r="A1094" s="9" t="s">
        <v>1365</v>
      </c>
      <c r="B1094" s="48"/>
      <c r="C1094" s="48"/>
      <c r="D1094" s="10" t="s">
        <v>47</v>
      </c>
      <c r="E1094" s="10" t="s">
        <v>1346</v>
      </c>
      <c r="F1094" s="10" t="s">
        <v>265</v>
      </c>
      <c r="G1094" s="10" t="s">
        <v>1362</v>
      </c>
      <c r="H1094" s="11" t="str">
        <f>IF(AND(B1094="",C1094=""),"CUSTOM BLANK",IF(OR(B1094="",C1094=""),"ERROR - ENTER BOTH",IF(OR(B1094&lt;=0,C1094&lt;=0),"ERROR - NONPOSITIVE",IF(OR(B1094&lt;'01-Process Controls'!$G$10,C1094&lt;'01-Process Controls'!$G$10),"ERROR - BELOW MIN",IF(COUNTIFS($B$1078:B1093,B1094,$C$1078:C1093,C1094)&gt;0,"VALID - DUPLICATE SIZE","VALID - CUSTOM")))))</f>
        <v>CUSTOM BLANK</v>
      </c>
      <c r="I1094" s="10" t="s">
        <v>1348</v>
      </c>
      <c r="J1094" s="8"/>
      <c r="K1094" s="8"/>
      <c r="L1094" s="8"/>
      <c r="M1094" s="8"/>
      <c r="N1094" s="8"/>
    </row>
    <row r="1095" spans="1:14" ht="21" customHeight="1">
      <c r="A1095" s="9" t="s">
        <v>1366</v>
      </c>
      <c r="B1095" s="48"/>
      <c r="C1095" s="48"/>
      <c r="D1095" s="10" t="s">
        <v>47</v>
      </c>
      <c r="E1095" s="10" t="s">
        <v>1346</v>
      </c>
      <c r="F1095" s="10" t="s">
        <v>265</v>
      </c>
      <c r="G1095" s="10" t="s">
        <v>1362</v>
      </c>
      <c r="H1095" s="11" t="str">
        <f>IF(AND(B1095="",C1095=""),"CUSTOM BLANK",IF(OR(B1095="",C1095=""),"ERROR - ENTER BOTH",IF(OR(B1095&lt;=0,C1095&lt;=0),"ERROR - NONPOSITIVE",IF(OR(B1095&lt;'01-Process Controls'!$G$10,C1095&lt;'01-Process Controls'!$G$10),"ERROR - BELOW MIN",IF(COUNTIFS($B$1078:B1094,B1095,$C$1078:C1094,C1095)&gt;0,"VALID - DUPLICATE SIZE","VALID - CUSTOM")))))</f>
        <v>CUSTOM BLANK</v>
      </c>
      <c r="I1095" s="10" t="s">
        <v>1348</v>
      </c>
      <c r="J1095" s="8"/>
      <c r="K1095" s="8"/>
      <c r="L1095" s="8"/>
      <c r="M1095" s="8"/>
      <c r="N1095" s="8"/>
    </row>
    <row r="1096" spans="1:14" ht="21" customHeight="1">
      <c r="A1096" s="9" t="s">
        <v>1367</v>
      </c>
      <c r="B1096" s="48"/>
      <c r="C1096" s="48"/>
      <c r="D1096" s="10" t="s">
        <v>47</v>
      </c>
      <c r="E1096" s="10" t="s">
        <v>1346</v>
      </c>
      <c r="F1096" s="10" t="s">
        <v>265</v>
      </c>
      <c r="G1096" s="10" t="s">
        <v>1362</v>
      </c>
      <c r="H1096" s="11" t="str">
        <f>IF(AND(B1096="",C1096=""),"CUSTOM BLANK",IF(OR(B1096="",C1096=""),"ERROR - ENTER BOTH",IF(OR(B1096&lt;=0,C1096&lt;=0),"ERROR - NONPOSITIVE",IF(OR(B1096&lt;'01-Process Controls'!$G$10,C1096&lt;'01-Process Controls'!$G$10),"ERROR - BELOW MIN",IF(COUNTIFS($B$1078:B1095,B1096,$C$1078:C1095,C1096)&gt;0,"VALID - DUPLICATE SIZE","VALID - CUSTOM")))))</f>
        <v>CUSTOM BLANK</v>
      </c>
      <c r="I1096" s="10" t="s">
        <v>1348</v>
      </c>
      <c r="J1096" s="8"/>
      <c r="K1096" s="8"/>
      <c r="L1096" s="8"/>
      <c r="M1096" s="8"/>
      <c r="N1096" s="8"/>
    </row>
    <row r="1097" spans="1:14" ht="21" customHeight="1">
      <c r="A1097" s="9" t="s">
        <v>1368</v>
      </c>
      <c r="B1097" s="48"/>
      <c r="C1097" s="48"/>
      <c r="D1097" s="10" t="s">
        <v>47</v>
      </c>
      <c r="E1097" s="10" t="s">
        <v>1346</v>
      </c>
      <c r="F1097" s="10" t="s">
        <v>265</v>
      </c>
      <c r="G1097" s="10" t="s">
        <v>1362</v>
      </c>
      <c r="H1097" s="11" t="str">
        <f>IF(AND(B1097="",C1097=""),"CUSTOM BLANK",IF(OR(B1097="",C1097=""),"ERROR - ENTER BOTH",IF(OR(B1097&lt;=0,C1097&lt;=0),"ERROR - NONPOSITIVE",IF(OR(B1097&lt;'01-Process Controls'!$G$10,C1097&lt;'01-Process Controls'!$G$10),"ERROR - BELOW MIN",IF(COUNTIFS($B$1078:B1096,B1097,$C$1078:C1096,C1097)&gt;0,"VALID - DUPLICATE SIZE","VALID - CUSTOM")))))</f>
        <v>CUSTOM BLANK</v>
      </c>
      <c r="I1097" s="10" t="s">
        <v>1348</v>
      </c>
      <c r="J1097" s="8"/>
      <c r="K1097" s="8"/>
      <c r="L1097" s="8"/>
      <c r="M1097" s="8"/>
      <c r="N1097" s="8"/>
    </row>
    <row r="1098" spans="1:14" ht="21" customHeight="1">
      <c r="A1098" s="9" t="s">
        <v>1369</v>
      </c>
      <c r="B1098" s="48">
        <v>40</v>
      </c>
      <c r="C1098" s="48">
        <v>40</v>
      </c>
      <c r="D1098" s="10" t="s">
        <v>47</v>
      </c>
      <c r="E1098" s="10" t="s">
        <v>1346</v>
      </c>
      <c r="F1098" s="10" t="s">
        <v>265</v>
      </c>
      <c r="G1098" s="10" t="s">
        <v>1347</v>
      </c>
      <c r="H1098" s="11" t="str">
        <f>IF(AND(B1098="",C1098=""),"CUSTOM BLANK",IF(OR(B1098="",C1098=""),"ERROR - ENTER BOTH",IF(OR(B1098&lt;=0,C1098&lt;=0),"ERROR - NONPOSITIVE",IF(OR(B1098&lt;'01-Process Controls'!$G$10,C1098&lt;'01-Process Controls'!$G$10),"ERROR - BELOW MIN",IF(COUNTIFS($B$1078:B1097,B1098,$C$1078:C1097,C1098)&gt;0,"VALID - DUPLICATE SIZE","VALID - CUSTOM")))))</f>
        <v>VALID - CUSTOM</v>
      </c>
      <c r="I1098" s="10" t="s">
        <v>1348</v>
      </c>
      <c r="J1098" s="8"/>
      <c r="K1098" s="8"/>
      <c r="L1098" s="8"/>
      <c r="M1098" s="8"/>
      <c r="N1098" s="8"/>
    </row>
    <row r="1099" spans="1:14" ht="21" customHeight="1">
      <c r="A1099" s="9" t="s">
        <v>1370</v>
      </c>
      <c r="B1099" s="48">
        <v>100</v>
      </c>
      <c r="C1099" s="48">
        <v>100</v>
      </c>
      <c r="D1099" s="10" t="s">
        <v>47</v>
      </c>
      <c r="E1099" s="10" t="s">
        <v>1346</v>
      </c>
      <c r="F1099" s="10" t="s">
        <v>265</v>
      </c>
      <c r="G1099" s="10" t="s">
        <v>1347</v>
      </c>
      <c r="H1099" s="11" t="str">
        <f>IF(AND(B1099="",C1099=""),"CUSTOM BLANK",IF(OR(B1099="",C1099=""),"ERROR - ENTER BOTH",IF(OR(B1099&lt;=0,C1099&lt;=0),"ERROR - NONPOSITIVE",IF(OR(B1099&lt;'01-Process Controls'!$G$10,C1099&lt;'01-Process Controls'!$G$10),"ERROR - BELOW MIN",IF(COUNTIFS($B$1078:B1098,B1099,$C$1078:C1098,C1099)&gt;0,"VALID - DUPLICATE SIZE","VALID - CUSTOM")))))</f>
        <v>VALID - CUSTOM</v>
      </c>
      <c r="I1099" s="10" t="s">
        <v>1348</v>
      </c>
      <c r="J1099" s="8"/>
      <c r="K1099" s="8"/>
      <c r="L1099" s="8"/>
      <c r="M1099" s="8"/>
      <c r="N1099" s="8"/>
    </row>
    <row r="1100" spans="1:14" ht="21" customHeight="1">
      <c r="A1100" s="9" t="s">
        <v>1371</v>
      </c>
      <c r="B1100" s="48">
        <v>150</v>
      </c>
      <c r="C1100" s="48">
        <v>150</v>
      </c>
      <c r="D1100" s="10" t="s">
        <v>47</v>
      </c>
      <c r="E1100" s="10" t="s">
        <v>1346</v>
      </c>
      <c r="F1100" s="10" t="s">
        <v>265</v>
      </c>
      <c r="G1100" s="10" t="s">
        <v>1347</v>
      </c>
      <c r="H1100" s="11" t="str">
        <f>IF(AND(B1100="",C1100=""),"CUSTOM BLANK",IF(OR(B1100="",C1100=""),"ERROR - ENTER BOTH",IF(OR(B1100&lt;=0,C1100&lt;=0),"ERROR - NONPOSITIVE",IF(OR(B1100&lt;'01-Process Controls'!$G$10,C1100&lt;'01-Process Controls'!$G$10),"ERROR - BELOW MIN",IF(COUNTIFS($B$1078:B1099,B1100,$C$1078:C1099,C1100)&gt;0,"VALID - DUPLICATE SIZE","VALID - CUSTOM")))))</f>
        <v>VALID - DUPLICATE SIZE</v>
      </c>
      <c r="I1100" s="10" t="s">
        <v>1348</v>
      </c>
      <c r="J1100" s="8"/>
      <c r="K1100" s="8"/>
      <c r="L1100" s="8"/>
      <c r="M1100" s="8"/>
      <c r="N1100" s="8"/>
    </row>
    <row r="1101" spans="1:14" ht="21" customHeight="1">
      <c r="A1101" s="9" t="s">
        <v>1372</v>
      </c>
      <c r="B1101" s="48">
        <v>200</v>
      </c>
      <c r="C1101" s="48">
        <v>200</v>
      </c>
      <c r="D1101" s="10" t="s">
        <v>47</v>
      </c>
      <c r="E1101" s="10" t="s">
        <v>1346</v>
      </c>
      <c r="F1101" s="10" t="s">
        <v>265</v>
      </c>
      <c r="G1101" s="10" t="s">
        <v>1347</v>
      </c>
      <c r="H1101" s="11" t="str">
        <f>IF(AND(B1101="",C1101=""),"CUSTOM BLANK",IF(OR(B1101="",C1101=""),"ERROR - ENTER BOTH",IF(OR(B1101&lt;=0,C1101&lt;=0),"ERROR - NONPOSITIVE",IF(OR(B1101&lt;'01-Process Controls'!$G$10,C1101&lt;'01-Process Controls'!$G$10),"ERROR - BELOW MIN",IF(COUNTIFS($B$1078:B1100,B1101,$C$1078:C1100,C1101)&gt;0,"VALID - DUPLICATE SIZE","VALID - CUSTOM")))))</f>
        <v>VALID - CUSTOM</v>
      </c>
      <c r="I1101" s="10" t="s">
        <v>1348</v>
      </c>
      <c r="J1101" s="8"/>
      <c r="K1101" s="8"/>
      <c r="L1101" s="8"/>
      <c r="M1101" s="8"/>
      <c r="N1101" s="8"/>
    </row>
    <row r="1102" spans="1:14" ht="21" customHeight="1">
      <c r="A1102" s="9" t="s">
        <v>1373</v>
      </c>
      <c r="B1102" s="48"/>
      <c r="C1102" s="48"/>
      <c r="D1102" s="10" t="s">
        <v>47</v>
      </c>
      <c r="E1102" s="10" t="s">
        <v>1346</v>
      </c>
      <c r="F1102" s="10" t="s">
        <v>265</v>
      </c>
      <c r="G1102" s="10" t="s">
        <v>1362</v>
      </c>
      <c r="H1102" s="11" t="str">
        <f>IF(AND(B1102="",C1102=""),"CUSTOM BLANK",IF(OR(B1102="",C1102=""),"ERROR - ENTER BOTH",IF(OR(B1102&lt;=0,C1102&lt;=0),"ERROR - NONPOSITIVE",IF(OR(B1102&lt;'01-Process Controls'!$G$10,C1102&lt;'01-Process Controls'!$G$10),"ERROR - BELOW MIN",IF(COUNTIFS($B$1078:B1101,B1102,$C$1078:C1101,C1102)&gt;0,"VALID - DUPLICATE SIZE","VALID - CUSTOM")))))</f>
        <v>CUSTOM BLANK</v>
      </c>
      <c r="I1102" s="10" t="s">
        <v>1348</v>
      </c>
      <c r="J1102" s="8"/>
      <c r="K1102" s="8"/>
      <c r="L1102" s="8"/>
      <c r="M1102" s="8"/>
      <c r="N1102" s="8"/>
    </row>
    <row r="1103" spans="1:14" ht="21" customHeight="1">
      <c r="A1103" s="9" t="s">
        <v>1374</v>
      </c>
      <c r="B1103" s="48"/>
      <c r="C1103" s="48"/>
      <c r="D1103" s="10" t="s">
        <v>47</v>
      </c>
      <c r="E1103" s="10" t="s">
        <v>1346</v>
      </c>
      <c r="F1103" s="10" t="s">
        <v>265</v>
      </c>
      <c r="G1103" s="10" t="s">
        <v>1362</v>
      </c>
      <c r="H1103" s="11" t="str">
        <f>IF(AND(B1103="",C1103=""),"CUSTOM BLANK",IF(OR(B1103="",C1103=""),"ERROR - ENTER BOTH",IF(OR(B1103&lt;=0,C1103&lt;=0),"ERROR - NONPOSITIVE",IF(OR(B1103&lt;'01-Process Controls'!$G$10,C1103&lt;'01-Process Controls'!$G$10),"ERROR - BELOW MIN",IF(COUNTIFS($B$1078:B1102,B1103,$C$1078:C1102,C1103)&gt;0,"VALID - DUPLICATE SIZE","VALID - CUSTOM")))))</f>
        <v>CUSTOM BLANK</v>
      </c>
      <c r="I1103" s="10" t="s">
        <v>1348</v>
      </c>
      <c r="J1103" s="8"/>
      <c r="K1103" s="8"/>
      <c r="L1103" s="8"/>
      <c r="M1103" s="8"/>
      <c r="N1103" s="8"/>
    </row>
    <row r="1104" spans="1:14" ht="21" customHeight="1">
      <c r="A1104" s="9" t="s">
        <v>1375</v>
      </c>
      <c r="B1104" s="48"/>
      <c r="C1104" s="48"/>
      <c r="D1104" s="10" t="s">
        <v>47</v>
      </c>
      <c r="E1104" s="10" t="s">
        <v>1346</v>
      </c>
      <c r="F1104" s="10" t="s">
        <v>265</v>
      </c>
      <c r="G1104" s="10" t="s">
        <v>1362</v>
      </c>
      <c r="H1104" s="11" t="str">
        <f>IF(AND(B1104="",C1104=""),"CUSTOM BLANK",IF(OR(B1104="",C1104=""),"ERROR - ENTER BOTH",IF(OR(B1104&lt;=0,C1104&lt;=0),"ERROR - NONPOSITIVE",IF(OR(B1104&lt;'01-Process Controls'!$G$10,C1104&lt;'01-Process Controls'!$G$10),"ERROR - BELOW MIN",IF(COUNTIFS($B$1078:B1103,B1104,$C$1078:C1103,C1104)&gt;0,"VALID - DUPLICATE SIZE","VALID - CUSTOM")))))</f>
        <v>CUSTOM BLANK</v>
      </c>
      <c r="I1104" s="10" t="s">
        <v>1348</v>
      </c>
      <c r="J1104" s="8"/>
      <c r="K1104" s="8"/>
      <c r="L1104" s="8"/>
      <c r="M1104" s="8"/>
      <c r="N1104" s="8"/>
    </row>
    <row r="1105" spans="1:14" ht="21" customHeight="1">
      <c r="A1105" s="9" t="s">
        <v>1376</v>
      </c>
      <c r="B1105" s="48"/>
      <c r="C1105" s="48"/>
      <c r="D1105" s="10" t="s">
        <v>47</v>
      </c>
      <c r="E1105" s="10" t="s">
        <v>1346</v>
      </c>
      <c r="F1105" s="10" t="s">
        <v>265</v>
      </c>
      <c r="G1105" s="10" t="s">
        <v>1362</v>
      </c>
      <c r="H1105" s="11" t="str">
        <f>IF(AND(B1105="",C1105=""),"CUSTOM BLANK",IF(OR(B1105="",C1105=""),"ERROR - ENTER BOTH",IF(OR(B1105&lt;=0,C1105&lt;=0),"ERROR - NONPOSITIVE",IF(OR(B1105&lt;'01-Process Controls'!$G$10,C1105&lt;'01-Process Controls'!$G$10),"ERROR - BELOW MIN",IF(COUNTIFS($B$1078:B1104,B1105,$C$1078:C1104,C1105)&gt;0,"VALID - DUPLICATE SIZE","VALID - CUSTOM")))))</f>
        <v>CUSTOM BLANK</v>
      </c>
      <c r="I1105" s="10" t="s">
        <v>1348</v>
      </c>
      <c r="J1105" s="8"/>
      <c r="K1105" s="8"/>
      <c r="L1105" s="8"/>
      <c r="M1105" s="8"/>
      <c r="N1105" s="8"/>
    </row>
    <row r="1106" spans="1:14" ht="21" customHeight="1">
      <c r="A1106" s="9" t="s">
        <v>1377</v>
      </c>
      <c r="B1106" s="48"/>
      <c r="C1106" s="48"/>
      <c r="D1106" s="10" t="s">
        <v>47</v>
      </c>
      <c r="E1106" s="10" t="s">
        <v>1346</v>
      </c>
      <c r="F1106" s="10" t="s">
        <v>265</v>
      </c>
      <c r="G1106" s="10" t="s">
        <v>1362</v>
      </c>
      <c r="H1106" s="11" t="str">
        <f>IF(AND(B1106="",C1106=""),"CUSTOM BLANK",IF(OR(B1106="",C1106=""),"ERROR - ENTER BOTH",IF(OR(B1106&lt;=0,C1106&lt;=0),"ERROR - NONPOSITIVE",IF(OR(B1106&lt;'01-Process Controls'!$G$10,C1106&lt;'01-Process Controls'!$G$10),"ERROR - BELOW MIN",IF(COUNTIFS($B$1078:B1105,B1106,$C$1078:C1105,C1106)&gt;0,"VALID - DUPLICATE SIZE","VALID - CUSTOM")))))</f>
        <v>CUSTOM BLANK</v>
      </c>
      <c r="I1106" s="10" t="s">
        <v>1348</v>
      </c>
      <c r="J1106" s="8"/>
      <c r="K1106" s="8"/>
      <c r="L1106" s="8"/>
      <c r="M1106" s="8"/>
      <c r="N1106" s="8"/>
    </row>
    <row r="1107" spans="1:14" ht="21" customHeight="1">
      <c r="A1107" s="9" t="s">
        <v>1378</v>
      </c>
      <c r="B1107" s="48"/>
      <c r="C1107" s="48"/>
      <c r="D1107" s="10" t="s">
        <v>47</v>
      </c>
      <c r="E1107" s="10" t="s">
        <v>1346</v>
      </c>
      <c r="F1107" s="10" t="s">
        <v>265</v>
      </c>
      <c r="G1107" s="10" t="s">
        <v>1362</v>
      </c>
      <c r="H1107" s="11" t="str">
        <f>IF(AND(B1107="",C1107=""),"CUSTOM BLANK",IF(OR(B1107="",C1107=""),"ERROR - ENTER BOTH",IF(OR(B1107&lt;=0,C1107&lt;=0),"ERROR - NONPOSITIVE",IF(OR(B1107&lt;'01-Process Controls'!$G$10,C1107&lt;'01-Process Controls'!$G$10),"ERROR - BELOW MIN",IF(COUNTIFS($B$1078:B1106,B1107,$C$1078:C1106,C1107)&gt;0,"VALID - DUPLICATE SIZE","VALID - CUSTOM")))))</f>
        <v>CUSTOM BLANK</v>
      </c>
      <c r="I1107" s="10" t="s">
        <v>1348</v>
      </c>
      <c r="J1107" s="8"/>
      <c r="K1107" s="8"/>
      <c r="L1107" s="8"/>
      <c r="M1107" s="8"/>
      <c r="N1107" s="8"/>
    </row>
    <row r="1108" spans="1:14" ht="21" customHeight="1">
      <c r="A1108" s="9" t="s">
        <v>1379</v>
      </c>
      <c r="B1108" s="48"/>
      <c r="C1108" s="48"/>
      <c r="D1108" s="10" t="s">
        <v>47</v>
      </c>
      <c r="E1108" s="10" t="s">
        <v>1346</v>
      </c>
      <c r="F1108" s="10" t="s">
        <v>265</v>
      </c>
      <c r="G1108" s="10" t="s">
        <v>1362</v>
      </c>
      <c r="H1108" s="11" t="str">
        <f>IF(AND(B1108="",C1108=""),"CUSTOM BLANK",IF(OR(B1108="",C1108=""),"ERROR - ENTER BOTH",IF(OR(B1108&lt;=0,C1108&lt;=0),"ERROR - NONPOSITIVE",IF(OR(B1108&lt;'01-Process Controls'!$G$10,C1108&lt;'01-Process Controls'!$G$10),"ERROR - BELOW MIN",IF(COUNTIFS($B$1078:B1107,B1108,$C$1078:C1107,C1108)&gt;0,"VALID - DUPLICATE SIZE","VALID - CUSTOM")))))</f>
        <v>CUSTOM BLANK</v>
      </c>
      <c r="I1108" s="10" t="s">
        <v>1348</v>
      </c>
      <c r="J1108" s="8"/>
      <c r="K1108" s="8"/>
      <c r="L1108" s="8"/>
      <c r="M1108" s="8"/>
      <c r="N1108" s="8"/>
    </row>
    <row r="1109" spans="1:14" ht="21" customHeight="1">
      <c r="A1109" s="9" t="s">
        <v>1380</v>
      </c>
      <c r="B1109" s="48"/>
      <c r="C1109" s="48"/>
      <c r="D1109" s="10" t="s">
        <v>47</v>
      </c>
      <c r="E1109" s="10" t="s">
        <v>1346</v>
      </c>
      <c r="F1109" s="10" t="s">
        <v>265</v>
      </c>
      <c r="G1109" s="10" t="s">
        <v>1362</v>
      </c>
      <c r="H1109" s="11" t="str">
        <f>IF(AND(B1109="",C1109=""),"CUSTOM BLANK",IF(OR(B1109="",C1109=""),"ERROR - ENTER BOTH",IF(OR(B1109&lt;=0,C1109&lt;=0),"ERROR - NONPOSITIVE",IF(OR(B1109&lt;'01-Process Controls'!$G$10,C1109&lt;'01-Process Controls'!$G$10),"ERROR - BELOW MIN",IF(COUNTIFS($B$1078:B1108,B1109,$C$1078:C1108,C1109)&gt;0,"VALID - DUPLICATE SIZE","VALID - CUSTOM")))))</f>
        <v>CUSTOM BLANK</v>
      </c>
      <c r="I1109" s="10" t="s">
        <v>1348</v>
      </c>
      <c r="J1109" s="8"/>
      <c r="K1109" s="8"/>
      <c r="L1109" s="8"/>
      <c r="M1109" s="8"/>
      <c r="N1109" s="8"/>
    </row>
    <row r="1110" spans="1:14" ht="21" customHeight="1">
      <c r="A1110" s="9" t="s">
        <v>1381</v>
      </c>
      <c r="B1110" s="48"/>
      <c r="C1110" s="48"/>
      <c r="D1110" s="10" t="s">
        <v>47</v>
      </c>
      <c r="E1110" s="10" t="s">
        <v>1346</v>
      </c>
      <c r="F1110" s="10" t="s">
        <v>265</v>
      </c>
      <c r="G1110" s="10" t="s">
        <v>1362</v>
      </c>
      <c r="H1110" s="11" t="str">
        <f>IF(AND(B1110="",C1110=""),"CUSTOM BLANK",IF(OR(B1110="",C1110=""),"ERROR - ENTER BOTH",IF(OR(B1110&lt;=0,C1110&lt;=0),"ERROR - NONPOSITIVE",IF(OR(B1110&lt;'01-Process Controls'!$G$10,C1110&lt;'01-Process Controls'!$G$10),"ERROR - BELOW MIN",IF(COUNTIFS($B$1078:B1109,B1110,$C$1078:C1109,C1110)&gt;0,"VALID - DUPLICATE SIZE","VALID - CUSTOM")))))</f>
        <v>CUSTOM BLANK</v>
      </c>
      <c r="I1110" s="10" t="s">
        <v>1348</v>
      </c>
      <c r="J1110" s="8"/>
      <c r="K1110" s="8"/>
      <c r="L1110" s="8"/>
      <c r="M1110" s="8"/>
      <c r="N1110" s="8"/>
    </row>
    <row r="1111" spans="1:14" ht="21" customHeight="1">
      <c r="A1111" s="9" t="s">
        <v>1382</v>
      </c>
      <c r="B1111" s="48"/>
      <c r="C1111" s="48"/>
      <c r="D1111" s="10" t="s">
        <v>47</v>
      </c>
      <c r="E1111" s="10" t="s">
        <v>1346</v>
      </c>
      <c r="F1111" s="10" t="s">
        <v>265</v>
      </c>
      <c r="G1111" s="10" t="s">
        <v>1362</v>
      </c>
      <c r="H1111" s="11" t="str">
        <f>IF(AND(B1111="",C1111=""),"CUSTOM BLANK",IF(OR(B1111="",C1111=""),"ERROR - ENTER BOTH",IF(OR(B1111&lt;=0,C1111&lt;=0),"ERROR - NONPOSITIVE",IF(OR(B1111&lt;'01-Process Controls'!$G$10,C1111&lt;'01-Process Controls'!$G$10),"ERROR - BELOW MIN",IF(COUNTIFS($B$1078:B1110,B1111,$C$1078:C1110,C1111)&gt;0,"VALID - DUPLICATE SIZE","VALID - CUSTOM")))))</f>
        <v>CUSTOM BLANK</v>
      </c>
      <c r="I1111" s="10" t="s">
        <v>1348</v>
      </c>
      <c r="J1111" s="8"/>
      <c r="K1111" s="8"/>
      <c r="L1111" s="8"/>
      <c r="M1111" s="8"/>
      <c r="N1111" s="8"/>
    </row>
    <row r="1112" spans="1:14" ht="21" customHeight="1">
      <c r="A1112" s="9" t="s">
        <v>1383</v>
      </c>
      <c r="B1112" s="48"/>
      <c r="C1112" s="48"/>
      <c r="D1112" s="10" t="s">
        <v>47</v>
      </c>
      <c r="E1112" s="10" t="s">
        <v>1346</v>
      </c>
      <c r="F1112" s="10" t="s">
        <v>265</v>
      </c>
      <c r="G1112" s="10" t="s">
        <v>1362</v>
      </c>
      <c r="H1112" s="11" t="str">
        <f>IF(AND(B1112="",C1112=""),"CUSTOM BLANK",IF(OR(B1112="",C1112=""),"ERROR - ENTER BOTH",IF(OR(B1112&lt;=0,C1112&lt;=0),"ERROR - NONPOSITIVE",IF(OR(B1112&lt;'01-Process Controls'!$G$10,C1112&lt;'01-Process Controls'!$G$10),"ERROR - BELOW MIN",IF(COUNTIFS($B$1078:B1111,B1112,$C$1078:C1111,C1112)&gt;0,"VALID - DUPLICATE SIZE","VALID - CUSTOM")))))</f>
        <v>CUSTOM BLANK</v>
      </c>
      <c r="I1112" s="10" t="s">
        <v>1348</v>
      </c>
      <c r="J1112" s="8"/>
      <c r="K1112" s="8"/>
      <c r="L1112" s="8"/>
      <c r="M1112" s="8"/>
      <c r="N1112" s="8"/>
    </row>
    <row r="1113" spans="1:14" ht="21" customHeight="1">
      <c r="A1113" s="9" t="s">
        <v>1384</v>
      </c>
      <c r="B1113" s="48"/>
      <c r="C1113" s="48"/>
      <c r="D1113" s="10" t="s">
        <v>47</v>
      </c>
      <c r="E1113" s="10" t="s">
        <v>1346</v>
      </c>
      <c r="F1113" s="10" t="s">
        <v>265</v>
      </c>
      <c r="G1113" s="10" t="s">
        <v>1362</v>
      </c>
      <c r="H1113" s="11" t="str">
        <f>IF(AND(B1113="",C1113=""),"CUSTOM BLANK",IF(OR(B1113="",C1113=""),"ERROR - ENTER BOTH",IF(OR(B1113&lt;=0,C1113&lt;=0),"ERROR - NONPOSITIVE",IF(OR(B1113&lt;'01-Process Controls'!$G$10,C1113&lt;'01-Process Controls'!$G$10),"ERROR - BELOW MIN",IF(COUNTIFS($B$1078:B1112,B1113,$C$1078:C1112,C1113)&gt;0,"VALID - DUPLICATE SIZE","VALID - CUSTOM")))))</f>
        <v>CUSTOM BLANK</v>
      </c>
      <c r="I1113" s="10" t="s">
        <v>1348</v>
      </c>
      <c r="J1113" s="8"/>
      <c r="K1113" s="8"/>
      <c r="L1113" s="8"/>
      <c r="M1113" s="8"/>
      <c r="N1113" s="8"/>
    </row>
    <row r="1114" spans="1:14" ht="21" customHeight="1">
      <c r="A1114" s="9" t="s">
        <v>1385</v>
      </c>
      <c r="B1114" s="48"/>
      <c r="C1114" s="48"/>
      <c r="D1114" s="10" t="s">
        <v>47</v>
      </c>
      <c r="E1114" s="10" t="s">
        <v>1346</v>
      </c>
      <c r="F1114" s="10" t="s">
        <v>265</v>
      </c>
      <c r="G1114" s="10" t="s">
        <v>1362</v>
      </c>
      <c r="H1114" s="11" t="str">
        <f>IF(AND(B1114="",C1114=""),"CUSTOM BLANK",IF(OR(B1114="",C1114=""),"ERROR - ENTER BOTH",IF(OR(B1114&lt;=0,C1114&lt;=0),"ERROR - NONPOSITIVE",IF(OR(B1114&lt;'01-Process Controls'!$G$10,C1114&lt;'01-Process Controls'!$G$10),"ERROR - BELOW MIN",IF(COUNTIFS($B$1078:B1113,B1114,$C$1078:C1113,C1114)&gt;0,"VALID - DUPLICATE SIZE","VALID - CUSTOM")))))</f>
        <v>CUSTOM BLANK</v>
      </c>
      <c r="I1114" s="10" t="s">
        <v>1348</v>
      </c>
      <c r="J1114" s="8"/>
      <c r="K1114" s="8"/>
      <c r="L1114" s="8"/>
      <c r="M1114" s="8"/>
      <c r="N1114" s="8"/>
    </row>
    <row r="1115" spans="1:14" ht="21" customHeight="1">
      <c r="A1115" s="9" t="s">
        <v>1386</v>
      </c>
      <c r="B1115" s="48"/>
      <c r="C1115" s="48"/>
      <c r="D1115" s="10" t="s">
        <v>47</v>
      </c>
      <c r="E1115" s="10" t="s">
        <v>1346</v>
      </c>
      <c r="F1115" s="10" t="s">
        <v>265</v>
      </c>
      <c r="G1115" s="10" t="s">
        <v>1362</v>
      </c>
      <c r="H1115" s="11" t="str">
        <f>IF(AND(B1115="",C1115=""),"CUSTOM BLANK",IF(OR(B1115="",C1115=""),"ERROR - ENTER BOTH",IF(OR(B1115&lt;=0,C1115&lt;=0),"ERROR - NONPOSITIVE",IF(OR(B1115&lt;'01-Process Controls'!$G$10,C1115&lt;'01-Process Controls'!$G$10),"ERROR - BELOW MIN",IF(COUNTIFS($B$1078:B1114,B1115,$C$1078:C1114,C1115)&gt;0,"VALID - DUPLICATE SIZE","VALID - CUSTOM")))))</f>
        <v>CUSTOM BLANK</v>
      </c>
      <c r="I1115" s="10" t="s">
        <v>1348</v>
      </c>
      <c r="J1115" s="8"/>
      <c r="K1115" s="8"/>
      <c r="L1115" s="8"/>
      <c r="M1115" s="8"/>
      <c r="N1115" s="8"/>
    </row>
    <row r="1116" spans="1:14" ht="21" customHeight="1">
      <c r="A1116" s="9" t="s">
        <v>1387</v>
      </c>
      <c r="B1116" s="48"/>
      <c r="C1116" s="48"/>
      <c r="D1116" s="10" t="s">
        <v>47</v>
      </c>
      <c r="E1116" s="10" t="s">
        <v>1346</v>
      </c>
      <c r="F1116" s="10" t="s">
        <v>265</v>
      </c>
      <c r="G1116" s="10" t="s">
        <v>1362</v>
      </c>
      <c r="H1116" s="11" t="str">
        <f>IF(AND(B1116="",C1116=""),"CUSTOM BLANK",IF(OR(B1116="",C1116=""),"ERROR - ENTER BOTH",IF(OR(B1116&lt;=0,C1116&lt;=0),"ERROR - NONPOSITIVE",IF(OR(B1116&lt;'01-Process Controls'!$G$10,C1116&lt;'01-Process Controls'!$G$10),"ERROR - BELOW MIN",IF(COUNTIFS($B$1078:B1115,B1116,$C$1078:C1115,C1116)&gt;0,"VALID - DUPLICATE SIZE","VALID - CUSTOM")))))</f>
        <v>CUSTOM BLANK</v>
      </c>
      <c r="I1116" s="10" t="s">
        <v>1348</v>
      </c>
      <c r="J1116" s="8"/>
      <c r="K1116" s="8"/>
      <c r="L1116" s="8"/>
      <c r="M1116" s="8"/>
      <c r="N1116" s="8"/>
    </row>
    <row r="1117" spans="1:14" ht="21" customHeight="1">
      <c r="A1117" s="9" t="s">
        <v>1388</v>
      </c>
      <c r="B1117" s="48"/>
      <c r="C1117" s="48"/>
      <c r="D1117" s="10" t="s">
        <v>47</v>
      </c>
      <c r="E1117" s="10" t="s">
        <v>1346</v>
      </c>
      <c r="F1117" s="10" t="s">
        <v>265</v>
      </c>
      <c r="G1117" s="10" t="s">
        <v>1362</v>
      </c>
      <c r="H1117" s="11" t="str">
        <f>IF(AND(B1117="",C1117=""),"CUSTOM BLANK",IF(OR(B1117="",C1117=""),"ERROR - ENTER BOTH",IF(OR(B1117&lt;=0,C1117&lt;=0),"ERROR - NONPOSITIVE",IF(OR(B1117&lt;'01-Process Controls'!$G$10,C1117&lt;'01-Process Controls'!$G$10),"ERROR - BELOW MIN",IF(COUNTIFS($B$1078:B1116,B1117,$C$1078:C1116,C1117)&gt;0,"VALID - DUPLICATE SIZE","VALID - CUSTOM")))))</f>
        <v>CUSTOM BLANK</v>
      </c>
      <c r="I1117" s="10" t="s">
        <v>1348</v>
      </c>
      <c r="J1117" s="8"/>
      <c r="K1117" s="8"/>
      <c r="L1117" s="8"/>
      <c r="M1117" s="8"/>
      <c r="N1117" s="8"/>
    </row>
    <row r="1118" spans="1:14" ht="21" customHeight="1">
      <c r="A1118" s="9" t="s">
        <v>1389</v>
      </c>
      <c r="B1118" s="48"/>
      <c r="C1118" s="48"/>
      <c r="D1118" s="10" t="s">
        <v>47</v>
      </c>
      <c r="E1118" s="10" t="s">
        <v>1346</v>
      </c>
      <c r="F1118" s="10" t="s">
        <v>265</v>
      </c>
      <c r="G1118" s="10" t="s">
        <v>1362</v>
      </c>
      <c r="H1118" s="11" t="str">
        <f>IF(AND(B1118="",C1118=""),"CUSTOM BLANK",IF(OR(B1118="",C1118=""),"ERROR - ENTER BOTH",IF(OR(B1118&lt;=0,C1118&lt;=0),"ERROR - NONPOSITIVE",IF(OR(B1118&lt;'01-Process Controls'!$G$10,C1118&lt;'01-Process Controls'!$G$10),"ERROR - BELOW MIN",IF(COUNTIFS($B$1078:B1117,B1118,$C$1078:C1117,C1118)&gt;0,"VALID - DUPLICATE SIZE","VALID - CUSTOM")))))</f>
        <v>CUSTOM BLANK</v>
      </c>
      <c r="I1118" s="10" t="s">
        <v>1348</v>
      </c>
      <c r="J1118" s="8"/>
      <c r="K1118" s="8"/>
      <c r="L1118" s="8"/>
      <c r="M1118" s="8"/>
      <c r="N1118" s="8"/>
    </row>
    <row r="1119" spans="1:14" ht="21" customHeight="1">
      <c r="A1119" s="9" t="s">
        <v>1390</v>
      </c>
      <c r="B1119" s="48"/>
      <c r="C1119" s="48"/>
      <c r="D1119" s="10" t="s">
        <v>47</v>
      </c>
      <c r="E1119" s="10" t="s">
        <v>1346</v>
      </c>
      <c r="F1119" s="10" t="s">
        <v>265</v>
      </c>
      <c r="G1119" s="10" t="s">
        <v>1362</v>
      </c>
      <c r="H1119" s="11" t="str">
        <f>IF(AND(B1119="",C1119=""),"CUSTOM BLANK",IF(OR(B1119="",C1119=""),"ERROR - ENTER BOTH",IF(OR(B1119&lt;=0,C1119&lt;=0),"ERROR - NONPOSITIVE",IF(OR(B1119&lt;'01-Process Controls'!$G$10,C1119&lt;'01-Process Controls'!$G$10),"ERROR - BELOW MIN",IF(COUNTIFS($B$1078:B1118,B1119,$C$1078:C1118,C1119)&gt;0,"VALID - DUPLICATE SIZE","VALID - CUSTOM")))))</f>
        <v>CUSTOM BLANK</v>
      </c>
      <c r="I1119" s="10" t="s">
        <v>1348</v>
      </c>
      <c r="J1119" s="8"/>
      <c r="K1119" s="8"/>
      <c r="L1119" s="8"/>
      <c r="M1119" s="8"/>
      <c r="N1119" s="8"/>
    </row>
    <row r="1120" spans="1:14" ht="21" customHeight="1">
      <c r="A1120" s="9" t="s">
        <v>1391</v>
      </c>
      <c r="B1120" s="48"/>
      <c r="C1120" s="48"/>
      <c r="D1120" s="10" t="s">
        <v>47</v>
      </c>
      <c r="E1120" s="10" t="s">
        <v>1346</v>
      </c>
      <c r="F1120" s="10" t="s">
        <v>265</v>
      </c>
      <c r="G1120" s="10" t="s">
        <v>1362</v>
      </c>
      <c r="H1120" s="11" t="str">
        <f>IF(AND(B1120="",C1120=""),"CUSTOM BLANK",IF(OR(B1120="",C1120=""),"ERROR - ENTER BOTH",IF(OR(B1120&lt;=0,C1120&lt;=0),"ERROR - NONPOSITIVE",IF(OR(B1120&lt;'01-Process Controls'!$G$10,C1120&lt;'01-Process Controls'!$G$10),"ERROR - BELOW MIN",IF(COUNTIFS($B$1078:B1119,B1120,$C$1078:C1119,C1120)&gt;0,"VALID - DUPLICATE SIZE","VALID - CUSTOM")))))</f>
        <v>CUSTOM BLANK</v>
      </c>
      <c r="I1120" s="10" t="s">
        <v>1348</v>
      </c>
      <c r="J1120" s="8"/>
      <c r="K1120" s="8"/>
      <c r="L1120" s="8"/>
      <c r="M1120" s="8"/>
      <c r="N1120" s="8"/>
    </row>
    <row r="1121" spans="1:14" ht="21" customHeight="1">
      <c r="A1121" s="9" t="s">
        <v>1392</v>
      </c>
      <c r="B1121" s="48"/>
      <c r="C1121" s="48"/>
      <c r="D1121" s="10" t="s">
        <v>47</v>
      </c>
      <c r="E1121" s="10" t="s">
        <v>1346</v>
      </c>
      <c r="F1121" s="10" t="s">
        <v>265</v>
      </c>
      <c r="G1121" s="10" t="s">
        <v>1362</v>
      </c>
      <c r="H1121" s="11" t="str">
        <f>IF(AND(B1121="",C1121=""),"CUSTOM BLANK",IF(OR(B1121="",C1121=""),"ERROR - ENTER BOTH",IF(OR(B1121&lt;=0,C1121&lt;=0),"ERROR - NONPOSITIVE",IF(OR(B1121&lt;'01-Process Controls'!$G$10,C1121&lt;'01-Process Controls'!$G$10),"ERROR - BELOW MIN",IF(COUNTIFS($B$1078:B1120,B1121,$C$1078:C1120,C1121)&gt;0,"VALID - DUPLICATE SIZE","VALID - CUSTOM")))))</f>
        <v>CUSTOM BLANK</v>
      </c>
      <c r="I1121" s="10" t="s">
        <v>1348</v>
      </c>
      <c r="J1121" s="8"/>
      <c r="K1121" s="8"/>
      <c r="L1121" s="8"/>
      <c r="M1121" s="8"/>
      <c r="N1121" s="8"/>
    </row>
    <row r="1122" spans="1:14" ht="21" customHeight="1">
      <c r="A1122" s="9" t="s">
        <v>1393</v>
      </c>
      <c r="B1122" s="48"/>
      <c r="C1122" s="48"/>
      <c r="D1122" s="10" t="s">
        <v>47</v>
      </c>
      <c r="E1122" s="10" t="s">
        <v>1346</v>
      </c>
      <c r="F1122" s="10" t="s">
        <v>265</v>
      </c>
      <c r="G1122" s="10" t="s">
        <v>1362</v>
      </c>
      <c r="H1122" s="11" t="str">
        <f>IF(AND(B1122="",C1122=""),"CUSTOM BLANK",IF(OR(B1122="",C1122=""),"ERROR - ENTER BOTH",IF(OR(B1122&lt;=0,C1122&lt;=0),"ERROR - NONPOSITIVE",IF(OR(B1122&lt;'01-Process Controls'!$G$10,C1122&lt;'01-Process Controls'!$G$10),"ERROR - BELOW MIN",IF(COUNTIFS($B$1078:B1121,B1122,$C$1078:C1121,C1122)&gt;0,"VALID - DUPLICATE SIZE","VALID - CUSTOM")))))</f>
        <v>CUSTOM BLANK</v>
      </c>
      <c r="I1122" s="10" t="s">
        <v>1348</v>
      </c>
      <c r="J1122" s="8"/>
      <c r="K1122" s="8"/>
      <c r="L1122" s="8"/>
      <c r="M1122" s="8"/>
      <c r="N1122" s="8"/>
    </row>
    <row r="1123" spans="1:14" ht="21" customHeight="1">
      <c r="A1123" s="9" t="s">
        <v>1394</v>
      </c>
      <c r="B1123" s="48"/>
      <c r="C1123" s="48"/>
      <c r="D1123" s="10" t="s">
        <v>47</v>
      </c>
      <c r="E1123" s="10" t="s">
        <v>1346</v>
      </c>
      <c r="F1123" s="10" t="s">
        <v>265</v>
      </c>
      <c r="G1123" s="10" t="s">
        <v>1362</v>
      </c>
      <c r="H1123" s="11" t="str">
        <f>IF(AND(B1123="",C1123=""),"CUSTOM BLANK",IF(OR(B1123="",C1123=""),"ERROR - ENTER BOTH",IF(OR(B1123&lt;=0,C1123&lt;=0),"ERROR - NONPOSITIVE",IF(OR(B1123&lt;'01-Process Controls'!$G$10,C1123&lt;'01-Process Controls'!$G$10),"ERROR - BELOW MIN",IF(COUNTIFS($B$1078:B1122,B1123,$C$1078:C1122,C1123)&gt;0,"VALID - DUPLICATE SIZE","VALID - CUSTOM")))))</f>
        <v>CUSTOM BLANK</v>
      </c>
      <c r="I1123" s="10" t="s">
        <v>1348</v>
      </c>
      <c r="J1123" s="8"/>
      <c r="K1123" s="8"/>
      <c r="L1123" s="8"/>
      <c r="M1123" s="8"/>
      <c r="N1123" s="8"/>
    </row>
    <row r="1124" spans="1:14" ht="21" customHeight="1">
      <c r="A1124" s="9" t="s">
        <v>1395</v>
      </c>
      <c r="B1124" s="48"/>
      <c r="C1124" s="48"/>
      <c r="D1124" s="10" t="s">
        <v>47</v>
      </c>
      <c r="E1124" s="10" t="s">
        <v>1346</v>
      </c>
      <c r="F1124" s="10" t="s">
        <v>265</v>
      </c>
      <c r="G1124" s="10" t="s">
        <v>1362</v>
      </c>
      <c r="H1124" s="11" t="str">
        <f>IF(AND(B1124="",C1124=""),"CUSTOM BLANK",IF(OR(B1124="",C1124=""),"ERROR - ENTER BOTH",IF(OR(B1124&lt;=0,C1124&lt;=0),"ERROR - NONPOSITIVE",IF(OR(B1124&lt;'01-Process Controls'!$G$10,C1124&lt;'01-Process Controls'!$G$10),"ERROR - BELOW MIN",IF(COUNTIFS($B$1078:B1123,B1124,$C$1078:C1123,C1124)&gt;0,"VALID - DUPLICATE SIZE","VALID - CUSTOM")))))</f>
        <v>CUSTOM BLANK</v>
      </c>
      <c r="I1124" s="10" t="s">
        <v>1348</v>
      </c>
      <c r="J1124" s="8"/>
      <c r="K1124" s="8"/>
      <c r="L1124" s="8"/>
      <c r="M1124" s="8"/>
      <c r="N1124" s="8"/>
    </row>
    <row r="1125" spans="1:14" ht="21" customHeight="1">
      <c r="A1125" s="9" t="s">
        <v>1396</v>
      </c>
      <c r="B1125" s="48"/>
      <c r="C1125" s="48"/>
      <c r="D1125" s="10" t="s">
        <v>47</v>
      </c>
      <c r="E1125" s="10" t="s">
        <v>1346</v>
      </c>
      <c r="F1125" s="10" t="s">
        <v>265</v>
      </c>
      <c r="G1125" s="10" t="s">
        <v>1362</v>
      </c>
      <c r="H1125" s="11" t="str">
        <f>IF(AND(B1125="",C1125=""),"CUSTOM BLANK",IF(OR(B1125="",C1125=""),"ERROR - ENTER BOTH",IF(OR(B1125&lt;=0,C1125&lt;=0),"ERROR - NONPOSITIVE",IF(OR(B1125&lt;'01-Process Controls'!$G$10,C1125&lt;'01-Process Controls'!$G$10),"ERROR - BELOW MIN",IF(COUNTIFS($B$1078:B1124,B1125,$C$1078:C1124,C1125)&gt;0,"VALID - DUPLICATE SIZE","VALID - CUSTOM")))))</f>
        <v>CUSTOM BLANK</v>
      </c>
      <c r="I1125" s="10" t="s">
        <v>1348</v>
      </c>
      <c r="J1125" s="8"/>
      <c r="K1125" s="8"/>
      <c r="L1125" s="8"/>
      <c r="M1125" s="8"/>
      <c r="N1125" s="8"/>
    </row>
    <row r="1126" spans="1:14" ht="21" customHeight="1">
      <c r="A1126" s="9" t="s">
        <v>1397</v>
      </c>
      <c r="B1126" s="48"/>
      <c r="C1126" s="48"/>
      <c r="D1126" s="10" t="s">
        <v>47</v>
      </c>
      <c r="E1126" s="10" t="s">
        <v>1346</v>
      </c>
      <c r="F1126" s="10" t="s">
        <v>265</v>
      </c>
      <c r="G1126" s="10" t="s">
        <v>1362</v>
      </c>
      <c r="H1126" s="11" t="str">
        <f>IF(AND(B1126="",C1126=""),"CUSTOM BLANK",IF(OR(B1126="",C1126=""),"ERROR - ENTER BOTH",IF(OR(B1126&lt;=0,C1126&lt;=0),"ERROR - NONPOSITIVE",IF(OR(B1126&lt;'01-Process Controls'!$G$10,C1126&lt;'01-Process Controls'!$G$10),"ERROR - BELOW MIN",IF(COUNTIFS($B$1078:B1125,B1126,$C$1078:C1125,C1126)&gt;0,"VALID - DUPLICATE SIZE","VALID - CUSTOM")))))</f>
        <v>CUSTOM BLANK</v>
      </c>
      <c r="I1126" s="10" t="s">
        <v>1348</v>
      </c>
      <c r="J1126" s="8"/>
      <c r="K1126" s="8"/>
      <c r="L1126" s="8"/>
      <c r="M1126" s="8"/>
      <c r="N1126" s="8"/>
    </row>
    <row r="1127" spans="1:14" ht="21" customHeight="1">
      <c r="A1127" s="9" t="s">
        <v>1398</v>
      </c>
      <c r="B1127" s="48"/>
      <c r="C1127" s="48"/>
      <c r="D1127" s="10" t="s">
        <v>47</v>
      </c>
      <c r="E1127" s="10" t="s">
        <v>1346</v>
      </c>
      <c r="F1127" s="10" t="s">
        <v>265</v>
      </c>
      <c r="G1127" s="10" t="s">
        <v>1362</v>
      </c>
      <c r="H1127" s="11" t="str">
        <f>IF(AND(B1127="",C1127=""),"CUSTOM BLANK",IF(OR(B1127="",C1127=""),"ERROR - ENTER BOTH",IF(OR(B1127&lt;=0,C1127&lt;=0),"ERROR - NONPOSITIVE",IF(OR(B1127&lt;'01-Process Controls'!$G$10,C1127&lt;'01-Process Controls'!$G$10),"ERROR - BELOW MIN",IF(COUNTIFS($B$1078:B1126,B1127,$C$1078:C1126,C1127)&gt;0,"VALID - DUPLICATE SIZE","VALID - CUSTOM")))))</f>
        <v>CUSTOM BLANK</v>
      </c>
      <c r="I1127" s="10" t="s">
        <v>1348</v>
      </c>
      <c r="J1127" s="8"/>
      <c r="K1127" s="8"/>
      <c r="L1127" s="8"/>
      <c r="M1127" s="8"/>
      <c r="N1127" s="8"/>
    </row>
    <row r="1128" spans="1:14" ht="21" customHeight="1">
      <c r="A1128" s="44" t="s">
        <v>41</v>
      </c>
      <c r="B1128" s="52">
        <f>ROUNDDOWN('03-POD Product Guide'!$E$113,0)</f>
        <v>1600</v>
      </c>
      <c r="C1128" s="52">
        <f>ROUNDDOWN('03-POD Product Guide'!$F$113,0)</f>
        <v>1000</v>
      </c>
      <c r="D1128" s="46" t="s">
        <v>41</v>
      </c>
      <c r="E1128" s="46" t="s">
        <v>1399</v>
      </c>
      <c r="F1128" s="46" t="s">
        <v>1171</v>
      </c>
      <c r="G1128" s="46" t="s">
        <v>1400</v>
      </c>
      <c r="H1128" s="47" t="str">
        <f>'03-POD Product Guide'!$J$113</f>
        <v>VALID - NOMINAL EDGE</v>
      </c>
      <c r="I1128" s="46" t="s">
        <v>1401</v>
      </c>
      <c r="J1128" s="8"/>
      <c r="K1128" s="8"/>
      <c r="L1128" s="8"/>
      <c r="M1128" s="8"/>
      <c r="N1128" s="8"/>
    </row>
    <row r="1129" spans="1:14" ht="21" customHeight="1">
      <c r="A1129" s="9" t="s">
        <v>1402</v>
      </c>
      <c r="B1129" s="53">
        <f>ROUNDDOWN('03-POD Product Guide'!$E$114,0)</f>
        <v>1580</v>
      </c>
      <c r="C1129" s="53">
        <f>ROUNDDOWN('03-POD Product Guide'!$F$114,0)</f>
        <v>980</v>
      </c>
      <c r="D1129" s="10" t="s">
        <v>41</v>
      </c>
      <c r="E1129" s="10" t="s">
        <v>1403</v>
      </c>
      <c r="F1129" s="10" t="s">
        <v>1171</v>
      </c>
      <c r="G1129" s="10" t="s">
        <v>1400</v>
      </c>
      <c r="H1129" s="11" t="str">
        <f>'03-POD Product Guide'!$J$114</f>
        <v>VALID - SAFE</v>
      </c>
      <c r="I1129" s="10" t="s">
        <v>1404</v>
      </c>
      <c r="J1129" s="8"/>
      <c r="K1129" s="8"/>
      <c r="L1129" s="8"/>
      <c r="M1129" s="8"/>
      <c r="N1129" s="8"/>
    </row>
    <row r="1130" spans="1:14" ht="21" customHeight="1">
      <c r="A1130" s="9" t="s">
        <v>1405</v>
      </c>
      <c r="B1130" s="53">
        <f>ROUNDDOWN('03-POD Product Guide'!$E$115,0)</f>
        <v>600</v>
      </c>
      <c r="C1130" s="53">
        <f>ROUNDDOWN('03-POD Product Guide'!$F$115,0)</f>
        <v>900</v>
      </c>
      <c r="D1130" s="10" t="s">
        <v>41</v>
      </c>
      <c r="E1130" s="10" t="s">
        <v>1406</v>
      </c>
      <c r="F1130" s="10" t="s">
        <v>1192</v>
      </c>
      <c r="G1130" s="10" t="s">
        <v>1183</v>
      </c>
      <c r="H1130" s="11" t="str">
        <f>'03-POD Product Guide'!$J$115</f>
        <v>VALID - SAFE</v>
      </c>
      <c r="I1130" s="10" t="s">
        <v>1407</v>
      </c>
      <c r="J1130" s="8"/>
      <c r="K1130" s="8"/>
      <c r="L1130" s="8"/>
      <c r="M1130" s="8"/>
      <c r="N1130" s="8"/>
    </row>
    <row r="1131" spans="1:14" ht="21" customHeight="1">
      <c r="A1131" s="9" t="s">
        <v>1408</v>
      </c>
      <c r="B1131" s="53">
        <f>ROUNDDOWN('03-POD Product Guide'!$E$116,0)</f>
        <v>600</v>
      </c>
      <c r="C1131" s="53">
        <f>ROUNDDOWN('03-POD Product Guide'!$F$116,0)</f>
        <v>1200</v>
      </c>
      <c r="D1131" s="10" t="s">
        <v>41</v>
      </c>
      <c r="E1131" s="10" t="s">
        <v>1409</v>
      </c>
      <c r="F1131" s="10" t="s">
        <v>1192</v>
      </c>
      <c r="G1131" s="10" t="s">
        <v>1183</v>
      </c>
      <c r="H1131" s="11" t="str">
        <f>'03-POD Product Guide'!$J$116</f>
        <v>VALID - SAFE</v>
      </c>
      <c r="I1131" s="10" t="s">
        <v>1410</v>
      </c>
      <c r="J1131" s="8"/>
      <c r="K1131" s="8"/>
      <c r="L1131" s="8"/>
      <c r="M1131" s="8"/>
      <c r="N1131" s="8"/>
    </row>
    <row r="1132" spans="1:14" ht="21" customHeight="1">
      <c r="A1132" s="9" t="s">
        <v>1411</v>
      </c>
      <c r="B1132" s="53">
        <f>ROUNDDOWN('03-POD Product Guide'!$E$117,0)</f>
        <v>600</v>
      </c>
      <c r="C1132" s="53">
        <f>ROUNDDOWN('03-POD Product Guide'!$F$117,0)</f>
        <v>1800</v>
      </c>
      <c r="D1132" s="10" t="s">
        <v>41</v>
      </c>
      <c r="E1132" s="10" t="s">
        <v>1412</v>
      </c>
      <c r="F1132" s="10" t="s">
        <v>1192</v>
      </c>
      <c r="G1132" s="10" t="s">
        <v>1183</v>
      </c>
      <c r="H1132" s="11" t="str">
        <f>'03-POD Product Guide'!$J$117</f>
        <v>VALID - SAFE</v>
      </c>
      <c r="I1132" s="10" t="s">
        <v>1413</v>
      </c>
      <c r="J1132" s="8"/>
      <c r="K1132" s="8"/>
      <c r="L1132" s="8"/>
      <c r="M1132" s="8"/>
      <c r="N1132" s="8"/>
    </row>
    <row r="1133" spans="1:14" ht="21" customHeight="1">
      <c r="A1133" s="9" t="s">
        <v>1414</v>
      </c>
      <c r="B1133" s="53">
        <f>ROUNDDOWN('03-POD Product Guide'!$E$118,0)</f>
        <v>800</v>
      </c>
      <c r="C1133" s="53">
        <f>ROUNDDOWN('03-POD Product Guide'!$F$118,0)</f>
        <v>1200</v>
      </c>
      <c r="D1133" s="10" t="s">
        <v>41</v>
      </c>
      <c r="E1133" s="10" t="s">
        <v>1415</v>
      </c>
      <c r="F1133" s="10" t="s">
        <v>1192</v>
      </c>
      <c r="G1133" s="10" t="s">
        <v>1183</v>
      </c>
      <c r="H1133" s="11" t="str">
        <f>'03-POD Product Guide'!$J$118</f>
        <v>VALID - SAFE</v>
      </c>
      <c r="I1133" s="10" t="s">
        <v>1416</v>
      </c>
      <c r="J1133" s="8"/>
      <c r="K1133" s="8"/>
      <c r="L1133" s="8"/>
      <c r="M1133" s="8"/>
      <c r="N1133" s="8"/>
    </row>
    <row r="1134" spans="1:14" ht="21" customHeight="1">
      <c r="A1134" s="9" t="s">
        <v>1417</v>
      </c>
      <c r="B1134" s="53">
        <f>ROUNDDOWN('03-POD Product Guide'!$E$119,0)</f>
        <v>800</v>
      </c>
      <c r="C1134" s="53">
        <f>ROUNDDOWN('03-POD Product Guide'!$F$119,0)</f>
        <v>1800</v>
      </c>
      <c r="D1134" s="10" t="s">
        <v>41</v>
      </c>
      <c r="E1134" s="10" t="s">
        <v>1415</v>
      </c>
      <c r="F1134" s="10" t="s">
        <v>1192</v>
      </c>
      <c r="G1134" s="10" t="s">
        <v>1183</v>
      </c>
      <c r="H1134" s="11" t="str">
        <f>'03-POD Product Guide'!$J$119</f>
        <v>VALID - SAFE</v>
      </c>
      <c r="I1134" s="10" t="s">
        <v>1416</v>
      </c>
      <c r="J1134" s="8"/>
      <c r="K1134" s="8"/>
      <c r="L1134" s="8"/>
      <c r="M1134" s="8"/>
      <c r="N1134" s="8"/>
    </row>
    <row r="1135" spans="1:14" ht="21" customHeight="1">
      <c r="A1135" s="9" t="s">
        <v>1418</v>
      </c>
      <c r="B1135" s="53">
        <f>ROUNDDOWN('03-POD Product Guide'!$E$120,0)</f>
        <v>800</v>
      </c>
      <c r="C1135" s="53">
        <f>ROUNDDOWN('03-POD Product Guide'!$F$120,0)</f>
        <v>2000</v>
      </c>
      <c r="D1135" s="10" t="s">
        <v>41</v>
      </c>
      <c r="E1135" s="10" t="s">
        <v>1415</v>
      </c>
      <c r="F1135" s="10" t="s">
        <v>1192</v>
      </c>
      <c r="G1135" s="10" t="s">
        <v>1183</v>
      </c>
      <c r="H1135" s="11" t="str">
        <f>'03-POD Product Guide'!$J$120</f>
        <v>VALID - SAFE</v>
      </c>
      <c r="I1135" s="10" t="s">
        <v>1416</v>
      </c>
      <c r="J1135" s="8"/>
      <c r="K1135" s="8"/>
      <c r="L1135" s="8"/>
      <c r="M1135" s="8"/>
      <c r="N1135" s="8"/>
    </row>
    <row r="1136" spans="1:14" ht="21" customHeight="1">
      <c r="A1136" s="9" t="s">
        <v>1419</v>
      </c>
      <c r="B1136" s="53">
        <f>ROUNDDOWN('03-POD Product Guide'!$E$121,0)</f>
        <v>1000</v>
      </c>
      <c r="C1136" s="53">
        <f>ROUNDDOWN('03-POD Product Guide'!$F$121,0)</f>
        <v>1000</v>
      </c>
      <c r="D1136" s="10" t="s">
        <v>41</v>
      </c>
      <c r="E1136" s="10" t="s">
        <v>1420</v>
      </c>
      <c r="F1136" s="10" t="s">
        <v>1192</v>
      </c>
      <c r="G1136" s="10" t="s">
        <v>1193</v>
      </c>
      <c r="H1136" s="11" t="str">
        <f>'03-POD Product Guide'!$J$121</f>
        <v>VALID - SAFE</v>
      </c>
      <c r="I1136" s="10" t="s">
        <v>1416</v>
      </c>
      <c r="J1136" s="8"/>
      <c r="K1136" s="8"/>
      <c r="L1136" s="8"/>
      <c r="M1136" s="8"/>
      <c r="N1136" s="8"/>
    </row>
    <row r="1137" spans="1:14" ht="21" customHeight="1">
      <c r="A1137" s="9" t="s">
        <v>1421</v>
      </c>
      <c r="B1137" s="53">
        <f>ROUNDDOWN('03-POD Product Guide'!$E$122,0)</f>
        <v>1000</v>
      </c>
      <c r="C1137" s="53">
        <f>ROUNDDOWN('03-POD Product Guide'!$F$122,0)</f>
        <v>1500</v>
      </c>
      <c r="D1137" s="10" t="s">
        <v>41</v>
      </c>
      <c r="E1137" s="10" t="s">
        <v>1415</v>
      </c>
      <c r="F1137" s="10" t="s">
        <v>1192</v>
      </c>
      <c r="G1137" s="10" t="s">
        <v>1183</v>
      </c>
      <c r="H1137" s="11" t="str">
        <f>'03-POD Product Guide'!$J$122</f>
        <v>VALID - SAFE</v>
      </c>
      <c r="I1137" s="10" t="s">
        <v>1416</v>
      </c>
      <c r="J1137" s="8"/>
      <c r="K1137" s="8"/>
      <c r="L1137" s="8"/>
      <c r="M1137" s="8"/>
      <c r="N1137" s="8"/>
    </row>
    <row r="1138" spans="1:14" ht="21" customHeight="1">
      <c r="A1138" s="9" t="s">
        <v>1422</v>
      </c>
      <c r="B1138" s="53">
        <f>ROUNDDOWN('03-POD Product Guide'!$E$123,0)</f>
        <v>1000</v>
      </c>
      <c r="C1138" s="53">
        <f>ROUNDDOWN('03-POD Product Guide'!$F$123,0)</f>
        <v>2000</v>
      </c>
      <c r="D1138" s="10" t="s">
        <v>41</v>
      </c>
      <c r="E1138" s="10" t="s">
        <v>1415</v>
      </c>
      <c r="F1138" s="10" t="s">
        <v>1192</v>
      </c>
      <c r="G1138" s="10" t="s">
        <v>1183</v>
      </c>
      <c r="H1138" s="11" t="str">
        <f>'03-POD Product Guide'!$J$123</f>
        <v>VALID - SAFE</v>
      </c>
      <c r="I1138" s="10" t="s">
        <v>1416</v>
      </c>
      <c r="J1138" s="8"/>
      <c r="K1138" s="8"/>
      <c r="L1138" s="8"/>
      <c r="M1138" s="8"/>
      <c r="N1138" s="8"/>
    </row>
    <row r="1139" spans="1:14" ht="21" customHeight="1">
      <c r="A1139" s="9" t="s">
        <v>1423</v>
      </c>
      <c r="B1139" s="53">
        <f>ROUNDDOWN('03-POD Product Guide'!$E$124,0)</f>
        <v>1000</v>
      </c>
      <c r="C1139" s="53">
        <f>ROUNDDOWN('03-POD Product Guide'!$F$124,0)</f>
        <v>3000</v>
      </c>
      <c r="D1139" s="10" t="s">
        <v>41</v>
      </c>
      <c r="E1139" s="10" t="s">
        <v>1415</v>
      </c>
      <c r="F1139" s="10" t="s">
        <v>1192</v>
      </c>
      <c r="G1139" s="10" t="s">
        <v>1183</v>
      </c>
      <c r="H1139" s="11" t="str">
        <f>'03-POD Product Guide'!$J$124</f>
        <v>VALID - SAFE</v>
      </c>
      <c r="I1139" s="10" t="s">
        <v>1416</v>
      </c>
      <c r="J1139" s="8"/>
      <c r="K1139" s="8"/>
      <c r="L1139" s="8"/>
      <c r="M1139" s="8"/>
      <c r="N1139" s="8"/>
    </row>
    <row r="1140" spans="1:14" ht="21" customHeight="1">
      <c r="A1140" s="9" t="s">
        <v>1424</v>
      </c>
      <c r="B1140" s="53">
        <f>ROUNDDOWN('03-POD Product Guide'!$E$125,0)</f>
        <v>1200</v>
      </c>
      <c r="C1140" s="53">
        <f>ROUNDDOWN('03-POD Product Guide'!$F$125,0)</f>
        <v>1200</v>
      </c>
      <c r="D1140" s="10" t="s">
        <v>41</v>
      </c>
      <c r="E1140" s="10" t="s">
        <v>1420</v>
      </c>
      <c r="F1140" s="10" t="s">
        <v>1192</v>
      </c>
      <c r="G1140" s="10" t="s">
        <v>1193</v>
      </c>
      <c r="H1140" s="11" t="str">
        <f>'03-POD Product Guide'!$J$125</f>
        <v>VALID - SAFE</v>
      </c>
      <c r="I1140" s="10" t="s">
        <v>1416</v>
      </c>
      <c r="J1140" s="8"/>
      <c r="K1140" s="8"/>
      <c r="L1140" s="8"/>
      <c r="M1140" s="8"/>
      <c r="N1140" s="8"/>
    </row>
    <row r="1141" spans="1:14" ht="21" customHeight="1">
      <c r="A1141" s="9" t="s">
        <v>1425</v>
      </c>
      <c r="B1141" s="53">
        <f>ROUNDDOWN('03-POD Product Guide'!$E$126,0)</f>
        <v>1200</v>
      </c>
      <c r="C1141" s="53">
        <f>ROUNDDOWN('03-POD Product Guide'!$F$126,0)</f>
        <v>1800</v>
      </c>
      <c r="D1141" s="10" t="s">
        <v>41</v>
      </c>
      <c r="E1141" s="10" t="s">
        <v>1415</v>
      </c>
      <c r="F1141" s="10" t="s">
        <v>1192</v>
      </c>
      <c r="G1141" s="10" t="s">
        <v>1183</v>
      </c>
      <c r="H1141" s="11" t="str">
        <f>'03-POD Product Guide'!$J$126</f>
        <v>VALID - SAFE</v>
      </c>
      <c r="I1141" s="10" t="s">
        <v>1416</v>
      </c>
      <c r="J1141" s="8"/>
      <c r="K1141" s="8"/>
      <c r="L1141" s="8"/>
      <c r="M1141" s="8"/>
      <c r="N1141" s="8"/>
    </row>
    <row r="1142" spans="1:14" ht="21" customHeight="1">
      <c r="A1142" s="9" t="s">
        <v>1426</v>
      </c>
      <c r="B1142" s="53">
        <f>ROUNDDOWN('03-POD Product Guide'!$E$127,0)</f>
        <v>1200</v>
      </c>
      <c r="C1142" s="53">
        <f>ROUNDDOWN('03-POD Product Guide'!$F$127,0)</f>
        <v>2000</v>
      </c>
      <c r="D1142" s="10" t="s">
        <v>41</v>
      </c>
      <c r="E1142" s="10" t="s">
        <v>1415</v>
      </c>
      <c r="F1142" s="10" t="s">
        <v>1192</v>
      </c>
      <c r="G1142" s="10" t="s">
        <v>1183</v>
      </c>
      <c r="H1142" s="11" t="str">
        <f>'03-POD Product Guide'!$J$127</f>
        <v>VALID - SAFE</v>
      </c>
      <c r="I1142" s="10" t="s">
        <v>1416</v>
      </c>
      <c r="J1142" s="8"/>
      <c r="K1142" s="8"/>
      <c r="L1142" s="8"/>
      <c r="M1142" s="8"/>
      <c r="N1142" s="8"/>
    </row>
    <row r="1143" spans="1:14" ht="21" customHeight="1">
      <c r="A1143" s="9" t="s">
        <v>1427</v>
      </c>
      <c r="B1143" s="53">
        <f>ROUNDDOWN('03-POD Product Guide'!$E$128,0)</f>
        <v>1200</v>
      </c>
      <c r="C1143" s="53">
        <f>ROUNDDOWN('03-POD Product Guide'!$F$128,0)</f>
        <v>2400</v>
      </c>
      <c r="D1143" s="10" t="s">
        <v>41</v>
      </c>
      <c r="E1143" s="10" t="s">
        <v>1415</v>
      </c>
      <c r="F1143" s="10" t="s">
        <v>1192</v>
      </c>
      <c r="G1143" s="10" t="s">
        <v>1183</v>
      </c>
      <c r="H1143" s="11" t="str">
        <f>'03-POD Product Guide'!$J$128</f>
        <v>VALID - SAFE</v>
      </c>
      <c r="I1143" s="10" t="s">
        <v>1416</v>
      </c>
      <c r="J1143" s="8"/>
      <c r="K1143" s="8"/>
      <c r="L1143" s="8"/>
      <c r="M1143" s="8"/>
      <c r="N1143" s="8"/>
    </row>
    <row r="1144" spans="1:14" ht="21" customHeight="1">
      <c r="A1144" s="9" t="s">
        <v>1428</v>
      </c>
      <c r="B1144" s="53">
        <f>ROUNDDOWN('03-POD Product Guide'!$E$129,0)</f>
        <v>1200</v>
      </c>
      <c r="C1144" s="53">
        <f>ROUNDDOWN('03-POD Product Guide'!$F$129,0)</f>
        <v>3000</v>
      </c>
      <c r="D1144" s="10" t="s">
        <v>41</v>
      </c>
      <c r="E1144" s="10" t="s">
        <v>1415</v>
      </c>
      <c r="F1144" s="10" t="s">
        <v>1192</v>
      </c>
      <c r="G1144" s="10" t="s">
        <v>1183</v>
      </c>
      <c r="H1144" s="11" t="str">
        <f>'03-POD Product Guide'!$J$129</f>
        <v>VALID - SAFE</v>
      </c>
      <c r="I1144" s="10" t="s">
        <v>1416</v>
      </c>
      <c r="J1144" s="8"/>
      <c r="K1144" s="8"/>
      <c r="L1144" s="8"/>
      <c r="M1144" s="8"/>
      <c r="N1144" s="8"/>
    </row>
    <row r="1145" spans="1:14" ht="21" customHeight="1">
      <c r="A1145" s="9" t="s">
        <v>1429</v>
      </c>
      <c r="B1145" s="53">
        <f>ROUNDDOWN('03-POD Product Guide'!$E$130,0)</f>
        <v>1500</v>
      </c>
      <c r="C1145" s="53">
        <f>ROUNDDOWN('03-POD Product Guide'!$F$130,0)</f>
        <v>1000</v>
      </c>
      <c r="D1145" s="10" t="s">
        <v>41</v>
      </c>
      <c r="E1145" s="10" t="s">
        <v>1430</v>
      </c>
      <c r="F1145" s="10" t="s">
        <v>1192</v>
      </c>
      <c r="G1145" s="10" t="s">
        <v>1179</v>
      </c>
      <c r="H1145" s="11" t="str">
        <f>'03-POD Product Guide'!$J$130</f>
        <v>VALID - SAFE</v>
      </c>
      <c r="I1145" s="10" t="s">
        <v>1416</v>
      </c>
      <c r="J1145" s="8"/>
      <c r="K1145" s="8"/>
      <c r="L1145" s="8"/>
      <c r="M1145" s="8"/>
      <c r="N1145" s="8"/>
    </row>
    <row r="1146" spans="1:14" ht="21" customHeight="1">
      <c r="A1146" s="9" t="s">
        <v>1431</v>
      </c>
      <c r="B1146" s="53">
        <f>ROUNDDOWN('03-POD Product Guide'!$E$131,0)</f>
        <v>1500</v>
      </c>
      <c r="C1146" s="53">
        <f>ROUNDDOWN('03-POD Product Guide'!$F$131,0)</f>
        <v>2000</v>
      </c>
      <c r="D1146" s="10" t="s">
        <v>41</v>
      </c>
      <c r="E1146" s="10" t="s">
        <v>1415</v>
      </c>
      <c r="F1146" s="10" t="s">
        <v>1192</v>
      </c>
      <c r="G1146" s="10" t="s">
        <v>1183</v>
      </c>
      <c r="H1146" s="11" t="str">
        <f>'03-POD Product Guide'!$J$131</f>
        <v>VALID - SAFE</v>
      </c>
      <c r="I1146" s="10" t="s">
        <v>1416</v>
      </c>
      <c r="J1146" s="8"/>
      <c r="K1146" s="8"/>
      <c r="L1146" s="8"/>
      <c r="M1146" s="8"/>
      <c r="N1146" s="8"/>
    </row>
    <row r="1147" spans="1:14" ht="21" customHeight="1">
      <c r="A1147" s="9" t="s">
        <v>1432</v>
      </c>
      <c r="B1147" s="53">
        <f>ROUNDDOWN('03-POD Product Guide'!$E$132,0)</f>
        <v>1500</v>
      </c>
      <c r="C1147" s="53">
        <f>ROUNDDOWN('03-POD Product Guide'!$F$132,0)</f>
        <v>3000</v>
      </c>
      <c r="D1147" s="10" t="s">
        <v>41</v>
      </c>
      <c r="E1147" s="10" t="s">
        <v>1415</v>
      </c>
      <c r="F1147" s="10" t="s">
        <v>1192</v>
      </c>
      <c r="G1147" s="10" t="s">
        <v>1183</v>
      </c>
      <c r="H1147" s="11" t="str">
        <f>'03-POD Product Guide'!$J$132</f>
        <v>VALID - SAFE</v>
      </c>
      <c r="I1147" s="10" t="s">
        <v>1416</v>
      </c>
      <c r="J1147" s="8"/>
      <c r="K1147" s="8"/>
      <c r="L1147" s="8"/>
      <c r="M1147" s="8"/>
      <c r="N1147" s="8"/>
    </row>
    <row r="1148" spans="1:14" ht="21" customHeight="1">
      <c r="A1148" s="9" t="s">
        <v>1433</v>
      </c>
      <c r="B1148" s="53">
        <f>ROUNDDOWN('03-POD Product Guide'!$E$133,0)</f>
        <v>1500</v>
      </c>
      <c r="C1148" s="53">
        <f>ROUNDDOWN('03-POD Product Guide'!$F$133,0)</f>
        <v>4000</v>
      </c>
      <c r="D1148" s="10" t="s">
        <v>41</v>
      </c>
      <c r="E1148" s="10" t="s">
        <v>1415</v>
      </c>
      <c r="F1148" s="10" t="s">
        <v>1192</v>
      </c>
      <c r="G1148" s="10" t="s">
        <v>1183</v>
      </c>
      <c r="H1148" s="11" t="str">
        <f>'03-POD Product Guide'!$J$133</f>
        <v>VALID - SAFE</v>
      </c>
      <c r="I1148" s="10" t="s">
        <v>1416</v>
      </c>
      <c r="J1148" s="8"/>
      <c r="K1148" s="8"/>
      <c r="L1148" s="8"/>
      <c r="M1148" s="8"/>
      <c r="N1148" s="8"/>
    </row>
    <row r="1149" spans="1:14" ht="21" customHeight="1">
      <c r="A1149" s="9" t="s">
        <v>1434</v>
      </c>
      <c r="B1149" s="53">
        <f>ROUNDDOWN('03-POD Product Guide'!$E$134,0)</f>
        <v>1600</v>
      </c>
      <c r="C1149" s="53">
        <f>ROUNDDOWN('03-POD Product Guide'!$F$134,0)</f>
        <v>2000</v>
      </c>
      <c r="D1149" s="10" t="s">
        <v>41</v>
      </c>
      <c r="E1149" s="10" t="s">
        <v>1435</v>
      </c>
      <c r="F1149" s="10" t="s">
        <v>1192</v>
      </c>
      <c r="G1149" s="10" t="s">
        <v>1183</v>
      </c>
      <c r="H1149" s="11" t="str">
        <f>'03-POD Product Guide'!$J$134</f>
        <v>VALID - NOMINAL EDGE</v>
      </c>
      <c r="I1149" s="10" t="s">
        <v>1436</v>
      </c>
      <c r="J1149" s="8"/>
      <c r="K1149" s="8"/>
      <c r="L1149" s="8"/>
      <c r="M1149" s="8"/>
      <c r="N1149" s="8"/>
    </row>
    <row r="1150" spans="1:14" ht="21" customHeight="1">
      <c r="A1150" s="9" t="s">
        <v>1437</v>
      </c>
      <c r="B1150" s="53">
        <f>ROUNDDOWN('03-POD Product Guide'!$E$135,0)</f>
        <v>1600</v>
      </c>
      <c r="C1150" s="53">
        <f>ROUNDDOWN('03-POD Product Guide'!$F$135,0)</f>
        <v>3000</v>
      </c>
      <c r="D1150" s="10" t="s">
        <v>41</v>
      </c>
      <c r="E1150" s="10" t="s">
        <v>1435</v>
      </c>
      <c r="F1150" s="10" t="s">
        <v>1192</v>
      </c>
      <c r="G1150" s="10" t="s">
        <v>1183</v>
      </c>
      <c r="H1150" s="11" t="str">
        <f>'03-POD Product Guide'!$J$135</f>
        <v>VALID - NOMINAL EDGE</v>
      </c>
      <c r="I1150" s="10" t="s">
        <v>1436</v>
      </c>
      <c r="J1150" s="8"/>
      <c r="K1150" s="8"/>
      <c r="L1150" s="8"/>
      <c r="M1150" s="8"/>
      <c r="N1150" s="8"/>
    </row>
    <row r="1151" spans="1:14" ht="21" customHeight="1">
      <c r="A1151" s="9" t="s">
        <v>1438</v>
      </c>
      <c r="B1151" s="53">
        <f>ROUNDDOWN('03-POD Product Guide'!$E$136,0)</f>
        <v>1600</v>
      </c>
      <c r="C1151" s="53">
        <f>ROUNDDOWN('03-POD Product Guide'!$F$136,0)</f>
        <v>4000</v>
      </c>
      <c r="D1151" s="10" t="s">
        <v>41</v>
      </c>
      <c r="E1151" s="10" t="s">
        <v>1435</v>
      </c>
      <c r="F1151" s="10" t="s">
        <v>1192</v>
      </c>
      <c r="G1151" s="10" t="s">
        <v>1183</v>
      </c>
      <c r="H1151" s="11" t="str">
        <f>'03-POD Product Guide'!$J$136</f>
        <v>VALID - NOMINAL EDGE</v>
      </c>
      <c r="I1151" s="10" t="s">
        <v>1436</v>
      </c>
      <c r="J1151" s="8"/>
      <c r="K1151" s="8"/>
      <c r="L1151" s="8"/>
      <c r="M1151" s="8"/>
      <c r="N1151" s="8"/>
    </row>
    <row r="1152" spans="1:14" ht="21" customHeight="1">
      <c r="A1152" s="9" t="s">
        <v>1439</v>
      </c>
      <c r="B1152" s="53">
        <f>ROUNDDOWN('03-POD Product Guide'!$E$137,0)</f>
        <v>1600</v>
      </c>
      <c r="C1152" s="53">
        <f>ROUNDDOWN('03-POD Product Guide'!$F$137,0)</f>
        <v>5000</v>
      </c>
      <c r="D1152" s="10" t="s">
        <v>41</v>
      </c>
      <c r="E1152" s="10" t="s">
        <v>1435</v>
      </c>
      <c r="F1152" s="10" t="s">
        <v>1192</v>
      </c>
      <c r="G1152" s="10" t="s">
        <v>1183</v>
      </c>
      <c r="H1152" s="11" t="str">
        <f>'03-POD Product Guide'!$J$137</f>
        <v>VALID - NOMINAL EDGE</v>
      </c>
      <c r="I1152" s="10" t="s">
        <v>1436</v>
      </c>
      <c r="J1152" s="8"/>
      <c r="K1152" s="8"/>
      <c r="L1152" s="8"/>
      <c r="M1152" s="8"/>
      <c r="N1152" s="8"/>
    </row>
    <row r="1153" spans="1:14" ht="21" customHeight="1">
      <c r="A1153" s="9" t="s">
        <v>1440</v>
      </c>
      <c r="B1153" s="53">
        <f>ROUNDDOWN('03-POD Product Guide'!$E$138,0)</f>
        <v>300</v>
      </c>
      <c r="C1153" s="53">
        <f>ROUNDDOWN('03-POD Product Guide'!$F$138,0)</f>
        <v>1000</v>
      </c>
      <c r="D1153" s="10" t="s">
        <v>41</v>
      </c>
      <c r="E1153" s="10" t="s">
        <v>1441</v>
      </c>
      <c r="F1153" s="10" t="s">
        <v>1192</v>
      </c>
      <c r="G1153" s="10" t="s">
        <v>1183</v>
      </c>
      <c r="H1153" s="11" t="str">
        <f>'03-POD Product Guide'!$J$138</f>
        <v>VALID - SAFE</v>
      </c>
      <c r="I1153" s="10" t="s">
        <v>1442</v>
      </c>
      <c r="J1153" s="8"/>
      <c r="K1153" s="8"/>
      <c r="L1153" s="8"/>
      <c r="M1153" s="8"/>
      <c r="N1153" s="8"/>
    </row>
    <row r="1154" spans="1:14" ht="21" customHeight="1">
      <c r="A1154" s="9" t="s">
        <v>1443</v>
      </c>
      <c r="B1154" s="53">
        <f>ROUNDDOWN('03-POD Product Guide'!$E$139,0)</f>
        <v>300</v>
      </c>
      <c r="C1154" s="53">
        <f>ROUNDDOWN('03-POD Product Guide'!$F$139,0)</f>
        <v>2000</v>
      </c>
      <c r="D1154" s="10" t="s">
        <v>41</v>
      </c>
      <c r="E1154" s="10" t="s">
        <v>1441</v>
      </c>
      <c r="F1154" s="10" t="s">
        <v>1192</v>
      </c>
      <c r="G1154" s="10" t="s">
        <v>1183</v>
      </c>
      <c r="H1154" s="11" t="str">
        <f>'03-POD Product Guide'!$J$139</f>
        <v>VALID - SAFE</v>
      </c>
      <c r="I1154" s="10" t="s">
        <v>1442</v>
      </c>
      <c r="J1154" s="8"/>
      <c r="K1154" s="8"/>
      <c r="L1154" s="8"/>
      <c r="M1154" s="8"/>
      <c r="N1154" s="8"/>
    </row>
    <row r="1155" spans="1:14" ht="21" customHeight="1">
      <c r="A1155" s="9" t="s">
        <v>1444</v>
      </c>
      <c r="B1155" s="53">
        <f>ROUNDDOWN('03-POD Product Guide'!$E$140,0)</f>
        <v>400</v>
      </c>
      <c r="C1155" s="53">
        <f>ROUNDDOWN('03-POD Product Guide'!$F$140,0)</f>
        <v>1200</v>
      </c>
      <c r="D1155" s="10" t="s">
        <v>41</v>
      </c>
      <c r="E1155" s="10" t="s">
        <v>1445</v>
      </c>
      <c r="F1155" s="10" t="s">
        <v>1192</v>
      </c>
      <c r="G1155" s="10" t="s">
        <v>1183</v>
      </c>
      <c r="H1155" s="11" t="str">
        <f>'03-POD Product Guide'!$J$140</f>
        <v>VALID - SAFE</v>
      </c>
      <c r="I1155" s="10" t="s">
        <v>1446</v>
      </c>
      <c r="J1155" s="8"/>
      <c r="K1155" s="8"/>
      <c r="L1155" s="8"/>
      <c r="M1155" s="8"/>
      <c r="N1155" s="8"/>
    </row>
    <row r="1156" spans="1:14" ht="21" customHeight="1">
      <c r="A1156" s="9" t="s">
        <v>1447</v>
      </c>
      <c r="B1156" s="53">
        <f>ROUNDDOWN('03-POD Product Guide'!$E$141,0)</f>
        <v>400</v>
      </c>
      <c r="C1156" s="53">
        <f>ROUNDDOWN('03-POD Product Guide'!$F$141,0)</f>
        <v>1800</v>
      </c>
      <c r="D1156" s="10" t="s">
        <v>41</v>
      </c>
      <c r="E1156" s="10" t="s">
        <v>1445</v>
      </c>
      <c r="F1156" s="10" t="s">
        <v>1192</v>
      </c>
      <c r="G1156" s="10" t="s">
        <v>1183</v>
      </c>
      <c r="H1156" s="11" t="str">
        <f>'03-POD Product Guide'!$J$141</f>
        <v>VALID - SAFE</v>
      </c>
      <c r="I1156" s="10" t="s">
        <v>1446</v>
      </c>
      <c r="J1156" s="8"/>
      <c r="K1156" s="8"/>
      <c r="L1156" s="8"/>
      <c r="M1156" s="8"/>
      <c r="N1156" s="8"/>
    </row>
    <row r="1157" spans="1:14" ht="21" customHeight="1">
      <c r="A1157" s="9" t="s">
        <v>1448</v>
      </c>
      <c r="B1157" s="53">
        <f>ROUNDDOWN('03-POD Product Guide'!$E$142,0)</f>
        <v>500</v>
      </c>
      <c r="C1157" s="53">
        <f>ROUNDDOWN('03-POD Product Guide'!$F$142,0)</f>
        <v>1500</v>
      </c>
      <c r="D1157" s="10" t="s">
        <v>41</v>
      </c>
      <c r="E1157" s="10" t="s">
        <v>1445</v>
      </c>
      <c r="F1157" s="10" t="s">
        <v>1192</v>
      </c>
      <c r="G1157" s="10" t="s">
        <v>1183</v>
      </c>
      <c r="H1157" s="11" t="str">
        <f>'03-POD Product Guide'!$J$142</f>
        <v>VALID - SAFE</v>
      </c>
      <c r="I1157" s="10" t="s">
        <v>1446</v>
      </c>
      <c r="J1157" s="8"/>
      <c r="K1157" s="8"/>
      <c r="L1157" s="8"/>
      <c r="M1157" s="8"/>
      <c r="N1157" s="8"/>
    </row>
    <row r="1158" spans="1:14" ht="21" customHeight="1">
      <c r="A1158" s="9" t="s">
        <v>1449</v>
      </c>
      <c r="B1158" s="53">
        <f>ROUNDDOWN('03-POD Product Guide'!$E$143,0)</f>
        <v>500</v>
      </c>
      <c r="C1158" s="53">
        <f>ROUNDDOWN('03-POD Product Guide'!$F$143,0)</f>
        <v>2000</v>
      </c>
      <c r="D1158" s="10" t="s">
        <v>41</v>
      </c>
      <c r="E1158" s="10" t="s">
        <v>1445</v>
      </c>
      <c r="F1158" s="10" t="s">
        <v>1192</v>
      </c>
      <c r="G1158" s="10" t="s">
        <v>1183</v>
      </c>
      <c r="H1158" s="11" t="str">
        <f>'03-POD Product Guide'!$J$143</f>
        <v>VALID - SAFE</v>
      </c>
      <c r="I1158" s="10" t="s">
        <v>1446</v>
      </c>
      <c r="J1158" s="8"/>
      <c r="K1158" s="8"/>
      <c r="L1158" s="8"/>
      <c r="M1158" s="8"/>
      <c r="N1158" s="8"/>
    </row>
    <row r="1159" spans="1:14" ht="21" customHeight="1">
      <c r="A1159" s="9" t="s">
        <v>1450</v>
      </c>
      <c r="B1159" s="53">
        <f>ROUNDDOWN('03-POD Product Guide'!$E$144,0)</f>
        <v>600</v>
      </c>
      <c r="C1159" s="53">
        <f>ROUNDDOWN('03-POD Product Guide'!$F$144,0)</f>
        <v>3000</v>
      </c>
      <c r="D1159" s="10" t="s">
        <v>41</v>
      </c>
      <c r="E1159" s="10" t="s">
        <v>1412</v>
      </c>
      <c r="F1159" s="10" t="s">
        <v>1192</v>
      </c>
      <c r="G1159" s="10" t="s">
        <v>1183</v>
      </c>
      <c r="H1159" s="11" t="str">
        <f>'03-POD Product Guide'!$J$144</f>
        <v>VALID - SAFE</v>
      </c>
      <c r="I1159" s="10" t="s">
        <v>1446</v>
      </c>
      <c r="J1159" s="8"/>
      <c r="K1159" s="8"/>
      <c r="L1159" s="8"/>
      <c r="M1159" s="8"/>
      <c r="N1159" s="8"/>
    </row>
    <row r="1160" spans="1:14" ht="21" customHeight="1">
      <c r="A1160" s="9" t="s">
        <v>1451</v>
      </c>
      <c r="B1160" s="53">
        <f>ROUNDDOWN('03-POD Product Guide'!$E$145,0)</f>
        <v>800</v>
      </c>
      <c r="C1160" s="53">
        <f>ROUNDDOWN('03-POD Product Guide'!$F$145,0)</f>
        <v>3000</v>
      </c>
      <c r="D1160" s="10" t="s">
        <v>41</v>
      </c>
      <c r="E1160" s="10" t="s">
        <v>1412</v>
      </c>
      <c r="F1160" s="10" t="s">
        <v>1192</v>
      </c>
      <c r="G1160" s="10" t="s">
        <v>1183</v>
      </c>
      <c r="H1160" s="11" t="str">
        <f>'03-POD Product Guide'!$J$145</f>
        <v>VALID - SAFE</v>
      </c>
      <c r="I1160" s="10" t="s">
        <v>1446</v>
      </c>
      <c r="J1160" s="8"/>
      <c r="K1160" s="8"/>
      <c r="L1160" s="8"/>
      <c r="M1160" s="8"/>
      <c r="N1160" s="8"/>
    </row>
    <row r="1161" spans="1:14" ht="21" customHeight="1">
      <c r="A1161" s="9" t="s">
        <v>1452</v>
      </c>
      <c r="B1161" s="53">
        <f>ROUNDDOWN('03-POD Product Guide'!$E$146,0)</f>
        <v>1000</v>
      </c>
      <c r="C1161" s="53">
        <f>ROUNDDOWN('03-POD Product Guide'!$F$146,0)</f>
        <v>4000</v>
      </c>
      <c r="D1161" s="10" t="s">
        <v>41</v>
      </c>
      <c r="E1161" s="10" t="s">
        <v>1412</v>
      </c>
      <c r="F1161" s="10" t="s">
        <v>1192</v>
      </c>
      <c r="G1161" s="10" t="s">
        <v>1183</v>
      </c>
      <c r="H1161" s="11" t="str">
        <f>'03-POD Product Guide'!$J$146</f>
        <v>VALID - SAFE</v>
      </c>
      <c r="I1161" s="10" t="s">
        <v>1446</v>
      </c>
      <c r="J1161" s="8"/>
      <c r="K1161" s="8"/>
      <c r="L1161" s="8"/>
      <c r="M1161" s="8"/>
      <c r="N1161" s="8"/>
    </row>
    <row r="1162" spans="1:14" ht="21" customHeight="1">
      <c r="A1162" s="9" t="s">
        <v>1453</v>
      </c>
      <c r="B1162" s="53">
        <f>ROUNDDOWN('03-POD Product Guide'!$E$147,0)</f>
        <v>1200</v>
      </c>
      <c r="C1162" s="53">
        <f>ROUNDDOWN('03-POD Product Guide'!$F$147,0)</f>
        <v>5000</v>
      </c>
      <c r="D1162" s="10" t="s">
        <v>41</v>
      </c>
      <c r="E1162" s="10" t="s">
        <v>1412</v>
      </c>
      <c r="F1162" s="10" t="s">
        <v>1192</v>
      </c>
      <c r="G1162" s="10" t="s">
        <v>1183</v>
      </c>
      <c r="H1162" s="11" t="str">
        <f>'03-POD Product Guide'!$J$147</f>
        <v>VALID - SAFE</v>
      </c>
      <c r="I1162" s="10" t="s">
        <v>1446</v>
      </c>
      <c r="J1162" s="8"/>
      <c r="K1162" s="8"/>
      <c r="L1162" s="8"/>
      <c r="M1162" s="8"/>
      <c r="N1162" s="8"/>
    </row>
    <row r="1163" spans="1:14" ht="21" customHeight="1">
      <c r="A1163" s="9" t="s">
        <v>1454</v>
      </c>
      <c r="B1163" s="53">
        <f>ROUNDDOWN('03-POD Product Guide'!$E$148,0)</f>
        <v>1600</v>
      </c>
      <c r="C1163" s="53">
        <f>ROUNDDOWN('03-POD Product Guide'!$F$148,0)</f>
        <v>6000</v>
      </c>
      <c r="D1163" s="10" t="s">
        <v>41</v>
      </c>
      <c r="E1163" s="10" t="s">
        <v>1455</v>
      </c>
      <c r="F1163" s="10" t="s">
        <v>1192</v>
      </c>
      <c r="G1163" s="10" t="s">
        <v>1183</v>
      </c>
      <c r="H1163" s="11" t="str">
        <f>'03-POD Product Guide'!$J$148</f>
        <v>VALID - NOMINAL EDGE</v>
      </c>
      <c r="I1163" s="10" t="s">
        <v>1456</v>
      </c>
      <c r="J1163" s="8"/>
      <c r="K1163" s="8"/>
      <c r="L1163" s="8"/>
      <c r="M1163" s="8"/>
      <c r="N1163" s="8"/>
    </row>
    <row r="1164" spans="1:14" ht="21" customHeight="1">
      <c r="A1164" s="9" t="s">
        <v>1457</v>
      </c>
      <c r="B1164" s="48">
        <v>304.8</v>
      </c>
      <c r="C1164" s="48">
        <v>304.8</v>
      </c>
      <c r="D1164" s="10" t="s">
        <v>41</v>
      </c>
      <c r="E1164" s="10" t="s">
        <v>1420</v>
      </c>
      <c r="F1164" s="10" t="s">
        <v>1192</v>
      </c>
      <c r="G1164" s="10" t="s">
        <v>1193</v>
      </c>
      <c r="H1164" s="11" t="str">
        <f>IF(AND(B1164="",C1164=""),"CUSTOM BLANK",IF(OR(B1164="",C1164=""),"ERROR - ENTER BOTH",IF(OR(B1164&lt;=0,C1164&lt;=0),"ERROR - NONPOSITIVE",IF(OR(B1164&lt;'01-Process Controls'!$G$9,C1164&lt;'01-Process Controls'!$G$9),"ERROR - BELOW MIN",IF(NOT(B1164&lt;='01-Process Controls'!$D$9),"ERROR - EXCEEDS ROLL WIDTH",IF(FALSE,"VALID - DUPLICATE SIZE",IF(B1164&lt;='01-Process Controls'!$D$9-2*'01-Process Controls'!$H$9,"VALID - CUSTOM SAFE","VALID - CUSTOM NOMINAL EDGE")))))))</f>
        <v>VALID - CUSTOM SAFE</v>
      </c>
      <c r="I1164" s="10" t="s">
        <v>1256</v>
      </c>
      <c r="J1164" s="8"/>
      <c r="K1164" s="8"/>
      <c r="L1164" s="8"/>
      <c r="M1164" s="8"/>
      <c r="N1164" s="8"/>
    </row>
    <row r="1165" spans="1:14" ht="21" customHeight="1">
      <c r="A1165" s="9" t="s">
        <v>1458</v>
      </c>
      <c r="B1165" s="48">
        <v>304.8</v>
      </c>
      <c r="C1165" s="48">
        <v>609.6</v>
      </c>
      <c r="D1165" s="10" t="s">
        <v>41</v>
      </c>
      <c r="E1165" s="10" t="s">
        <v>1406</v>
      </c>
      <c r="F1165" s="10" t="s">
        <v>1192</v>
      </c>
      <c r="G1165" s="10" t="s">
        <v>1183</v>
      </c>
      <c r="H1165" s="11" t="str">
        <f>IF(AND(B1165="",C1165=""),"CUSTOM BLANK",IF(OR(B1165="",C1165=""),"ERROR - ENTER BOTH",IF(OR(B1165&lt;=0,C1165&lt;=0),"ERROR - NONPOSITIVE",IF(OR(B1165&lt;'01-Process Controls'!$G$9,C1165&lt;'01-Process Controls'!$G$9),"ERROR - BELOW MIN",IF(NOT(B1165&lt;='01-Process Controls'!$D$9),"ERROR - EXCEEDS ROLL WIDTH",IF(COUNTIFS($B$1164:B1164,B1165,$C$1164:C1164,C1165)&gt;0,"VALID - DUPLICATE SIZE",IF(B1165&lt;='01-Process Controls'!$D$9-2*'01-Process Controls'!$H$9,"VALID - CUSTOM SAFE","VALID - CUSTOM NOMINAL EDGE")))))))</f>
        <v>VALID - CUSTOM SAFE</v>
      </c>
      <c r="I1165" s="10" t="s">
        <v>1256</v>
      </c>
      <c r="J1165" s="8"/>
      <c r="K1165" s="8"/>
      <c r="L1165" s="8"/>
      <c r="M1165" s="8"/>
      <c r="N1165" s="8"/>
    </row>
    <row r="1166" spans="1:14" ht="21" customHeight="1">
      <c r="A1166" s="9" t="s">
        <v>1459</v>
      </c>
      <c r="B1166" s="48">
        <v>304.8</v>
      </c>
      <c r="C1166" s="48">
        <v>914.4</v>
      </c>
      <c r="D1166" s="10" t="s">
        <v>41</v>
      </c>
      <c r="E1166" s="10" t="s">
        <v>1409</v>
      </c>
      <c r="F1166" s="10" t="s">
        <v>1192</v>
      </c>
      <c r="G1166" s="10" t="s">
        <v>1183</v>
      </c>
      <c r="H1166" s="11" t="str">
        <f>IF(AND(B1166="",C1166=""),"CUSTOM BLANK",IF(OR(B1166="",C1166=""),"ERROR - ENTER BOTH",IF(OR(B1166&lt;=0,C1166&lt;=0),"ERROR - NONPOSITIVE",IF(OR(B1166&lt;'01-Process Controls'!$G$9,C1166&lt;'01-Process Controls'!$G$9),"ERROR - BELOW MIN",IF(NOT(B1166&lt;='01-Process Controls'!$D$9),"ERROR - EXCEEDS ROLL WIDTH",IF(COUNTIFS($B$1164:B1165,B1166,$C$1164:C1165,C1166)&gt;0,"VALID - DUPLICATE SIZE",IF(B1166&lt;='01-Process Controls'!$D$9-2*'01-Process Controls'!$H$9,"VALID - CUSTOM SAFE","VALID - CUSTOM NOMINAL EDGE")))))))</f>
        <v>VALID - CUSTOM SAFE</v>
      </c>
      <c r="I1166" s="10" t="s">
        <v>1256</v>
      </c>
      <c r="J1166" s="8"/>
      <c r="K1166" s="8"/>
      <c r="L1166" s="8"/>
      <c r="M1166" s="8"/>
      <c r="N1166" s="8"/>
    </row>
    <row r="1167" spans="1:14" ht="21" customHeight="1">
      <c r="A1167" s="9" t="s">
        <v>1460</v>
      </c>
      <c r="B1167" s="48">
        <v>304.8</v>
      </c>
      <c r="C1167" s="48">
        <v>1219.2</v>
      </c>
      <c r="D1167" s="10" t="s">
        <v>41</v>
      </c>
      <c r="E1167" s="10" t="s">
        <v>1412</v>
      </c>
      <c r="F1167" s="10" t="s">
        <v>1192</v>
      </c>
      <c r="G1167" s="10" t="s">
        <v>1183</v>
      </c>
      <c r="H1167" s="11" t="str">
        <f>IF(AND(B1167="",C1167=""),"CUSTOM BLANK",IF(OR(B1167="",C1167=""),"ERROR - ENTER BOTH",IF(OR(B1167&lt;=0,C1167&lt;=0),"ERROR - NONPOSITIVE",IF(OR(B1167&lt;'01-Process Controls'!$G$9,C1167&lt;'01-Process Controls'!$G$9),"ERROR - BELOW MIN",IF(NOT(B1167&lt;='01-Process Controls'!$D$9),"ERROR - EXCEEDS ROLL WIDTH",IF(COUNTIFS($B$1164:B1166,B1167,$C$1164:C1166,C1167)&gt;0,"VALID - DUPLICATE SIZE",IF(B1167&lt;='01-Process Controls'!$D$9-2*'01-Process Controls'!$H$9,"VALID - CUSTOM SAFE","VALID - CUSTOM NOMINAL EDGE")))))))</f>
        <v>VALID - CUSTOM SAFE</v>
      </c>
      <c r="I1167" s="10" t="s">
        <v>1256</v>
      </c>
      <c r="J1167" s="8"/>
      <c r="K1167" s="8"/>
      <c r="L1167" s="8"/>
      <c r="M1167" s="8"/>
      <c r="N1167" s="8"/>
    </row>
    <row r="1168" spans="1:14" ht="21" customHeight="1">
      <c r="A1168" s="9" t="s">
        <v>1461</v>
      </c>
      <c r="B1168" s="48">
        <v>304.8</v>
      </c>
      <c r="C1168" s="48">
        <v>1524</v>
      </c>
      <c r="D1168" s="10" t="s">
        <v>41</v>
      </c>
      <c r="E1168" s="10" t="s">
        <v>1412</v>
      </c>
      <c r="F1168" s="10" t="s">
        <v>1192</v>
      </c>
      <c r="G1168" s="10" t="s">
        <v>1183</v>
      </c>
      <c r="H1168" s="11" t="str">
        <f>IF(AND(B1168="",C1168=""),"CUSTOM BLANK",IF(OR(B1168="",C1168=""),"ERROR - ENTER BOTH",IF(OR(B1168&lt;=0,C1168&lt;=0),"ERROR - NONPOSITIVE",IF(OR(B1168&lt;'01-Process Controls'!$G$9,C1168&lt;'01-Process Controls'!$G$9),"ERROR - BELOW MIN",IF(NOT(B1168&lt;='01-Process Controls'!$D$9),"ERROR - EXCEEDS ROLL WIDTH",IF(COUNTIFS($B$1164:B1167,B1168,$C$1164:C1167,C1168)&gt;0,"VALID - DUPLICATE SIZE",IF(B1168&lt;='01-Process Controls'!$D$9-2*'01-Process Controls'!$H$9,"VALID - CUSTOM SAFE","VALID - CUSTOM NOMINAL EDGE")))))))</f>
        <v>VALID - CUSTOM SAFE</v>
      </c>
      <c r="I1168" s="10" t="s">
        <v>1256</v>
      </c>
      <c r="J1168" s="8"/>
      <c r="K1168" s="8"/>
      <c r="L1168" s="8"/>
      <c r="M1168" s="8"/>
      <c r="N1168" s="8"/>
    </row>
    <row r="1169" spans="1:14" ht="21" customHeight="1">
      <c r="A1169" s="9" t="s">
        <v>1462</v>
      </c>
      <c r="B1169" s="48">
        <v>304.8</v>
      </c>
      <c r="C1169" s="48">
        <v>1828.8</v>
      </c>
      <c r="D1169" s="10" t="s">
        <v>41</v>
      </c>
      <c r="E1169" s="10" t="s">
        <v>1412</v>
      </c>
      <c r="F1169" s="10" t="s">
        <v>1192</v>
      </c>
      <c r="G1169" s="10" t="s">
        <v>1183</v>
      </c>
      <c r="H1169" s="11" t="str">
        <f>IF(AND(B1169="",C1169=""),"CUSTOM BLANK",IF(OR(B1169="",C1169=""),"ERROR - ENTER BOTH",IF(OR(B1169&lt;=0,C1169&lt;=0),"ERROR - NONPOSITIVE",IF(OR(B1169&lt;'01-Process Controls'!$G$9,C1169&lt;'01-Process Controls'!$G$9),"ERROR - BELOW MIN",IF(NOT(B1169&lt;='01-Process Controls'!$D$9),"ERROR - EXCEEDS ROLL WIDTH",IF(COUNTIFS($B$1164:B1168,B1169,$C$1164:C1168,C1169)&gt;0,"VALID - DUPLICATE SIZE",IF(B1169&lt;='01-Process Controls'!$D$9-2*'01-Process Controls'!$H$9,"VALID - CUSTOM SAFE","VALID - CUSTOM NOMINAL EDGE")))))))</f>
        <v>VALID - CUSTOM SAFE</v>
      </c>
      <c r="I1169" s="10" t="s">
        <v>1256</v>
      </c>
      <c r="J1169" s="8"/>
      <c r="K1169" s="8"/>
      <c r="L1169" s="8"/>
      <c r="M1169" s="8"/>
      <c r="N1169" s="8"/>
    </row>
    <row r="1170" spans="1:14" ht="21" customHeight="1">
      <c r="A1170" s="9" t="s">
        <v>1463</v>
      </c>
      <c r="B1170" s="48">
        <v>304.8</v>
      </c>
      <c r="C1170" s="48">
        <v>2133.6000000000004</v>
      </c>
      <c r="D1170" s="10" t="s">
        <v>41</v>
      </c>
      <c r="E1170" s="10" t="s">
        <v>1412</v>
      </c>
      <c r="F1170" s="10" t="s">
        <v>1192</v>
      </c>
      <c r="G1170" s="10" t="s">
        <v>1183</v>
      </c>
      <c r="H1170" s="11" t="str">
        <f>IF(AND(B1170="",C1170=""),"CUSTOM BLANK",IF(OR(B1170="",C1170=""),"ERROR - ENTER BOTH",IF(OR(B1170&lt;=0,C1170&lt;=0),"ERROR - NONPOSITIVE",IF(OR(B1170&lt;'01-Process Controls'!$G$9,C1170&lt;'01-Process Controls'!$G$9),"ERROR - BELOW MIN",IF(NOT(B1170&lt;='01-Process Controls'!$D$9),"ERROR - EXCEEDS ROLL WIDTH",IF(COUNTIFS($B$1164:B1169,B1170,$C$1164:C1169,C1170)&gt;0,"VALID - DUPLICATE SIZE",IF(B1170&lt;='01-Process Controls'!$D$9-2*'01-Process Controls'!$H$9,"VALID - CUSTOM SAFE","VALID - CUSTOM NOMINAL EDGE")))))))</f>
        <v>VALID - CUSTOM SAFE</v>
      </c>
      <c r="I1170" s="10" t="s">
        <v>1256</v>
      </c>
      <c r="J1170" s="8"/>
      <c r="K1170" s="8"/>
      <c r="L1170" s="8"/>
      <c r="M1170" s="8"/>
      <c r="N1170" s="8"/>
    </row>
    <row r="1171" spans="1:14" ht="21" customHeight="1">
      <c r="A1171" s="9" t="s">
        <v>1464</v>
      </c>
      <c r="B1171" s="48">
        <v>304.8</v>
      </c>
      <c r="C1171" s="48">
        <v>2438.4</v>
      </c>
      <c r="D1171" s="10" t="s">
        <v>41</v>
      </c>
      <c r="E1171" s="10" t="s">
        <v>1415</v>
      </c>
      <c r="F1171" s="10" t="s">
        <v>1192</v>
      </c>
      <c r="G1171" s="10" t="s">
        <v>1183</v>
      </c>
      <c r="H1171" s="11" t="str">
        <f>IF(AND(B1171="",C1171=""),"CUSTOM BLANK",IF(OR(B1171="",C1171=""),"ERROR - ENTER BOTH",IF(OR(B1171&lt;=0,C1171&lt;=0),"ERROR - NONPOSITIVE",IF(OR(B1171&lt;'01-Process Controls'!$G$9,C1171&lt;'01-Process Controls'!$G$9),"ERROR - BELOW MIN",IF(NOT(B1171&lt;='01-Process Controls'!$D$9),"ERROR - EXCEEDS ROLL WIDTH",IF(COUNTIFS($B$1164:B1170,B1171,$C$1164:C1170,C1171)&gt;0,"VALID - DUPLICATE SIZE",IF(B1171&lt;='01-Process Controls'!$D$9-2*'01-Process Controls'!$H$9,"VALID - CUSTOM SAFE","VALID - CUSTOM NOMINAL EDGE")))))))</f>
        <v>VALID - CUSTOM SAFE</v>
      </c>
      <c r="I1171" s="10" t="s">
        <v>1256</v>
      </c>
      <c r="J1171" s="8"/>
      <c r="K1171" s="8"/>
      <c r="L1171" s="8"/>
      <c r="M1171" s="8"/>
      <c r="N1171" s="8"/>
    </row>
    <row r="1172" spans="1:14" ht="21" customHeight="1">
      <c r="A1172" s="9" t="s">
        <v>1465</v>
      </c>
      <c r="B1172" s="48">
        <v>304.8</v>
      </c>
      <c r="C1172" s="48">
        <v>2743.2</v>
      </c>
      <c r="D1172" s="10" t="s">
        <v>41</v>
      </c>
      <c r="E1172" s="10" t="s">
        <v>1415</v>
      </c>
      <c r="F1172" s="10" t="s">
        <v>1192</v>
      </c>
      <c r="G1172" s="10" t="s">
        <v>1183</v>
      </c>
      <c r="H1172" s="11" t="str">
        <f>IF(AND(B1172="",C1172=""),"CUSTOM BLANK",IF(OR(B1172="",C1172=""),"ERROR - ENTER BOTH",IF(OR(B1172&lt;=0,C1172&lt;=0),"ERROR - NONPOSITIVE",IF(OR(B1172&lt;'01-Process Controls'!$G$9,C1172&lt;'01-Process Controls'!$G$9),"ERROR - BELOW MIN",IF(NOT(B1172&lt;='01-Process Controls'!$D$9),"ERROR - EXCEEDS ROLL WIDTH",IF(COUNTIFS($B$1164:B1171,B1172,$C$1164:C1171,C1172)&gt;0,"VALID - DUPLICATE SIZE",IF(B1172&lt;='01-Process Controls'!$D$9-2*'01-Process Controls'!$H$9,"VALID - CUSTOM SAFE","VALID - CUSTOM NOMINAL EDGE")))))))</f>
        <v>VALID - CUSTOM SAFE</v>
      </c>
      <c r="I1172" s="10" t="s">
        <v>1256</v>
      </c>
      <c r="J1172" s="8"/>
      <c r="K1172" s="8"/>
      <c r="L1172" s="8"/>
      <c r="M1172" s="8"/>
      <c r="N1172" s="8"/>
    </row>
    <row r="1173" spans="1:14" ht="21" customHeight="1">
      <c r="A1173" s="9" t="s">
        <v>1466</v>
      </c>
      <c r="B1173" s="48">
        <v>304.8</v>
      </c>
      <c r="C1173" s="48">
        <v>3048</v>
      </c>
      <c r="D1173" s="10" t="s">
        <v>41</v>
      </c>
      <c r="E1173" s="10" t="s">
        <v>1415</v>
      </c>
      <c r="F1173" s="10" t="s">
        <v>1192</v>
      </c>
      <c r="G1173" s="10" t="s">
        <v>1183</v>
      </c>
      <c r="H1173" s="11" t="str">
        <f>IF(AND(B1173="",C1173=""),"CUSTOM BLANK",IF(OR(B1173="",C1173=""),"ERROR - ENTER BOTH",IF(OR(B1173&lt;=0,C1173&lt;=0),"ERROR - NONPOSITIVE",IF(OR(B1173&lt;'01-Process Controls'!$G$9,C1173&lt;'01-Process Controls'!$G$9),"ERROR - BELOW MIN",IF(NOT(B1173&lt;='01-Process Controls'!$D$9),"ERROR - EXCEEDS ROLL WIDTH",IF(COUNTIFS($B$1164:B1172,B1173,$C$1164:C1172,C1173)&gt;0,"VALID - DUPLICATE SIZE",IF(B1173&lt;='01-Process Controls'!$D$9-2*'01-Process Controls'!$H$9,"VALID - CUSTOM SAFE","VALID - CUSTOM NOMINAL EDGE")))))))</f>
        <v>VALID - CUSTOM SAFE</v>
      </c>
      <c r="I1173" s="10" t="s">
        <v>1256</v>
      </c>
      <c r="J1173" s="8"/>
      <c r="K1173" s="8"/>
      <c r="L1173" s="8"/>
      <c r="M1173" s="8"/>
      <c r="N1173" s="8"/>
    </row>
    <row r="1174" spans="1:14" ht="21" customHeight="1">
      <c r="A1174" s="9" t="s">
        <v>1467</v>
      </c>
      <c r="B1174" s="48">
        <v>304.8</v>
      </c>
      <c r="C1174" s="48">
        <v>3352.7999999999997</v>
      </c>
      <c r="D1174" s="10" t="s">
        <v>41</v>
      </c>
      <c r="E1174" s="10" t="s">
        <v>1415</v>
      </c>
      <c r="F1174" s="10" t="s">
        <v>1192</v>
      </c>
      <c r="G1174" s="10" t="s">
        <v>1183</v>
      </c>
      <c r="H1174" s="11" t="str">
        <f>IF(AND(B1174="",C1174=""),"CUSTOM BLANK",IF(OR(B1174="",C1174=""),"ERROR - ENTER BOTH",IF(OR(B1174&lt;=0,C1174&lt;=0),"ERROR - NONPOSITIVE",IF(OR(B1174&lt;'01-Process Controls'!$G$9,C1174&lt;'01-Process Controls'!$G$9),"ERROR - BELOW MIN",IF(NOT(B1174&lt;='01-Process Controls'!$D$9),"ERROR - EXCEEDS ROLL WIDTH",IF(COUNTIFS($B$1164:B1173,B1174,$C$1164:C1173,C1174)&gt;0,"VALID - DUPLICATE SIZE",IF(B1174&lt;='01-Process Controls'!$D$9-2*'01-Process Controls'!$H$9,"VALID - CUSTOM SAFE","VALID - CUSTOM NOMINAL EDGE")))))))</f>
        <v>VALID - CUSTOM SAFE</v>
      </c>
      <c r="I1174" s="10" t="s">
        <v>1256</v>
      </c>
      <c r="J1174" s="8"/>
      <c r="K1174" s="8"/>
      <c r="L1174" s="8"/>
      <c r="M1174" s="8"/>
      <c r="N1174" s="8"/>
    </row>
    <row r="1175" spans="1:14" ht="21" customHeight="1">
      <c r="A1175" s="9" t="s">
        <v>1468</v>
      </c>
      <c r="B1175" s="48">
        <v>304.8</v>
      </c>
      <c r="C1175" s="48">
        <v>3657.6</v>
      </c>
      <c r="D1175" s="10" t="s">
        <v>41</v>
      </c>
      <c r="E1175" s="10" t="s">
        <v>1415</v>
      </c>
      <c r="F1175" s="10" t="s">
        <v>1192</v>
      </c>
      <c r="G1175" s="10" t="s">
        <v>1183</v>
      </c>
      <c r="H1175" s="11" t="str">
        <f>IF(AND(B1175="",C1175=""),"CUSTOM BLANK",IF(OR(B1175="",C1175=""),"ERROR - ENTER BOTH",IF(OR(B1175&lt;=0,C1175&lt;=0),"ERROR - NONPOSITIVE",IF(OR(B1175&lt;'01-Process Controls'!$G$9,C1175&lt;'01-Process Controls'!$G$9),"ERROR - BELOW MIN",IF(NOT(B1175&lt;='01-Process Controls'!$D$9),"ERROR - EXCEEDS ROLL WIDTH",IF(COUNTIFS($B$1164:B1174,B1175,$C$1164:C1174,C1175)&gt;0,"VALID - DUPLICATE SIZE",IF(B1175&lt;='01-Process Controls'!$D$9-2*'01-Process Controls'!$H$9,"VALID - CUSTOM SAFE","VALID - CUSTOM NOMINAL EDGE")))))))</f>
        <v>VALID - CUSTOM SAFE</v>
      </c>
      <c r="I1175" s="10" t="s">
        <v>1256</v>
      </c>
      <c r="J1175" s="8"/>
      <c r="K1175" s="8"/>
      <c r="L1175" s="8"/>
      <c r="M1175" s="8"/>
      <c r="N1175" s="8"/>
    </row>
    <row r="1176" spans="1:14" ht="21" customHeight="1">
      <c r="A1176" s="9" t="s">
        <v>1469</v>
      </c>
      <c r="B1176" s="48">
        <v>304.8</v>
      </c>
      <c r="C1176" s="48">
        <v>3962.4</v>
      </c>
      <c r="D1176" s="10" t="s">
        <v>41</v>
      </c>
      <c r="E1176" s="10" t="s">
        <v>1415</v>
      </c>
      <c r="F1176" s="10" t="s">
        <v>1192</v>
      </c>
      <c r="G1176" s="10" t="s">
        <v>1183</v>
      </c>
      <c r="H1176" s="11" t="str">
        <f>IF(AND(B1176="",C1176=""),"CUSTOM BLANK",IF(OR(B1176="",C1176=""),"ERROR - ENTER BOTH",IF(OR(B1176&lt;=0,C1176&lt;=0),"ERROR - NONPOSITIVE",IF(OR(B1176&lt;'01-Process Controls'!$G$9,C1176&lt;'01-Process Controls'!$G$9),"ERROR - BELOW MIN",IF(NOT(B1176&lt;='01-Process Controls'!$D$9),"ERROR - EXCEEDS ROLL WIDTH",IF(COUNTIFS($B$1164:B1175,B1176,$C$1164:C1175,C1176)&gt;0,"VALID - DUPLICATE SIZE",IF(B1176&lt;='01-Process Controls'!$D$9-2*'01-Process Controls'!$H$9,"VALID - CUSTOM SAFE","VALID - CUSTOM NOMINAL EDGE")))))))</f>
        <v>VALID - CUSTOM SAFE</v>
      </c>
      <c r="I1176" s="10" t="s">
        <v>1256</v>
      </c>
      <c r="J1176" s="8"/>
      <c r="K1176" s="8"/>
      <c r="L1176" s="8"/>
      <c r="M1176" s="8"/>
      <c r="N1176" s="8"/>
    </row>
    <row r="1177" spans="1:14" ht="21" customHeight="1">
      <c r="A1177" s="9" t="s">
        <v>1470</v>
      </c>
      <c r="B1177" s="48">
        <v>304.8</v>
      </c>
      <c r="C1177" s="48">
        <v>4267.2000000000007</v>
      </c>
      <c r="D1177" s="10" t="s">
        <v>41</v>
      </c>
      <c r="E1177" s="10" t="s">
        <v>1415</v>
      </c>
      <c r="F1177" s="10" t="s">
        <v>1192</v>
      </c>
      <c r="G1177" s="10" t="s">
        <v>1183</v>
      </c>
      <c r="H1177" s="11" t="str">
        <f>IF(AND(B1177="",C1177=""),"CUSTOM BLANK",IF(OR(B1177="",C1177=""),"ERROR - ENTER BOTH",IF(OR(B1177&lt;=0,C1177&lt;=0),"ERROR - NONPOSITIVE",IF(OR(B1177&lt;'01-Process Controls'!$G$9,C1177&lt;'01-Process Controls'!$G$9),"ERROR - BELOW MIN",IF(NOT(B1177&lt;='01-Process Controls'!$D$9),"ERROR - EXCEEDS ROLL WIDTH",IF(COUNTIFS($B$1164:B1176,B1177,$C$1164:C1176,C1177)&gt;0,"VALID - DUPLICATE SIZE",IF(B1177&lt;='01-Process Controls'!$D$9-2*'01-Process Controls'!$H$9,"VALID - CUSTOM SAFE","VALID - CUSTOM NOMINAL EDGE")))))))</f>
        <v>VALID - CUSTOM SAFE</v>
      </c>
      <c r="I1177" s="10" t="s">
        <v>1256</v>
      </c>
      <c r="J1177" s="8"/>
      <c r="K1177" s="8"/>
      <c r="L1177" s="8"/>
      <c r="M1177" s="8"/>
      <c r="N1177" s="8"/>
    </row>
    <row r="1178" spans="1:14" ht="21" customHeight="1">
      <c r="A1178" s="9" t="s">
        <v>1471</v>
      </c>
      <c r="B1178" s="48">
        <v>304.8</v>
      </c>
      <c r="C1178" s="48">
        <v>4572</v>
      </c>
      <c r="D1178" s="10" t="s">
        <v>41</v>
      </c>
      <c r="E1178" s="10" t="s">
        <v>1415</v>
      </c>
      <c r="F1178" s="10" t="s">
        <v>1192</v>
      </c>
      <c r="G1178" s="10" t="s">
        <v>1183</v>
      </c>
      <c r="H1178" s="11" t="str">
        <f>IF(AND(B1178="",C1178=""),"CUSTOM BLANK",IF(OR(B1178="",C1178=""),"ERROR - ENTER BOTH",IF(OR(B1178&lt;=0,C1178&lt;=0),"ERROR - NONPOSITIVE",IF(OR(B1178&lt;'01-Process Controls'!$G$9,C1178&lt;'01-Process Controls'!$G$9),"ERROR - BELOW MIN",IF(NOT(B1178&lt;='01-Process Controls'!$D$9),"ERROR - EXCEEDS ROLL WIDTH",IF(COUNTIFS($B$1164:B1177,B1178,$C$1164:C1177,C1178)&gt;0,"VALID - DUPLICATE SIZE",IF(B1178&lt;='01-Process Controls'!$D$9-2*'01-Process Controls'!$H$9,"VALID - CUSTOM SAFE","VALID - CUSTOM NOMINAL EDGE")))))))</f>
        <v>VALID - CUSTOM SAFE</v>
      </c>
      <c r="I1178" s="10" t="s">
        <v>1256</v>
      </c>
      <c r="J1178" s="8"/>
      <c r="K1178" s="8"/>
      <c r="L1178" s="8"/>
      <c r="M1178" s="8"/>
      <c r="N1178" s="8"/>
    </row>
    <row r="1179" spans="1:14" ht="21" customHeight="1">
      <c r="A1179" s="9" t="s">
        <v>1472</v>
      </c>
      <c r="B1179" s="48">
        <v>304.8</v>
      </c>
      <c r="C1179" s="48">
        <v>4876.8</v>
      </c>
      <c r="D1179" s="10" t="s">
        <v>41</v>
      </c>
      <c r="E1179" s="10" t="s">
        <v>1473</v>
      </c>
      <c r="F1179" s="10" t="s">
        <v>1192</v>
      </c>
      <c r="G1179" s="10" t="s">
        <v>1183</v>
      </c>
      <c r="H1179" s="11" t="str">
        <f>IF(AND(B1179="",C1179=""),"CUSTOM BLANK",IF(OR(B1179="",C1179=""),"ERROR - ENTER BOTH",IF(OR(B1179&lt;=0,C1179&lt;=0),"ERROR - NONPOSITIVE",IF(OR(B1179&lt;'01-Process Controls'!$G$9,C1179&lt;'01-Process Controls'!$G$9),"ERROR - BELOW MIN",IF(NOT(B1179&lt;='01-Process Controls'!$D$9),"ERROR - EXCEEDS ROLL WIDTH",IF(COUNTIFS($B$1164:B1178,B1179,$C$1164:C1178,C1179)&gt;0,"VALID - DUPLICATE SIZE",IF(B1179&lt;='01-Process Controls'!$D$9-2*'01-Process Controls'!$H$9,"VALID - CUSTOM SAFE","VALID - CUSTOM NOMINAL EDGE")))))))</f>
        <v>VALID - CUSTOM SAFE</v>
      </c>
      <c r="I1179" s="10"/>
      <c r="J1179" s="8"/>
      <c r="K1179" s="8"/>
      <c r="L1179" s="8"/>
      <c r="M1179" s="8"/>
      <c r="N1179" s="8"/>
    </row>
    <row r="1180" spans="1:14" ht="21" customHeight="1">
      <c r="A1180" s="9" t="s">
        <v>1474</v>
      </c>
      <c r="B1180" s="48">
        <v>304.8</v>
      </c>
      <c r="C1180" s="48">
        <v>5181.5999999999995</v>
      </c>
      <c r="D1180" s="10" t="s">
        <v>41</v>
      </c>
      <c r="E1180" s="10" t="s">
        <v>1473</v>
      </c>
      <c r="F1180" s="10" t="s">
        <v>1192</v>
      </c>
      <c r="G1180" s="10" t="s">
        <v>1183</v>
      </c>
      <c r="H1180" s="11" t="str">
        <f>IF(AND(B1180="",C1180=""),"CUSTOM BLANK",IF(OR(B1180="",C1180=""),"ERROR - ENTER BOTH",IF(OR(B1180&lt;=0,C1180&lt;=0),"ERROR - NONPOSITIVE",IF(OR(B1180&lt;'01-Process Controls'!$G$9,C1180&lt;'01-Process Controls'!$G$9),"ERROR - BELOW MIN",IF(NOT(B1180&lt;='01-Process Controls'!$D$9),"ERROR - EXCEEDS ROLL WIDTH",IF(COUNTIFS($B$1164:B1179,B1180,$C$1164:C1179,C1180)&gt;0,"VALID - DUPLICATE SIZE",IF(B1180&lt;='01-Process Controls'!$D$9-2*'01-Process Controls'!$H$9,"VALID - CUSTOM SAFE","VALID - CUSTOM NOMINAL EDGE")))))))</f>
        <v>VALID - CUSTOM SAFE</v>
      </c>
      <c r="I1180" s="10"/>
      <c r="J1180" s="8"/>
      <c r="K1180" s="8"/>
      <c r="L1180" s="8"/>
      <c r="M1180" s="8"/>
      <c r="N1180" s="8"/>
    </row>
    <row r="1181" spans="1:14" ht="21" customHeight="1">
      <c r="A1181" s="9" t="s">
        <v>1475</v>
      </c>
      <c r="B1181" s="48">
        <v>304.8</v>
      </c>
      <c r="C1181" s="48">
        <v>5486.4</v>
      </c>
      <c r="D1181" s="10" t="s">
        <v>41</v>
      </c>
      <c r="E1181" s="10" t="s">
        <v>1473</v>
      </c>
      <c r="F1181" s="10" t="s">
        <v>1192</v>
      </c>
      <c r="G1181" s="10" t="s">
        <v>1183</v>
      </c>
      <c r="H1181" s="11" t="str">
        <f>IF(AND(B1181="",C1181=""),"CUSTOM BLANK",IF(OR(B1181="",C1181=""),"ERROR - ENTER BOTH",IF(OR(B1181&lt;=0,C1181&lt;=0),"ERROR - NONPOSITIVE",IF(OR(B1181&lt;'01-Process Controls'!$G$9,C1181&lt;'01-Process Controls'!$G$9),"ERROR - BELOW MIN",IF(NOT(B1181&lt;='01-Process Controls'!$D$9),"ERROR - EXCEEDS ROLL WIDTH",IF(COUNTIFS($B$1164:B1180,B1181,$C$1164:C1180,C1181)&gt;0,"VALID - DUPLICATE SIZE",IF(B1181&lt;='01-Process Controls'!$D$9-2*'01-Process Controls'!$H$9,"VALID - CUSTOM SAFE","VALID - CUSTOM NOMINAL EDGE")))))))</f>
        <v>VALID - CUSTOM SAFE</v>
      </c>
      <c r="I1181" s="10"/>
      <c r="J1181" s="8"/>
      <c r="K1181" s="8"/>
      <c r="L1181" s="8"/>
      <c r="M1181" s="8"/>
      <c r="N1181" s="8"/>
    </row>
    <row r="1182" spans="1:14" ht="21" customHeight="1">
      <c r="A1182" s="9" t="s">
        <v>1476</v>
      </c>
      <c r="B1182" s="48">
        <v>304.8</v>
      </c>
      <c r="C1182" s="48">
        <v>5791.2</v>
      </c>
      <c r="D1182" s="10" t="s">
        <v>41</v>
      </c>
      <c r="E1182" s="10" t="s">
        <v>1473</v>
      </c>
      <c r="F1182" s="10" t="s">
        <v>1192</v>
      </c>
      <c r="G1182" s="10" t="s">
        <v>1183</v>
      </c>
      <c r="H1182" s="11" t="str">
        <f>IF(AND(B1182="",C1182=""),"CUSTOM BLANK",IF(OR(B1182="",C1182=""),"ERROR - ENTER BOTH",IF(OR(B1182&lt;=0,C1182&lt;=0),"ERROR - NONPOSITIVE",IF(OR(B1182&lt;'01-Process Controls'!$G$9,C1182&lt;'01-Process Controls'!$G$9),"ERROR - BELOW MIN",IF(NOT(B1182&lt;='01-Process Controls'!$D$9),"ERROR - EXCEEDS ROLL WIDTH",IF(COUNTIFS($B$1164:B1181,B1182,$C$1164:C1181,C1182)&gt;0,"VALID - DUPLICATE SIZE",IF(B1182&lt;='01-Process Controls'!$D$9-2*'01-Process Controls'!$H$9,"VALID - CUSTOM SAFE","VALID - CUSTOM NOMINAL EDGE")))))))</f>
        <v>VALID - CUSTOM SAFE</v>
      </c>
      <c r="I1182" s="10"/>
      <c r="J1182" s="8"/>
      <c r="K1182" s="8"/>
      <c r="L1182" s="8"/>
      <c r="M1182" s="8"/>
      <c r="N1182" s="8"/>
    </row>
    <row r="1183" spans="1:14" ht="21" customHeight="1">
      <c r="A1183" s="9" t="s">
        <v>1477</v>
      </c>
      <c r="B1183" s="48">
        <v>304.8</v>
      </c>
      <c r="C1183" s="48">
        <v>6096</v>
      </c>
      <c r="D1183" s="10" t="s">
        <v>41</v>
      </c>
      <c r="E1183" s="10" t="s">
        <v>1478</v>
      </c>
      <c r="F1183" s="10" t="s">
        <v>1192</v>
      </c>
      <c r="G1183" s="10" t="s">
        <v>1183</v>
      </c>
      <c r="H1183" s="11" t="str">
        <f>IF(AND(B1183="",C1183=""),"CUSTOM BLANK",IF(OR(B1183="",C1183=""),"ERROR - ENTER BOTH",IF(OR(B1183&lt;=0,C1183&lt;=0),"ERROR - NONPOSITIVE",IF(OR(B1183&lt;'01-Process Controls'!$G$9,C1183&lt;'01-Process Controls'!$G$9),"ERROR - BELOW MIN",IF(NOT(B1183&lt;='01-Process Controls'!$D$9),"ERROR - EXCEEDS ROLL WIDTH",IF(COUNTIFS($B$1164:B1182,B1183,$C$1164:C1182,C1183)&gt;0,"VALID - DUPLICATE SIZE",IF(B1183&lt;='01-Process Controls'!$D$9-2*'01-Process Controls'!$H$9,"VALID - CUSTOM SAFE","VALID - CUSTOM NOMINAL EDGE")))))))</f>
        <v>VALID - CUSTOM SAFE</v>
      </c>
      <c r="I1183" s="10"/>
      <c r="J1183" s="8"/>
      <c r="K1183" s="8"/>
      <c r="L1183" s="8"/>
      <c r="M1183" s="8"/>
      <c r="N1183" s="8"/>
    </row>
    <row r="1184" spans="1:14" ht="21" customHeight="1">
      <c r="A1184" s="9" t="s">
        <v>1479</v>
      </c>
      <c r="B1184" s="48">
        <v>609.6</v>
      </c>
      <c r="C1184" s="48">
        <v>304.8</v>
      </c>
      <c r="D1184" s="10" t="s">
        <v>41</v>
      </c>
      <c r="E1184" s="10" t="s">
        <v>1420</v>
      </c>
      <c r="F1184" s="10" t="s">
        <v>1192</v>
      </c>
      <c r="G1184" s="10" t="s">
        <v>1193</v>
      </c>
      <c r="H1184" s="11" t="str">
        <f>IF(AND(B1184="",C1184=""),"CUSTOM BLANK",IF(OR(B1184="",C1184=""),"ERROR - ENTER BOTH",IF(OR(B1184&lt;=0,C1184&lt;=0),"ERROR - NONPOSITIVE",IF(OR(B1184&lt;'01-Process Controls'!$G$9,C1184&lt;'01-Process Controls'!$G$9),"ERROR - BELOW MIN",IF(NOT(B1184&lt;='01-Process Controls'!$D$9),"ERROR - EXCEEDS ROLL WIDTH",IF(COUNTIFS($B$1164:B1183,B1184,$C$1164:C1183,C1184)&gt;0,"VALID - DUPLICATE SIZE",IF(B1184&lt;='01-Process Controls'!$D$9-2*'01-Process Controls'!$H$9,"VALID - CUSTOM SAFE","VALID - CUSTOM NOMINAL EDGE")))))))</f>
        <v>VALID - CUSTOM SAFE</v>
      </c>
      <c r="I1184" s="10"/>
      <c r="J1184" s="8"/>
      <c r="K1184" s="8"/>
      <c r="L1184" s="8"/>
      <c r="M1184" s="8"/>
      <c r="N1184" s="8"/>
    </row>
    <row r="1185" spans="1:14" ht="21" customHeight="1">
      <c r="A1185" s="9" t="s">
        <v>1480</v>
      </c>
      <c r="B1185" s="48">
        <v>609.6</v>
      </c>
      <c r="C1185" s="48">
        <v>609.6</v>
      </c>
      <c r="D1185" s="10" t="s">
        <v>41</v>
      </c>
      <c r="E1185" s="10" t="s">
        <v>1406</v>
      </c>
      <c r="F1185" s="10" t="s">
        <v>1192</v>
      </c>
      <c r="G1185" s="10" t="s">
        <v>1183</v>
      </c>
      <c r="H1185" s="11" t="str">
        <f>IF(AND(B1185="",C1185=""),"CUSTOM BLANK",IF(OR(B1185="",C1185=""),"ERROR - ENTER BOTH",IF(OR(B1185&lt;=0,C1185&lt;=0),"ERROR - NONPOSITIVE",IF(OR(B1185&lt;'01-Process Controls'!$G$9,C1185&lt;'01-Process Controls'!$G$9),"ERROR - BELOW MIN",IF(NOT(B1185&lt;='01-Process Controls'!$D$9),"ERROR - EXCEEDS ROLL WIDTH",IF(COUNTIFS($B$1164:B1184,B1185,$C$1164:C1184,C1185)&gt;0,"VALID - DUPLICATE SIZE",IF(B1185&lt;='01-Process Controls'!$D$9-2*'01-Process Controls'!$H$9,"VALID - CUSTOM SAFE","VALID - CUSTOM NOMINAL EDGE")))))))</f>
        <v>VALID - CUSTOM SAFE</v>
      </c>
      <c r="I1185" s="10"/>
      <c r="J1185" s="8"/>
      <c r="K1185" s="8"/>
      <c r="L1185" s="8"/>
      <c r="M1185" s="8"/>
      <c r="N1185" s="8"/>
    </row>
    <row r="1186" spans="1:14" ht="21" customHeight="1">
      <c r="A1186" s="9" t="s">
        <v>1481</v>
      </c>
      <c r="B1186" s="48">
        <v>609.6</v>
      </c>
      <c r="C1186" s="48">
        <v>914.4</v>
      </c>
      <c r="D1186" s="10" t="s">
        <v>41</v>
      </c>
      <c r="E1186" s="10" t="s">
        <v>1409</v>
      </c>
      <c r="F1186" s="10" t="s">
        <v>1192</v>
      </c>
      <c r="G1186" s="10" t="s">
        <v>1183</v>
      </c>
      <c r="H1186" s="11" t="str">
        <f>IF(AND(B1186="",C1186=""),"CUSTOM BLANK",IF(OR(B1186="",C1186=""),"ERROR - ENTER BOTH",IF(OR(B1186&lt;=0,C1186&lt;=0),"ERROR - NONPOSITIVE",IF(OR(B1186&lt;'01-Process Controls'!$G$9,C1186&lt;'01-Process Controls'!$G$9),"ERROR - BELOW MIN",IF(NOT(B1186&lt;='01-Process Controls'!$D$9),"ERROR - EXCEEDS ROLL WIDTH",IF(COUNTIFS($B$1164:B1185,B1186,$C$1164:C1185,C1186)&gt;0,"VALID - DUPLICATE SIZE",IF(B1186&lt;='01-Process Controls'!$D$9-2*'01-Process Controls'!$H$9,"VALID - CUSTOM SAFE","VALID - CUSTOM NOMINAL EDGE")))))))</f>
        <v>VALID - CUSTOM SAFE</v>
      </c>
      <c r="I1186" s="10"/>
      <c r="J1186" s="8"/>
      <c r="K1186" s="8"/>
      <c r="L1186" s="8"/>
      <c r="M1186" s="8"/>
      <c r="N1186" s="8"/>
    </row>
    <row r="1187" spans="1:14" ht="21" customHeight="1">
      <c r="A1187" s="9" t="s">
        <v>1482</v>
      </c>
      <c r="B1187" s="48">
        <v>609.6</v>
      </c>
      <c r="C1187" s="48">
        <v>1219.2</v>
      </c>
      <c r="D1187" s="10" t="s">
        <v>41</v>
      </c>
      <c r="E1187" s="10" t="s">
        <v>1412</v>
      </c>
      <c r="F1187" s="10" t="s">
        <v>1192</v>
      </c>
      <c r="G1187" s="10" t="s">
        <v>1183</v>
      </c>
      <c r="H1187" s="11" t="str">
        <f>IF(AND(B1187="",C1187=""),"CUSTOM BLANK",IF(OR(B1187="",C1187=""),"ERROR - ENTER BOTH",IF(OR(B1187&lt;=0,C1187&lt;=0),"ERROR - NONPOSITIVE",IF(OR(B1187&lt;'01-Process Controls'!$G$9,C1187&lt;'01-Process Controls'!$G$9),"ERROR - BELOW MIN",IF(NOT(B1187&lt;='01-Process Controls'!$D$9),"ERROR - EXCEEDS ROLL WIDTH",IF(COUNTIFS($B$1164:B1186,B1187,$C$1164:C1186,C1187)&gt;0,"VALID - DUPLICATE SIZE",IF(B1187&lt;='01-Process Controls'!$D$9-2*'01-Process Controls'!$H$9,"VALID - CUSTOM SAFE","VALID - CUSTOM NOMINAL EDGE")))))))</f>
        <v>VALID - CUSTOM SAFE</v>
      </c>
      <c r="I1187" s="10"/>
      <c r="J1187" s="8"/>
      <c r="K1187" s="8"/>
      <c r="L1187" s="8"/>
      <c r="M1187" s="8"/>
      <c r="N1187" s="8"/>
    </row>
    <row r="1188" spans="1:14" ht="21" customHeight="1">
      <c r="A1188" s="9" t="s">
        <v>1483</v>
      </c>
      <c r="B1188" s="48">
        <v>609.6</v>
      </c>
      <c r="C1188" s="48">
        <v>1524</v>
      </c>
      <c r="D1188" s="10" t="s">
        <v>41</v>
      </c>
      <c r="E1188" s="10" t="s">
        <v>1412</v>
      </c>
      <c r="F1188" s="10" t="s">
        <v>1192</v>
      </c>
      <c r="G1188" s="10" t="s">
        <v>1183</v>
      </c>
      <c r="H1188" s="11" t="str">
        <f>IF(AND(B1188="",C1188=""),"CUSTOM BLANK",IF(OR(B1188="",C1188=""),"ERROR - ENTER BOTH",IF(OR(B1188&lt;=0,C1188&lt;=0),"ERROR - NONPOSITIVE",IF(OR(B1188&lt;'01-Process Controls'!$G$9,C1188&lt;'01-Process Controls'!$G$9),"ERROR - BELOW MIN",IF(NOT(B1188&lt;='01-Process Controls'!$D$9),"ERROR - EXCEEDS ROLL WIDTH",IF(COUNTIFS($B$1164:B1187,B1188,$C$1164:C1187,C1188)&gt;0,"VALID - DUPLICATE SIZE",IF(B1188&lt;='01-Process Controls'!$D$9-2*'01-Process Controls'!$H$9,"VALID - CUSTOM SAFE","VALID - CUSTOM NOMINAL EDGE")))))))</f>
        <v>VALID - CUSTOM SAFE</v>
      </c>
      <c r="I1188" s="10"/>
      <c r="J1188" s="8"/>
      <c r="K1188" s="8"/>
      <c r="L1188" s="8"/>
      <c r="M1188" s="8"/>
      <c r="N1188" s="8"/>
    </row>
    <row r="1189" spans="1:14" ht="21" customHeight="1">
      <c r="A1189" s="9" t="s">
        <v>1484</v>
      </c>
      <c r="B1189" s="48">
        <v>609.6</v>
      </c>
      <c r="C1189" s="48">
        <v>1828.8</v>
      </c>
      <c r="D1189" s="10" t="s">
        <v>41</v>
      </c>
      <c r="E1189" s="10" t="s">
        <v>1412</v>
      </c>
      <c r="F1189" s="10" t="s">
        <v>1192</v>
      </c>
      <c r="G1189" s="10" t="s">
        <v>1183</v>
      </c>
      <c r="H1189" s="11" t="str">
        <f>IF(AND(B1189="",C1189=""),"CUSTOM BLANK",IF(OR(B1189="",C1189=""),"ERROR - ENTER BOTH",IF(OR(B1189&lt;=0,C1189&lt;=0),"ERROR - NONPOSITIVE",IF(OR(B1189&lt;'01-Process Controls'!$G$9,C1189&lt;'01-Process Controls'!$G$9),"ERROR - BELOW MIN",IF(NOT(B1189&lt;='01-Process Controls'!$D$9),"ERROR - EXCEEDS ROLL WIDTH",IF(COUNTIFS($B$1164:B1188,B1189,$C$1164:C1188,C1189)&gt;0,"VALID - DUPLICATE SIZE",IF(B1189&lt;='01-Process Controls'!$D$9-2*'01-Process Controls'!$H$9,"VALID - CUSTOM SAFE","VALID - CUSTOM NOMINAL EDGE")))))))</f>
        <v>VALID - CUSTOM SAFE</v>
      </c>
      <c r="I1189" s="10"/>
      <c r="J1189" s="8"/>
      <c r="K1189" s="8"/>
      <c r="L1189" s="8"/>
      <c r="M1189" s="8"/>
      <c r="N1189" s="8"/>
    </row>
    <row r="1190" spans="1:14" ht="21" customHeight="1">
      <c r="A1190" s="9" t="s">
        <v>1485</v>
      </c>
      <c r="B1190" s="48">
        <v>609.6</v>
      </c>
      <c r="C1190" s="48">
        <v>2133.6000000000004</v>
      </c>
      <c r="D1190" s="10" t="s">
        <v>41</v>
      </c>
      <c r="E1190" s="10" t="s">
        <v>1412</v>
      </c>
      <c r="F1190" s="10" t="s">
        <v>1192</v>
      </c>
      <c r="G1190" s="10" t="s">
        <v>1183</v>
      </c>
      <c r="H1190" s="11" t="str">
        <f>IF(AND(B1190="",C1190=""),"CUSTOM BLANK",IF(OR(B1190="",C1190=""),"ERROR - ENTER BOTH",IF(OR(B1190&lt;=0,C1190&lt;=0),"ERROR - NONPOSITIVE",IF(OR(B1190&lt;'01-Process Controls'!$G$9,C1190&lt;'01-Process Controls'!$G$9),"ERROR - BELOW MIN",IF(NOT(B1190&lt;='01-Process Controls'!$D$9),"ERROR - EXCEEDS ROLL WIDTH",IF(COUNTIFS($B$1164:B1189,B1190,$C$1164:C1189,C1190)&gt;0,"VALID - DUPLICATE SIZE",IF(B1190&lt;='01-Process Controls'!$D$9-2*'01-Process Controls'!$H$9,"VALID - CUSTOM SAFE","VALID - CUSTOM NOMINAL EDGE")))))))</f>
        <v>VALID - CUSTOM SAFE</v>
      </c>
      <c r="I1190" s="10"/>
      <c r="J1190" s="8"/>
      <c r="K1190" s="8"/>
      <c r="L1190" s="8"/>
      <c r="M1190" s="8"/>
      <c r="N1190" s="8"/>
    </row>
    <row r="1191" spans="1:14" ht="21" customHeight="1">
      <c r="A1191" s="9" t="s">
        <v>1486</v>
      </c>
      <c r="B1191" s="48">
        <v>609.6</v>
      </c>
      <c r="C1191" s="48">
        <v>2438.4</v>
      </c>
      <c r="D1191" s="10" t="s">
        <v>41</v>
      </c>
      <c r="E1191" s="10" t="s">
        <v>1415</v>
      </c>
      <c r="F1191" s="10" t="s">
        <v>1192</v>
      </c>
      <c r="G1191" s="10" t="s">
        <v>1183</v>
      </c>
      <c r="H1191" s="11" t="str">
        <f>IF(AND(B1191="",C1191=""),"CUSTOM BLANK",IF(OR(B1191="",C1191=""),"ERROR - ENTER BOTH",IF(OR(B1191&lt;=0,C1191&lt;=0),"ERROR - NONPOSITIVE",IF(OR(B1191&lt;'01-Process Controls'!$G$9,C1191&lt;'01-Process Controls'!$G$9),"ERROR - BELOW MIN",IF(NOT(B1191&lt;='01-Process Controls'!$D$9),"ERROR - EXCEEDS ROLL WIDTH",IF(COUNTIFS($B$1164:B1190,B1191,$C$1164:C1190,C1191)&gt;0,"VALID - DUPLICATE SIZE",IF(B1191&lt;='01-Process Controls'!$D$9-2*'01-Process Controls'!$H$9,"VALID - CUSTOM SAFE","VALID - CUSTOM NOMINAL EDGE")))))))</f>
        <v>VALID - CUSTOM SAFE</v>
      </c>
      <c r="I1191" s="10"/>
      <c r="J1191" s="8"/>
      <c r="K1191" s="8"/>
      <c r="L1191" s="8"/>
      <c r="M1191" s="8"/>
      <c r="N1191" s="8"/>
    </row>
    <row r="1192" spans="1:14" ht="21" customHeight="1">
      <c r="A1192" s="9" t="s">
        <v>1487</v>
      </c>
      <c r="B1192" s="48">
        <v>609.6</v>
      </c>
      <c r="C1192" s="48">
        <v>2743.2</v>
      </c>
      <c r="D1192" s="10" t="s">
        <v>41</v>
      </c>
      <c r="E1192" s="10" t="s">
        <v>1415</v>
      </c>
      <c r="F1192" s="10" t="s">
        <v>1192</v>
      </c>
      <c r="G1192" s="10" t="s">
        <v>1183</v>
      </c>
      <c r="H1192" s="11" t="str">
        <f>IF(AND(B1192="",C1192=""),"CUSTOM BLANK",IF(OR(B1192="",C1192=""),"ERROR - ENTER BOTH",IF(OR(B1192&lt;=0,C1192&lt;=0),"ERROR - NONPOSITIVE",IF(OR(B1192&lt;'01-Process Controls'!$G$9,C1192&lt;'01-Process Controls'!$G$9),"ERROR - BELOW MIN",IF(NOT(B1192&lt;='01-Process Controls'!$D$9),"ERROR - EXCEEDS ROLL WIDTH",IF(COUNTIFS($B$1164:B1191,B1192,$C$1164:C1191,C1192)&gt;0,"VALID - DUPLICATE SIZE",IF(B1192&lt;='01-Process Controls'!$D$9-2*'01-Process Controls'!$H$9,"VALID - CUSTOM SAFE","VALID - CUSTOM NOMINAL EDGE")))))))</f>
        <v>VALID - CUSTOM SAFE</v>
      </c>
      <c r="I1192" s="10"/>
      <c r="J1192" s="8"/>
      <c r="K1192" s="8"/>
      <c r="L1192" s="8"/>
      <c r="M1192" s="8"/>
      <c r="N1192" s="8"/>
    </row>
    <row r="1193" spans="1:14" ht="21" customHeight="1">
      <c r="A1193" s="9" t="s">
        <v>1488</v>
      </c>
      <c r="B1193" s="48">
        <v>609.6</v>
      </c>
      <c r="C1193" s="48">
        <v>3048</v>
      </c>
      <c r="D1193" s="10" t="s">
        <v>41</v>
      </c>
      <c r="E1193" s="10" t="s">
        <v>1415</v>
      </c>
      <c r="F1193" s="10" t="s">
        <v>1192</v>
      </c>
      <c r="G1193" s="10" t="s">
        <v>1183</v>
      </c>
      <c r="H1193" s="11" t="str">
        <f>IF(AND(B1193="",C1193=""),"CUSTOM BLANK",IF(OR(B1193="",C1193=""),"ERROR - ENTER BOTH",IF(OR(B1193&lt;=0,C1193&lt;=0),"ERROR - NONPOSITIVE",IF(OR(B1193&lt;'01-Process Controls'!$G$9,C1193&lt;'01-Process Controls'!$G$9),"ERROR - BELOW MIN",IF(NOT(B1193&lt;='01-Process Controls'!$D$9),"ERROR - EXCEEDS ROLL WIDTH",IF(COUNTIFS($B$1164:B1192,B1193,$C$1164:C1192,C1193)&gt;0,"VALID - DUPLICATE SIZE",IF(B1193&lt;='01-Process Controls'!$D$9-2*'01-Process Controls'!$H$9,"VALID - CUSTOM SAFE","VALID - CUSTOM NOMINAL EDGE")))))))</f>
        <v>VALID - CUSTOM SAFE</v>
      </c>
      <c r="I1193" s="10"/>
      <c r="J1193" s="8"/>
      <c r="K1193" s="8"/>
      <c r="L1193" s="8"/>
      <c r="M1193" s="8"/>
      <c r="N1193" s="8"/>
    </row>
    <row r="1194" spans="1:14" ht="21" customHeight="1">
      <c r="A1194" s="9" t="s">
        <v>1489</v>
      </c>
      <c r="B1194" s="48">
        <v>609.6</v>
      </c>
      <c r="C1194" s="48">
        <v>3352.7999999999997</v>
      </c>
      <c r="D1194" s="10" t="s">
        <v>41</v>
      </c>
      <c r="E1194" s="10" t="s">
        <v>1415</v>
      </c>
      <c r="F1194" s="10" t="s">
        <v>1192</v>
      </c>
      <c r="G1194" s="10" t="s">
        <v>1183</v>
      </c>
      <c r="H1194" s="11" t="str">
        <f>IF(AND(B1194="",C1194=""),"CUSTOM BLANK",IF(OR(B1194="",C1194=""),"ERROR - ENTER BOTH",IF(OR(B1194&lt;=0,C1194&lt;=0),"ERROR - NONPOSITIVE",IF(OR(B1194&lt;'01-Process Controls'!$G$9,C1194&lt;'01-Process Controls'!$G$9),"ERROR - BELOW MIN",IF(NOT(B1194&lt;='01-Process Controls'!$D$9),"ERROR - EXCEEDS ROLL WIDTH",IF(COUNTIFS($B$1164:B1193,B1194,$C$1164:C1193,C1194)&gt;0,"VALID - DUPLICATE SIZE",IF(B1194&lt;='01-Process Controls'!$D$9-2*'01-Process Controls'!$H$9,"VALID - CUSTOM SAFE","VALID - CUSTOM NOMINAL EDGE")))))))</f>
        <v>VALID - CUSTOM SAFE</v>
      </c>
      <c r="I1194" s="10"/>
      <c r="J1194" s="8"/>
      <c r="K1194" s="8"/>
      <c r="L1194" s="8"/>
      <c r="M1194" s="8"/>
      <c r="N1194" s="8"/>
    </row>
    <row r="1195" spans="1:14" ht="21" customHeight="1">
      <c r="A1195" s="9" t="s">
        <v>1490</v>
      </c>
      <c r="B1195" s="48">
        <v>609.6</v>
      </c>
      <c r="C1195" s="48">
        <v>3657.6</v>
      </c>
      <c r="D1195" s="10" t="s">
        <v>41</v>
      </c>
      <c r="E1195" s="10" t="s">
        <v>1415</v>
      </c>
      <c r="F1195" s="10" t="s">
        <v>1192</v>
      </c>
      <c r="G1195" s="10" t="s">
        <v>1183</v>
      </c>
      <c r="H1195" s="11" t="str">
        <f>IF(AND(B1195="",C1195=""),"CUSTOM BLANK",IF(OR(B1195="",C1195=""),"ERROR - ENTER BOTH",IF(OR(B1195&lt;=0,C1195&lt;=0),"ERROR - NONPOSITIVE",IF(OR(B1195&lt;'01-Process Controls'!$G$9,C1195&lt;'01-Process Controls'!$G$9),"ERROR - BELOW MIN",IF(NOT(B1195&lt;='01-Process Controls'!$D$9),"ERROR - EXCEEDS ROLL WIDTH",IF(COUNTIFS($B$1164:B1194,B1195,$C$1164:C1194,C1195)&gt;0,"VALID - DUPLICATE SIZE",IF(B1195&lt;='01-Process Controls'!$D$9-2*'01-Process Controls'!$H$9,"VALID - CUSTOM SAFE","VALID - CUSTOM NOMINAL EDGE")))))))</f>
        <v>VALID - CUSTOM SAFE</v>
      </c>
      <c r="I1195" s="10"/>
      <c r="J1195" s="8"/>
      <c r="K1195" s="8"/>
      <c r="L1195" s="8"/>
      <c r="M1195" s="8"/>
      <c r="N1195" s="8"/>
    </row>
    <row r="1196" spans="1:14" ht="21" customHeight="1">
      <c r="A1196" s="9" t="s">
        <v>1491</v>
      </c>
      <c r="B1196" s="48">
        <v>609.6</v>
      </c>
      <c r="C1196" s="48">
        <v>3962.4</v>
      </c>
      <c r="D1196" s="10" t="s">
        <v>41</v>
      </c>
      <c r="E1196" s="10" t="s">
        <v>1415</v>
      </c>
      <c r="F1196" s="10" t="s">
        <v>1192</v>
      </c>
      <c r="G1196" s="10" t="s">
        <v>1183</v>
      </c>
      <c r="H1196" s="11" t="str">
        <f>IF(AND(B1196="",C1196=""),"CUSTOM BLANK",IF(OR(B1196="",C1196=""),"ERROR - ENTER BOTH",IF(OR(B1196&lt;=0,C1196&lt;=0),"ERROR - NONPOSITIVE",IF(OR(B1196&lt;'01-Process Controls'!$G$9,C1196&lt;'01-Process Controls'!$G$9),"ERROR - BELOW MIN",IF(NOT(B1196&lt;='01-Process Controls'!$D$9),"ERROR - EXCEEDS ROLL WIDTH",IF(COUNTIFS($B$1164:B1195,B1196,$C$1164:C1195,C1196)&gt;0,"VALID - DUPLICATE SIZE",IF(B1196&lt;='01-Process Controls'!$D$9-2*'01-Process Controls'!$H$9,"VALID - CUSTOM SAFE","VALID - CUSTOM NOMINAL EDGE")))))))</f>
        <v>VALID - CUSTOM SAFE</v>
      </c>
      <c r="I1196" s="10"/>
      <c r="J1196" s="8"/>
      <c r="K1196" s="8"/>
      <c r="L1196" s="8"/>
      <c r="M1196" s="8"/>
      <c r="N1196" s="8"/>
    </row>
    <row r="1197" spans="1:14" ht="21" customHeight="1">
      <c r="A1197" s="9" t="s">
        <v>1492</v>
      </c>
      <c r="B1197" s="48">
        <v>609.6</v>
      </c>
      <c r="C1197" s="48">
        <v>4267.2000000000007</v>
      </c>
      <c r="D1197" s="10" t="s">
        <v>41</v>
      </c>
      <c r="E1197" s="10" t="s">
        <v>1415</v>
      </c>
      <c r="F1197" s="10" t="s">
        <v>1192</v>
      </c>
      <c r="G1197" s="10" t="s">
        <v>1183</v>
      </c>
      <c r="H1197" s="11" t="str">
        <f>IF(AND(B1197="",C1197=""),"CUSTOM BLANK",IF(OR(B1197="",C1197=""),"ERROR - ENTER BOTH",IF(OR(B1197&lt;=0,C1197&lt;=0),"ERROR - NONPOSITIVE",IF(OR(B1197&lt;'01-Process Controls'!$G$9,C1197&lt;'01-Process Controls'!$G$9),"ERROR - BELOW MIN",IF(NOT(B1197&lt;='01-Process Controls'!$D$9),"ERROR - EXCEEDS ROLL WIDTH",IF(COUNTIFS($B$1164:B1196,B1197,$C$1164:C1196,C1197)&gt;0,"VALID - DUPLICATE SIZE",IF(B1197&lt;='01-Process Controls'!$D$9-2*'01-Process Controls'!$H$9,"VALID - CUSTOM SAFE","VALID - CUSTOM NOMINAL EDGE")))))))</f>
        <v>VALID - CUSTOM SAFE</v>
      </c>
      <c r="I1197" s="10"/>
      <c r="J1197" s="8"/>
      <c r="K1197" s="8"/>
      <c r="L1197" s="8"/>
      <c r="M1197" s="8"/>
      <c r="N1197" s="8"/>
    </row>
    <row r="1198" spans="1:14" ht="21" customHeight="1">
      <c r="A1198" s="9" t="s">
        <v>1493</v>
      </c>
      <c r="B1198" s="48">
        <v>609.6</v>
      </c>
      <c r="C1198" s="48">
        <v>4572</v>
      </c>
      <c r="D1198" s="10" t="s">
        <v>41</v>
      </c>
      <c r="E1198" s="10" t="s">
        <v>1415</v>
      </c>
      <c r="F1198" s="10" t="s">
        <v>1192</v>
      </c>
      <c r="G1198" s="10" t="s">
        <v>1183</v>
      </c>
      <c r="H1198" s="11" t="str">
        <f>IF(AND(B1198="",C1198=""),"CUSTOM BLANK",IF(OR(B1198="",C1198=""),"ERROR - ENTER BOTH",IF(OR(B1198&lt;=0,C1198&lt;=0),"ERROR - NONPOSITIVE",IF(OR(B1198&lt;'01-Process Controls'!$G$9,C1198&lt;'01-Process Controls'!$G$9),"ERROR - BELOW MIN",IF(NOT(B1198&lt;='01-Process Controls'!$D$9),"ERROR - EXCEEDS ROLL WIDTH",IF(COUNTIFS($B$1164:B1197,B1198,$C$1164:C1197,C1198)&gt;0,"VALID - DUPLICATE SIZE",IF(B1198&lt;='01-Process Controls'!$D$9-2*'01-Process Controls'!$H$9,"VALID - CUSTOM SAFE","VALID - CUSTOM NOMINAL EDGE")))))))</f>
        <v>VALID - CUSTOM SAFE</v>
      </c>
      <c r="I1198" s="10"/>
      <c r="J1198" s="8"/>
      <c r="K1198" s="8"/>
      <c r="L1198" s="8"/>
      <c r="M1198" s="8"/>
      <c r="N1198" s="8"/>
    </row>
    <row r="1199" spans="1:14" ht="21" customHeight="1">
      <c r="A1199" s="9" t="s">
        <v>1494</v>
      </c>
      <c r="B1199" s="48">
        <v>609.6</v>
      </c>
      <c r="C1199" s="48">
        <v>4876.8</v>
      </c>
      <c r="D1199" s="10" t="s">
        <v>41</v>
      </c>
      <c r="E1199" s="10" t="s">
        <v>1473</v>
      </c>
      <c r="F1199" s="10" t="s">
        <v>1192</v>
      </c>
      <c r="G1199" s="10" t="s">
        <v>1183</v>
      </c>
      <c r="H1199" s="11" t="str">
        <f>IF(AND(B1199="",C1199=""),"CUSTOM BLANK",IF(OR(B1199="",C1199=""),"ERROR - ENTER BOTH",IF(OR(B1199&lt;=0,C1199&lt;=0),"ERROR - NONPOSITIVE",IF(OR(B1199&lt;'01-Process Controls'!$G$9,C1199&lt;'01-Process Controls'!$G$9),"ERROR - BELOW MIN",IF(NOT(B1199&lt;='01-Process Controls'!$D$9),"ERROR - EXCEEDS ROLL WIDTH",IF(COUNTIFS($B$1164:B1198,B1199,$C$1164:C1198,C1199)&gt;0,"VALID - DUPLICATE SIZE",IF(B1199&lt;='01-Process Controls'!$D$9-2*'01-Process Controls'!$H$9,"VALID - CUSTOM SAFE","VALID - CUSTOM NOMINAL EDGE")))))))</f>
        <v>VALID - CUSTOM SAFE</v>
      </c>
      <c r="I1199" s="10"/>
      <c r="J1199" s="8"/>
      <c r="K1199" s="8"/>
      <c r="L1199" s="8"/>
      <c r="M1199" s="8"/>
      <c r="N1199" s="8"/>
    </row>
    <row r="1200" spans="1:14" ht="21" customHeight="1">
      <c r="A1200" s="9" t="s">
        <v>1495</v>
      </c>
      <c r="B1200" s="48">
        <v>609.6</v>
      </c>
      <c r="C1200" s="48">
        <v>5181.5999999999995</v>
      </c>
      <c r="D1200" s="10" t="s">
        <v>41</v>
      </c>
      <c r="E1200" s="10" t="s">
        <v>1473</v>
      </c>
      <c r="F1200" s="10" t="s">
        <v>1192</v>
      </c>
      <c r="G1200" s="10" t="s">
        <v>1183</v>
      </c>
      <c r="H1200" s="11" t="str">
        <f>IF(AND(B1200="",C1200=""),"CUSTOM BLANK",IF(OR(B1200="",C1200=""),"ERROR - ENTER BOTH",IF(OR(B1200&lt;=0,C1200&lt;=0),"ERROR - NONPOSITIVE",IF(OR(B1200&lt;'01-Process Controls'!$G$9,C1200&lt;'01-Process Controls'!$G$9),"ERROR - BELOW MIN",IF(NOT(B1200&lt;='01-Process Controls'!$D$9),"ERROR - EXCEEDS ROLL WIDTH",IF(COUNTIFS($B$1164:B1199,B1200,$C$1164:C1199,C1200)&gt;0,"VALID - DUPLICATE SIZE",IF(B1200&lt;='01-Process Controls'!$D$9-2*'01-Process Controls'!$H$9,"VALID - CUSTOM SAFE","VALID - CUSTOM NOMINAL EDGE")))))))</f>
        <v>VALID - CUSTOM SAFE</v>
      </c>
      <c r="I1200" s="10"/>
      <c r="J1200" s="8"/>
      <c r="K1200" s="8"/>
      <c r="L1200" s="8"/>
      <c r="M1200" s="8"/>
      <c r="N1200" s="8"/>
    </row>
    <row r="1201" spans="1:14" ht="21" customHeight="1">
      <c r="A1201" s="9" t="s">
        <v>1496</v>
      </c>
      <c r="B1201" s="48">
        <v>609.6</v>
      </c>
      <c r="C1201" s="48">
        <v>5486.4</v>
      </c>
      <c r="D1201" s="10" t="s">
        <v>41</v>
      </c>
      <c r="E1201" s="10" t="s">
        <v>1473</v>
      </c>
      <c r="F1201" s="10" t="s">
        <v>1192</v>
      </c>
      <c r="G1201" s="10" t="s">
        <v>1183</v>
      </c>
      <c r="H1201" s="11" t="str">
        <f>IF(AND(B1201="",C1201=""),"CUSTOM BLANK",IF(OR(B1201="",C1201=""),"ERROR - ENTER BOTH",IF(OR(B1201&lt;=0,C1201&lt;=0),"ERROR - NONPOSITIVE",IF(OR(B1201&lt;'01-Process Controls'!$G$9,C1201&lt;'01-Process Controls'!$G$9),"ERROR - BELOW MIN",IF(NOT(B1201&lt;='01-Process Controls'!$D$9),"ERROR - EXCEEDS ROLL WIDTH",IF(COUNTIFS($B$1164:B1200,B1201,$C$1164:C1200,C1201)&gt;0,"VALID - DUPLICATE SIZE",IF(B1201&lt;='01-Process Controls'!$D$9-2*'01-Process Controls'!$H$9,"VALID - CUSTOM SAFE","VALID - CUSTOM NOMINAL EDGE")))))))</f>
        <v>VALID - CUSTOM SAFE</v>
      </c>
      <c r="I1201" s="10"/>
      <c r="J1201" s="8"/>
      <c r="K1201" s="8"/>
      <c r="L1201" s="8"/>
      <c r="M1201" s="8"/>
      <c r="N1201" s="8"/>
    </row>
    <row r="1202" spans="1:14" ht="21" customHeight="1">
      <c r="A1202" s="9" t="s">
        <v>1497</v>
      </c>
      <c r="B1202" s="48">
        <v>609.6</v>
      </c>
      <c r="C1202" s="48">
        <v>5791.2</v>
      </c>
      <c r="D1202" s="10" t="s">
        <v>41</v>
      </c>
      <c r="E1202" s="10" t="s">
        <v>1473</v>
      </c>
      <c r="F1202" s="10" t="s">
        <v>1192</v>
      </c>
      <c r="G1202" s="10" t="s">
        <v>1183</v>
      </c>
      <c r="H1202" s="11" t="str">
        <f>IF(AND(B1202="",C1202=""),"CUSTOM BLANK",IF(OR(B1202="",C1202=""),"ERROR - ENTER BOTH",IF(OR(B1202&lt;=0,C1202&lt;=0),"ERROR - NONPOSITIVE",IF(OR(B1202&lt;'01-Process Controls'!$G$9,C1202&lt;'01-Process Controls'!$G$9),"ERROR - BELOW MIN",IF(NOT(B1202&lt;='01-Process Controls'!$D$9),"ERROR - EXCEEDS ROLL WIDTH",IF(COUNTIFS($B$1164:B1201,B1202,$C$1164:C1201,C1202)&gt;0,"VALID - DUPLICATE SIZE",IF(B1202&lt;='01-Process Controls'!$D$9-2*'01-Process Controls'!$H$9,"VALID - CUSTOM SAFE","VALID - CUSTOM NOMINAL EDGE")))))))</f>
        <v>VALID - CUSTOM SAFE</v>
      </c>
      <c r="I1202" s="10"/>
      <c r="J1202" s="8"/>
      <c r="K1202" s="8"/>
      <c r="L1202" s="8"/>
      <c r="M1202" s="8"/>
      <c r="N1202" s="8"/>
    </row>
    <row r="1203" spans="1:14" ht="21" customHeight="1">
      <c r="A1203" s="9" t="s">
        <v>1498</v>
      </c>
      <c r="B1203" s="48">
        <v>609.6</v>
      </c>
      <c r="C1203" s="48">
        <v>6096</v>
      </c>
      <c r="D1203" s="10" t="s">
        <v>41</v>
      </c>
      <c r="E1203" s="10" t="s">
        <v>1478</v>
      </c>
      <c r="F1203" s="10" t="s">
        <v>1192</v>
      </c>
      <c r="G1203" s="10" t="s">
        <v>1183</v>
      </c>
      <c r="H1203" s="11" t="str">
        <f>IF(AND(B1203="",C1203=""),"CUSTOM BLANK",IF(OR(B1203="",C1203=""),"ERROR - ENTER BOTH",IF(OR(B1203&lt;=0,C1203&lt;=0),"ERROR - NONPOSITIVE",IF(OR(B1203&lt;'01-Process Controls'!$G$9,C1203&lt;'01-Process Controls'!$G$9),"ERROR - BELOW MIN",IF(NOT(B1203&lt;='01-Process Controls'!$D$9),"ERROR - EXCEEDS ROLL WIDTH",IF(COUNTIFS($B$1164:B1202,B1203,$C$1164:C1202,C1203)&gt;0,"VALID - DUPLICATE SIZE",IF(B1203&lt;='01-Process Controls'!$D$9-2*'01-Process Controls'!$H$9,"VALID - CUSTOM SAFE","VALID - CUSTOM NOMINAL EDGE")))))))</f>
        <v>VALID - CUSTOM SAFE</v>
      </c>
      <c r="I1203" s="10"/>
      <c r="J1203" s="8"/>
      <c r="K1203" s="8"/>
      <c r="L1203" s="8"/>
      <c r="M1203" s="8"/>
      <c r="N1203" s="8"/>
    </row>
    <row r="1204" spans="1:14" ht="21" customHeight="1">
      <c r="A1204" s="9" t="s">
        <v>1499</v>
      </c>
      <c r="B1204" s="48">
        <v>914.4</v>
      </c>
      <c r="C1204" s="48">
        <v>304.8</v>
      </c>
      <c r="D1204" s="10" t="s">
        <v>41</v>
      </c>
      <c r="E1204" s="10" t="s">
        <v>1420</v>
      </c>
      <c r="F1204" s="10" t="s">
        <v>1192</v>
      </c>
      <c r="G1204" s="10" t="s">
        <v>1193</v>
      </c>
      <c r="H1204" s="11" t="str">
        <f>IF(AND(B1204="",C1204=""),"CUSTOM BLANK",IF(OR(B1204="",C1204=""),"ERROR - ENTER BOTH",IF(OR(B1204&lt;=0,C1204&lt;=0),"ERROR - NONPOSITIVE",IF(OR(B1204&lt;'01-Process Controls'!$G$9,C1204&lt;'01-Process Controls'!$G$9),"ERROR - BELOW MIN",IF(NOT(B1204&lt;='01-Process Controls'!$D$9),"ERROR - EXCEEDS ROLL WIDTH",IF(COUNTIFS($B$1164:B1203,B1204,$C$1164:C1203,C1204)&gt;0,"VALID - DUPLICATE SIZE",IF(B1204&lt;='01-Process Controls'!$D$9-2*'01-Process Controls'!$H$9,"VALID - CUSTOM SAFE","VALID - CUSTOM NOMINAL EDGE")))))))</f>
        <v>VALID - CUSTOM SAFE</v>
      </c>
      <c r="I1204" s="10"/>
      <c r="J1204" s="8"/>
      <c r="K1204" s="8"/>
      <c r="L1204" s="8"/>
      <c r="M1204" s="8"/>
      <c r="N1204" s="8"/>
    </row>
    <row r="1205" spans="1:14" ht="21" customHeight="1">
      <c r="A1205" s="9" t="s">
        <v>1500</v>
      </c>
      <c r="B1205" s="48">
        <v>914.4</v>
      </c>
      <c r="C1205" s="48">
        <v>609.6</v>
      </c>
      <c r="D1205" s="10" t="s">
        <v>41</v>
      </c>
      <c r="E1205" s="10" t="s">
        <v>1406</v>
      </c>
      <c r="F1205" s="10" t="s">
        <v>1192</v>
      </c>
      <c r="G1205" s="10" t="s">
        <v>1183</v>
      </c>
      <c r="H1205" s="11" t="str">
        <f>IF(AND(B1205="",C1205=""),"CUSTOM BLANK",IF(OR(B1205="",C1205=""),"ERROR - ENTER BOTH",IF(OR(B1205&lt;=0,C1205&lt;=0),"ERROR - NONPOSITIVE",IF(OR(B1205&lt;'01-Process Controls'!$G$9,C1205&lt;'01-Process Controls'!$G$9),"ERROR - BELOW MIN",IF(NOT(B1205&lt;='01-Process Controls'!$D$9),"ERROR - EXCEEDS ROLL WIDTH",IF(COUNTIFS($B$1164:B1204,B1205,$C$1164:C1204,C1205)&gt;0,"VALID - DUPLICATE SIZE",IF(B1205&lt;='01-Process Controls'!$D$9-2*'01-Process Controls'!$H$9,"VALID - CUSTOM SAFE","VALID - CUSTOM NOMINAL EDGE")))))))</f>
        <v>VALID - CUSTOM SAFE</v>
      </c>
      <c r="I1205" s="10"/>
      <c r="J1205" s="8"/>
      <c r="K1205" s="8"/>
      <c r="L1205" s="8"/>
      <c r="M1205" s="8"/>
      <c r="N1205" s="8"/>
    </row>
    <row r="1206" spans="1:14" ht="21" customHeight="1">
      <c r="A1206" s="9" t="s">
        <v>1501</v>
      </c>
      <c r="B1206" s="48">
        <v>914.4</v>
      </c>
      <c r="C1206" s="48">
        <v>914.4</v>
      </c>
      <c r="D1206" s="10" t="s">
        <v>41</v>
      </c>
      <c r="E1206" s="10" t="s">
        <v>1409</v>
      </c>
      <c r="F1206" s="10" t="s">
        <v>1192</v>
      </c>
      <c r="G1206" s="10" t="s">
        <v>1183</v>
      </c>
      <c r="H1206" s="11" t="str">
        <f>IF(AND(B1206="",C1206=""),"CUSTOM BLANK",IF(OR(B1206="",C1206=""),"ERROR - ENTER BOTH",IF(OR(B1206&lt;=0,C1206&lt;=0),"ERROR - NONPOSITIVE",IF(OR(B1206&lt;'01-Process Controls'!$G$9,C1206&lt;'01-Process Controls'!$G$9),"ERROR - BELOW MIN",IF(NOT(B1206&lt;='01-Process Controls'!$D$9),"ERROR - EXCEEDS ROLL WIDTH",IF(COUNTIFS($B$1164:B1205,B1206,$C$1164:C1205,C1206)&gt;0,"VALID - DUPLICATE SIZE",IF(B1206&lt;='01-Process Controls'!$D$9-2*'01-Process Controls'!$H$9,"VALID - CUSTOM SAFE","VALID - CUSTOM NOMINAL EDGE")))))))</f>
        <v>VALID - CUSTOM SAFE</v>
      </c>
      <c r="I1206" s="10"/>
      <c r="J1206" s="8"/>
      <c r="K1206" s="8"/>
      <c r="L1206" s="8"/>
      <c r="M1206" s="8"/>
      <c r="N1206" s="8"/>
    </row>
    <row r="1207" spans="1:14" ht="21" customHeight="1">
      <c r="A1207" s="9" t="s">
        <v>1502</v>
      </c>
      <c r="B1207" s="48">
        <v>914.4</v>
      </c>
      <c r="C1207" s="48">
        <v>1219.2</v>
      </c>
      <c r="D1207" s="10" t="s">
        <v>41</v>
      </c>
      <c r="E1207" s="10" t="s">
        <v>1412</v>
      </c>
      <c r="F1207" s="10" t="s">
        <v>1192</v>
      </c>
      <c r="G1207" s="10" t="s">
        <v>1183</v>
      </c>
      <c r="H1207" s="11" t="str">
        <f>IF(AND(B1207="",C1207=""),"CUSTOM BLANK",IF(OR(B1207="",C1207=""),"ERROR - ENTER BOTH",IF(OR(B1207&lt;=0,C1207&lt;=0),"ERROR - NONPOSITIVE",IF(OR(B1207&lt;'01-Process Controls'!$G$9,C1207&lt;'01-Process Controls'!$G$9),"ERROR - BELOW MIN",IF(NOT(B1207&lt;='01-Process Controls'!$D$9),"ERROR - EXCEEDS ROLL WIDTH",IF(COUNTIFS($B$1164:B1206,B1207,$C$1164:C1206,C1207)&gt;0,"VALID - DUPLICATE SIZE",IF(B1207&lt;='01-Process Controls'!$D$9-2*'01-Process Controls'!$H$9,"VALID - CUSTOM SAFE","VALID - CUSTOM NOMINAL EDGE")))))))</f>
        <v>VALID - CUSTOM SAFE</v>
      </c>
      <c r="I1207" s="10"/>
      <c r="J1207" s="8"/>
      <c r="K1207" s="8"/>
      <c r="L1207" s="8"/>
      <c r="M1207" s="8"/>
      <c r="N1207" s="8"/>
    </row>
    <row r="1208" spans="1:14" ht="21" customHeight="1">
      <c r="A1208" s="9" t="s">
        <v>1503</v>
      </c>
      <c r="B1208" s="48">
        <v>914.4</v>
      </c>
      <c r="C1208" s="48">
        <v>1524</v>
      </c>
      <c r="D1208" s="10" t="s">
        <v>41</v>
      </c>
      <c r="E1208" s="10" t="s">
        <v>1412</v>
      </c>
      <c r="F1208" s="10" t="s">
        <v>1192</v>
      </c>
      <c r="G1208" s="10" t="s">
        <v>1183</v>
      </c>
      <c r="H1208" s="11" t="str">
        <f>IF(AND(B1208="",C1208=""),"CUSTOM BLANK",IF(OR(B1208="",C1208=""),"ERROR - ENTER BOTH",IF(OR(B1208&lt;=0,C1208&lt;=0),"ERROR - NONPOSITIVE",IF(OR(B1208&lt;'01-Process Controls'!$G$9,C1208&lt;'01-Process Controls'!$G$9),"ERROR - BELOW MIN",IF(NOT(B1208&lt;='01-Process Controls'!$D$9),"ERROR - EXCEEDS ROLL WIDTH",IF(COUNTIFS($B$1164:B1207,B1208,$C$1164:C1207,C1208)&gt;0,"VALID - DUPLICATE SIZE",IF(B1208&lt;='01-Process Controls'!$D$9-2*'01-Process Controls'!$H$9,"VALID - CUSTOM SAFE","VALID - CUSTOM NOMINAL EDGE")))))))</f>
        <v>VALID - CUSTOM SAFE</v>
      </c>
      <c r="I1208" s="10"/>
      <c r="J1208" s="8"/>
      <c r="K1208" s="8"/>
      <c r="L1208" s="8"/>
      <c r="M1208" s="8"/>
      <c r="N1208" s="8"/>
    </row>
    <row r="1209" spans="1:14" ht="21" customHeight="1">
      <c r="A1209" s="9" t="s">
        <v>1504</v>
      </c>
      <c r="B1209" s="48">
        <v>914.4</v>
      </c>
      <c r="C1209" s="48">
        <v>1828.8</v>
      </c>
      <c r="D1209" s="10" t="s">
        <v>41</v>
      </c>
      <c r="E1209" s="10" t="s">
        <v>1412</v>
      </c>
      <c r="F1209" s="10" t="s">
        <v>1192</v>
      </c>
      <c r="G1209" s="10" t="s">
        <v>1183</v>
      </c>
      <c r="H1209" s="11" t="str">
        <f>IF(AND(B1209="",C1209=""),"CUSTOM BLANK",IF(OR(B1209="",C1209=""),"ERROR - ENTER BOTH",IF(OR(B1209&lt;=0,C1209&lt;=0),"ERROR - NONPOSITIVE",IF(OR(B1209&lt;'01-Process Controls'!$G$9,C1209&lt;'01-Process Controls'!$G$9),"ERROR - BELOW MIN",IF(NOT(B1209&lt;='01-Process Controls'!$D$9),"ERROR - EXCEEDS ROLL WIDTH",IF(COUNTIFS($B$1164:B1208,B1209,$C$1164:C1208,C1209)&gt;0,"VALID - DUPLICATE SIZE",IF(B1209&lt;='01-Process Controls'!$D$9-2*'01-Process Controls'!$H$9,"VALID - CUSTOM SAFE","VALID - CUSTOM NOMINAL EDGE")))))))</f>
        <v>VALID - CUSTOM SAFE</v>
      </c>
      <c r="I1209" s="10"/>
      <c r="J1209" s="8"/>
      <c r="K1209" s="8"/>
      <c r="L1209" s="8"/>
      <c r="M1209" s="8"/>
      <c r="N1209" s="8"/>
    </row>
    <row r="1210" spans="1:14" ht="21" customHeight="1">
      <c r="A1210" s="9" t="s">
        <v>1505</v>
      </c>
      <c r="B1210" s="48">
        <v>914.4</v>
      </c>
      <c r="C1210" s="48">
        <v>2133.6000000000004</v>
      </c>
      <c r="D1210" s="10" t="s">
        <v>41</v>
      </c>
      <c r="E1210" s="10" t="s">
        <v>1412</v>
      </c>
      <c r="F1210" s="10" t="s">
        <v>1192</v>
      </c>
      <c r="G1210" s="10" t="s">
        <v>1183</v>
      </c>
      <c r="H1210" s="11" t="str">
        <f>IF(AND(B1210="",C1210=""),"CUSTOM BLANK",IF(OR(B1210="",C1210=""),"ERROR - ENTER BOTH",IF(OR(B1210&lt;=0,C1210&lt;=0),"ERROR - NONPOSITIVE",IF(OR(B1210&lt;'01-Process Controls'!$G$9,C1210&lt;'01-Process Controls'!$G$9),"ERROR - BELOW MIN",IF(NOT(B1210&lt;='01-Process Controls'!$D$9),"ERROR - EXCEEDS ROLL WIDTH",IF(COUNTIFS($B$1164:B1209,B1210,$C$1164:C1209,C1210)&gt;0,"VALID - DUPLICATE SIZE",IF(B1210&lt;='01-Process Controls'!$D$9-2*'01-Process Controls'!$H$9,"VALID - CUSTOM SAFE","VALID - CUSTOM NOMINAL EDGE")))))))</f>
        <v>VALID - CUSTOM SAFE</v>
      </c>
      <c r="I1210" s="10"/>
      <c r="J1210" s="8"/>
      <c r="K1210" s="8"/>
      <c r="L1210" s="8"/>
      <c r="M1210" s="8"/>
      <c r="N1210" s="8"/>
    </row>
    <row r="1211" spans="1:14" ht="21" customHeight="1">
      <c r="A1211" s="9" t="s">
        <v>1506</v>
      </c>
      <c r="B1211" s="48">
        <v>914.4</v>
      </c>
      <c r="C1211" s="48">
        <v>2438.4</v>
      </c>
      <c r="D1211" s="10" t="s">
        <v>41</v>
      </c>
      <c r="E1211" s="10" t="s">
        <v>1415</v>
      </c>
      <c r="F1211" s="10" t="s">
        <v>1192</v>
      </c>
      <c r="G1211" s="10" t="s">
        <v>1183</v>
      </c>
      <c r="H1211" s="11" t="str">
        <f>IF(AND(B1211="",C1211=""),"CUSTOM BLANK",IF(OR(B1211="",C1211=""),"ERROR - ENTER BOTH",IF(OR(B1211&lt;=0,C1211&lt;=0),"ERROR - NONPOSITIVE",IF(OR(B1211&lt;'01-Process Controls'!$G$9,C1211&lt;'01-Process Controls'!$G$9),"ERROR - BELOW MIN",IF(NOT(B1211&lt;='01-Process Controls'!$D$9),"ERROR - EXCEEDS ROLL WIDTH",IF(COUNTIFS($B$1164:B1210,B1211,$C$1164:C1210,C1211)&gt;0,"VALID - DUPLICATE SIZE",IF(B1211&lt;='01-Process Controls'!$D$9-2*'01-Process Controls'!$H$9,"VALID - CUSTOM SAFE","VALID - CUSTOM NOMINAL EDGE")))))))</f>
        <v>VALID - CUSTOM SAFE</v>
      </c>
      <c r="I1211" s="10"/>
      <c r="J1211" s="8"/>
      <c r="K1211" s="8"/>
      <c r="L1211" s="8"/>
      <c r="M1211" s="8"/>
      <c r="N1211" s="8"/>
    </row>
    <row r="1212" spans="1:14" ht="21" customHeight="1">
      <c r="A1212" s="9" t="s">
        <v>1507</v>
      </c>
      <c r="B1212" s="48">
        <v>914.4</v>
      </c>
      <c r="C1212" s="48">
        <v>2743.2</v>
      </c>
      <c r="D1212" s="10" t="s">
        <v>41</v>
      </c>
      <c r="E1212" s="10" t="s">
        <v>1415</v>
      </c>
      <c r="F1212" s="10" t="s">
        <v>1192</v>
      </c>
      <c r="G1212" s="10" t="s">
        <v>1183</v>
      </c>
      <c r="H1212" s="11" t="str">
        <f>IF(AND(B1212="",C1212=""),"CUSTOM BLANK",IF(OR(B1212="",C1212=""),"ERROR - ENTER BOTH",IF(OR(B1212&lt;=0,C1212&lt;=0),"ERROR - NONPOSITIVE",IF(OR(B1212&lt;'01-Process Controls'!$G$9,C1212&lt;'01-Process Controls'!$G$9),"ERROR - BELOW MIN",IF(NOT(B1212&lt;='01-Process Controls'!$D$9),"ERROR - EXCEEDS ROLL WIDTH",IF(COUNTIFS($B$1164:B1211,B1212,$C$1164:C1211,C1212)&gt;0,"VALID - DUPLICATE SIZE",IF(B1212&lt;='01-Process Controls'!$D$9-2*'01-Process Controls'!$H$9,"VALID - CUSTOM SAFE","VALID - CUSTOM NOMINAL EDGE")))))))</f>
        <v>VALID - CUSTOM SAFE</v>
      </c>
      <c r="I1212" s="10"/>
      <c r="J1212" s="8"/>
      <c r="K1212" s="8"/>
      <c r="L1212" s="8"/>
      <c r="M1212" s="8"/>
      <c r="N1212" s="8"/>
    </row>
    <row r="1213" spans="1:14" ht="21" customHeight="1">
      <c r="A1213" s="9" t="s">
        <v>1508</v>
      </c>
      <c r="B1213" s="48">
        <v>914.4</v>
      </c>
      <c r="C1213" s="48">
        <v>3048</v>
      </c>
      <c r="D1213" s="10" t="s">
        <v>41</v>
      </c>
      <c r="E1213" s="10" t="s">
        <v>1415</v>
      </c>
      <c r="F1213" s="10" t="s">
        <v>1192</v>
      </c>
      <c r="G1213" s="10" t="s">
        <v>1183</v>
      </c>
      <c r="H1213" s="11" t="str">
        <f>IF(AND(B1213="",C1213=""),"CUSTOM BLANK",IF(OR(B1213="",C1213=""),"ERROR - ENTER BOTH",IF(OR(B1213&lt;=0,C1213&lt;=0),"ERROR - NONPOSITIVE",IF(OR(B1213&lt;'01-Process Controls'!$G$9,C1213&lt;'01-Process Controls'!$G$9),"ERROR - BELOW MIN",IF(NOT(B1213&lt;='01-Process Controls'!$D$9),"ERROR - EXCEEDS ROLL WIDTH",IF(COUNTIFS($B$1164:B1212,B1213,$C$1164:C1212,C1213)&gt;0,"VALID - DUPLICATE SIZE",IF(B1213&lt;='01-Process Controls'!$D$9-2*'01-Process Controls'!$H$9,"VALID - CUSTOM SAFE","VALID - CUSTOM NOMINAL EDGE")))))))</f>
        <v>VALID - CUSTOM SAFE</v>
      </c>
      <c r="I1213" s="10"/>
      <c r="J1213" s="8"/>
      <c r="K1213" s="8"/>
      <c r="L1213" s="8"/>
      <c r="M1213" s="8"/>
      <c r="N1213" s="8"/>
    </row>
    <row r="1214" spans="1:14" ht="21" customHeight="1">
      <c r="A1214" s="9" t="s">
        <v>1509</v>
      </c>
      <c r="B1214" s="48">
        <v>914.4</v>
      </c>
      <c r="C1214" s="48">
        <v>3352.7999999999997</v>
      </c>
      <c r="D1214" s="10" t="s">
        <v>41</v>
      </c>
      <c r="E1214" s="10" t="s">
        <v>1415</v>
      </c>
      <c r="F1214" s="10" t="s">
        <v>1192</v>
      </c>
      <c r="G1214" s="10" t="s">
        <v>1183</v>
      </c>
      <c r="H1214" s="11" t="str">
        <f>IF(AND(B1214="",C1214=""),"CUSTOM BLANK",IF(OR(B1214="",C1214=""),"ERROR - ENTER BOTH",IF(OR(B1214&lt;=0,C1214&lt;=0),"ERROR - NONPOSITIVE",IF(OR(B1214&lt;'01-Process Controls'!$G$9,C1214&lt;'01-Process Controls'!$G$9),"ERROR - BELOW MIN",IF(NOT(B1214&lt;='01-Process Controls'!$D$9),"ERROR - EXCEEDS ROLL WIDTH",IF(COUNTIFS($B$1164:B1213,B1214,$C$1164:C1213,C1214)&gt;0,"VALID - DUPLICATE SIZE",IF(B1214&lt;='01-Process Controls'!$D$9-2*'01-Process Controls'!$H$9,"VALID - CUSTOM SAFE","VALID - CUSTOM NOMINAL EDGE")))))))</f>
        <v>VALID - CUSTOM SAFE</v>
      </c>
      <c r="I1214" s="10"/>
      <c r="J1214" s="8"/>
      <c r="K1214" s="8"/>
      <c r="L1214" s="8"/>
      <c r="M1214" s="8"/>
      <c r="N1214" s="8"/>
    </row>
    <row r="1215" spans="1:14" ht="21" customHeight="1">
      <c r="A1215" s="9" t="s">
        <v>1510</v>
      </c>
      <c r="B1215" s="48">
        <v>914.4</v>
      </c>
      <c r="C1215" s="48">
        <v>3657.6</v>
      </c>
      <c r="D1215" s="10" t="s">
        <v>41</v>
      </c>
      <c r="E1215" s="10" t="s">
        <v>1415</v>
      </c>
      <c r="F1215" s="10" t="s">
        <v>1192</v>
      </c>
      <c r="G1215" s="10" t="s">
        <v>1183</v>
      </c>
      <c r="H1215" s="11" t="str">
        <f>IF(AND(B1215="",C1215=""),"CUSTOM BLANK",IF(OR(B1215="",C1215=""),"ERROR - ENTER BOTH",IF(OR(B1215&lt;=0,C1215&lt;=0),"ERROR - NONPOSITIVE",IF(OR(B1215&lt;'01-Process Controls'!$G$9,C1215&lt;'01-Process Controls'!$G$9),"ERROR - BELOW MIN",IF(NOT(B1215&lt;='01-Process Controls'!$D$9),"ERROR - EXCEEDS ROLL WIDTH",IF(COUNTIFS($B$1164:B1214,B1215,$C$1164:C1214,C1215)&gt;0,"VALID - DUPLICATE SIZE",IF(B1215&lt;='01-Process Controls'!$D$9-2*'01-Process Controls'!$H$9,"VALID - CUSTOM SAFE","VALID - CUSTOM NOMINAL EDGE")))))))</f>
        <v>VALID - CUSTOM SAFE</v>
      </c>
      <c r="I1215" s="10"/>
      <c r="J1215" s="8"/>
      <c r="K1215" s="8"/>
      <c r="L1215" s="8"/>
      <c r="M1215" s="8"/>
      <c r="N1215" s="8"/>
    </row>
    <row r="1216" spans="1:14" ht="21" customHeight="1">
      <c r="A1216" s="9" t="s">
        <v>1511</v>
      </c>
      <c r="B1216" s="48">
        <v>914.4</v>
      </c>
      <c r="C1216" s="48">
        <v>3962.4</v>
      </c>
      <c r="D1216" s="10" t="s">
        <v>41</v>
      </c>
      <c r="E1216" s="10" t="s">
        <v>1415</v>
      </c>
      <c r="F1216" s="10" t="s">
        <v>1192</v>
      </c>
      <c r="G1216" s="10" t="s">
        <v>1183</v>
      </c>
      <c r="H1216" s="11" t="str">
        <f>IF(AND(B1216="",C1216=""),"CUSTOM BLANK",IF(OR(B1216="",C1216=""),"ERROR - ENTER BOTH",IF(OR(B1216&lt;=0,C1216&lt;=0),"ERROR - NONPOSITIVE",IF(OR(B1216&lt;'01-Process Controls'!$G$9,C1216&lt;'01-Process Controls'!$G$9),"ERROR - BELOW MIN",IF(NOT(B1216&lt;='01-Process Controls'!$D$9),"ERROR - EXCEEDS ROLL WIDTH",IF(COUNTIFS($B$1164:B1215,B1216,$C$1164:C1215,C1216)&gt;0,"VALID - DUPLICATE SIZE",IF(B1216&lt;='01-Process Controls'!$D$9-2*'01-Process Controls'!$H$9,"VALID - CUSTOM SAFE","VALID - CUSTOM NOMINAL EDGE")))))))</f>
        <v>VALID - CUSTOM SAFE</v>
      </c>
      <c r="I1216" s="10"/>
      <c r="J1216" s="8"/>
      <c r="K1216" s="8"/>
      <c r="L1216" s="8"/>
      <c r="M1216" s="8"/>
      <c r="N1216" s="8"/>
    </row>
    <row r="1217" spans="1:14" ht="21" customHeight="1">
      <c r="A1217" s="9" t="s">
        <v>1512</v>
      </c>
      <c r="B1217" s="48">
        <v>914.4</v>
      </c>
      <c r="C1217" s="48">
        <v>4267.2000000000007</v>
      </c>
      <c r="D1217" s="10" t="s">
        <v>41</v>
      </c>
      <c r="E1217" s="10" t="s">
        <v>1415</v>
      </c>
      <c r="F1217" s="10" t="s">
        <v>1192</v>
      </c>
      <c r="G1217" s="10" t="s">
        <v>1183</v>
      </c>
      <c r="H1217" s="11" t="str">
        <f>IF(AND(B1217="",C1217=""),"CUSTOM BLANK",IF(OR(B1217="",C1217=""),"ERROR - ENTER BOTH",IF(OR(B1217&lt;=0,C1217&lt;=0),"ERROR - NONPOSITIVE",IF(OR(B1217&lt;'01-Process Controls'!$G$9,C1217&lt;'01-Process Controls'!$G$9),"ERROR - BELOW MIN",IF(NOT(B1217&lt;='01-Process Controls'!$D$9),"ERROR - EXCEEDS ROLL WIDTH",IF(COUNTIFS($B$1164:B1216,B1217,$C$1164:C1216,C1217)&gt;0,"VALID - DUPLICATE SIZE",IF(B1217&lt;='01-Process Controls'!$D$9-2*'01-Process Controls'!$H$9,"VALID - CUSTOM SAFE","VALID - CUSTOM NOMINAL EDGE")))))))</f>
        <v>VALID - CUSTOM SAFE</v>
      </c>
      <c r="I1217" s="10"/>
      <c r="J1217" s="8"/>
      <c r="K1217" s="8"/>
      <c r="L1217" s="8"/>
      <c r="M1217" s="8"/>
      <c r="N1217" s="8"/>
    </row>
    <row r="1218" spans="1:14" ht="21" customHeight="1">
      <c r="A1218" s="9" t="s">
        <v>1513</v>
      </c>
      <c r="B1218" s="48">
        <v>914.4</v>
      </c>
      <c r="C1218" s="48">
        <v>4572</v>
      </c>
      <c r="D1218" s="10" t="s">
        <v>41</v>
      </c>
      <c r="E1218" s="10" t="s">
        <v>1415</v>
      </c>
      <c r="F1218" s="10" t="s">
        <v>1192</v>
      </c>
      <c r="G1218" s="10" t="s">
        <v>1183</v>
      </c>
      <c r="H1218" s="11" t="str">
        <f>IF(AND(B1218="",C1218=""),"CUSTOM BLANK",IF(OR(B1218="",C1218=""),"ERROR - ENTER BOTH",IF(OR(B1218&lt;=0,C1218&lt;=0),"ERROR - NONPOSITIVE",IF(OR(B1218&lt;'01-Process Controls'!$G$9,C1218&lt;'01-Process Controls'!$G$9),"ERROR - BELOW MIN",IF(NOT(B1218&lt;='01-Process Controls'!$D$9),"ERROR - EXCEEDS ROLL WIDTH",IF(COUNTIFS($B$1164:B1217,B1218,$C$1164:C1217,C1218)&gt;0,"VALID - DUPLICATE SIZE",IF(B1218&lt;='01-Process Controls'!$D$9-2*'01-Process Controls'!$H$9,"VALID - CUSTOM SAFE","VALID - CUSTOM NOMINAL EDGE")))))))</f>
        <v>VALID - CUSTOM SAFE</v>
      </c>
      <c r="I1218" s="10"/>
      <c r="J1218" s="8"/>
      <c r="K1218" s="8"/>
      <c r="L1218" s="8"/>
      <c r="M1218" s="8"/>
      <c r="N1218" s="8"/>
    </row>
    <row r="1219" spans="1:14" ht="21" customHeight="1">
      <c r="A1219" s="9" t="s">
        <v>1514</v>
      </c>
      <c r="B1219" s="48">
        <v>914.4</v>
      </c>
      <c r="C1219" s="48">
        <v>4876.8</v>
      </c>
      <c r="D1219" s="10" t="s">
        <v>41</v>
      </c>
      <c r="E1219" s="10" t="s">
        <v>1473</v>
      </c>
      <c r="F1219" s="10" t="s">
        <v>1192</v>
      </c>
      <c r="G1219" s="10" t="s">
        <v>1183</v>
      </c>
      <c r="H1219" s="11" t="str">
        <f>IF(AND(B1219="",C1219=""),"CUSTOM BLANK",IF(OR(B1219="",C1219=""),"ERROR - ENTER BOTH",IF(OR(B1219&lt;=0,C1219&lt;=0),"ERROR - NONPOSITIVE",IF(OR(B1219&lt;'01-Process Controls'!$G$9,C1219&lt;'01-Process Controls'!$G$9),"ERROR - BELOW MIN",IF(NOT(B1219&lt;='01-Process Controls'!$D$9),"ERROR - EXCEEDS ROLL WIDTH",IF(COUNTIFS($B$1164:B1218,B1219,$C$1164:C1218,C1219)&gt;0,"VALID - DUPLICATE SIZE",IF(B1219&lt;='01-Process Controls'!$D$9-2*'01-Process Controls'!$H$9,"VALID - CUSTOM SAFE","VALID - CUSTOM NOMINAL EDGE")))))))</f>
        <v>VALID - CUSTOM SAFE</v>
      </c>
      <c r="I1219" s="10"/>
      <c r="J1219" s="8"/>
      <c r="K1219" s="8"/>
      <c r="L1219" s="8"/>
      <c r="M1219" s="8"/>
      <c r="N1219" s="8"/>
    </row>
    <row r="1220" spans="1:14" ht="21" customHeight="1">
      <c r="A1220" s="9" t="s">
        <v>1515</v>
      </c>
      <c r="B1220" s="48">
        <v>914.4</v>
      </c>
      <c r="C1220" s="48">
        <v>5181.5999999999995</v>
      </c>
      <c r="D1220" s="10" t="s">
        <v>41</v>
      </c>
      <c r="E1220" s="10" t="s">
        <v>1473</v>
      </c>
      <c r="F1220" s="10" t="s">
        <v>1192</v>
      </c>
      <c r="G1220" s="10" t="s">
        <v>1183</v>
      </c>
      <c r="H1220" s="11" t="str">
        <f>IF(AND(B1220="",C1220=""),"CUSTOM BLANK",IF(OR(B1220="",C1220=""),"ERROR - ENTER BOTH",IF(OR(B1220&lt;=0,C1220&lt;=0),"ERROR - NONPOSITIVE",IF(OR(B1220&lt;'01-Process Controls'!$G$9,C1220&lt;'01-Process Controls'!$G$9),"ERROR - BELOW MIN",IF(NOT(B1220&lt;='01-Process Controls'!$D$9),"ERROR - EXCEEDS ROLL WIDTH",IF(COUNTIFS($B$1164:B1219,B1220,$C$1164:C1219,C1220)&gt;0,"VALID - DUPLICATE SIZE",IF(B1220&lt;='01-Process Controls'!$D$9-2*'01-Process Controls'!$H$9,"VALID - CUSTOM SAFE","VALID - CUSTOM NOMINAL EDGE")))))))</f>
        <v>VALID - CUSTOM SAFE</v>
      </c>
      <c r="I1220" s="10"/>
      <c r="J1220" s="8"/>
      <c r="K1220" s="8"/>
      <c r="L1220" s="8"/>
      <c r="M1220" s="8"/>
      <c r="N1220" s="8"/>
    </row>
    <row r="1221" spans="1:14" ht="21" customHeight="1">
      <c r="A1221" s="9" t="s">
        <v>1516</v>
      </c>
      <c r="B1221" s="67">
        <v>914.4</v>
      </c>
      <c r="C1221" s="67">
        <v>5486.4</v>
      </c>
      <c r="D1221" s="10" t="s">
        <v>41</v>
      </c>
      <c r="E1221" s="10" t="s">
        <v>1473</v>
      </c>
      <c r="F1221" s="10" t="s">
        <v>1192</v>
      </c>
      <c r="G1221" s="10" t="s">
        <v>1183</v>
      </c>
      <c r="H1221" s="11" t="str">
        <f>IF(AND(B1221="",C1221=""),"CUSTOM BLANK",IF(OR(B1221="",C1221=""),"ERROR - ENTER BOTH",IF(OR(B1221&lt;=0,C1221&lt;=0),"ERROR - NONPOSITIVE",IF(OR(B1221&lt;'01-Process Controls'!$G$9,C1221&lt;'01-Process Controls'!$G$9),"ERROR - BELOW MIN",IF(NOT(B1221&lt;='01-Process Controls'!$D$9),"ERROR - EXCEEDS ROLL WIDTH",IF(COUNTIFS($B$1164:B1220,B1221,$C$1164:C1220,C1221)&gt;0,"VALID - DUPLICATE SIZE",IF(B1221&lt;='01-Process Controls'!$D$9-2*'01-Process Controls'!$H$9,"VALID - CUSTOM SAFE","VALID - CUSTOM NOMINAL EDGE")))))))</f>
        <v>VALID - CUSTOM SAFE</v>
      </c>
      <c r="I1221" s="10"/>
      <c r="J1221" s="8"/>
      <c r="K1221" s="8"/>
      <c r="L1221" s="8"/>
      <c r="M1221" s="8"/>
      <c r="N1221" s="8"/>
    </row>
    <row r="1222" spans="1:14" ht="21" customHeight="1">
      <c r="A1222" s="9" t="s">
        <v>1517</v>
      </c>
      <c r="B1222" s="67">
        <v>914.4</v>
      </c>
      <c r="C1222" s="67">
        <v>5791.2</v>
      </c>
      <c r="D1222" s="10" t="s">
        <v>41</v>
      </c>
      <c r="E1222" s="10" t="s">
        <v>1473</v>
      </c>
      <c r="F1222" s="10" t="s">
        <v>1192</v>
      </c>
      <c r="G1222" s="10" t="s">
        <v>1183</v>
      </c>
      <c r="H1222" s="11" t="str">
        <f>IF(AND(B1222="",C1222=""),"CUSTOM BLANK",IF(OR(B1222="",C1222=""),"ERROR - ENTER BOTH",IF(OR(B1222&lt;=0,C1222&lt;=0),"ERROR - NONPOSITIVE",IF(OR(B1222&lt;'01-Process Controls'!$G$9,C1222&lt;'01-Process Controls'!$G$9),"ERROR - BELOW MIN",IF(NOT(B1222&lt;='01-Process Controls'!$D$9),"ERROR - EXCEEDS ROLL WIDTH",IF(COUNTIFS($B$1164:B1221,B1222,$C$1164:C1221,C1222)&gt;0,"VALID - DUPLICATE SIZE",IF(B1222&lt;='01-Process Controls'!$D$9-2*'01-Process Controls'!$H$9,"VALID - CUSTOM SAFE","VALID - CUSTOM NOMINAL EDGE")))))))</f>
        <v>VALID - CUSTOM SAFE</v>
      </c>
      <c r="I1222" s="10"/>
      <c r="J1222" s="8"/>
      <c r="K1222" s="8"/>
      <c r="L1222" s="8"/>
      <c r="M1222" s="8"/>
      <c r="N1222" s="8"/>
    </row>
    <row r="1223" spans="1:14" ht="21" customHeight="1">
      <c r="A1223" s="9" t="s">
        <v>1518</v>
      </c>
      <c r="B1223" s="67">
        <v>914.4</v>
      </c>
      <c r="C1223" s="67">
        <v>6096</v>
      </c>
      <c r="D1223" s="10" t="s">
        <v>41</v>
      </c>
      <c r="E1223" s="10" t="s">
        <v>1478</v>
      </c>
      <c r="F1223" s="10" t="s">
        <v>1192</v>
      </c>
      <c r="G1223" s="10" t="s">
        <v>1183</v>
      </c>
      <c r="H1223" s="11" t="str">
        <f>IF(AND(B1223="",C1223=""),"CUSTOM BLANK",IF(OR(B1223="",C1223=""),"ERROR - ENTER BOTH",IF(OR(B1223&lt;=0,C1223&lt;=0),"ERROR - NONPOSITIVE",IF(OR(B1223&lt;'01-Process Controls'!$G$9,C1223&lt;'01-Process Controls'!$G$9),"ERROR - BELOW MIN",IF(NOT(B1223&lt;='01-Process Controls'!$D$9),"ERROR - EXCEEDS ROLL WIDTH",IF(COUNTIFS($B$1164:B1222,B1223,$C$1164:C1222,C1223)&gt;0,"VALID - DUPLICATE SIZE",IF(B1223&lt;='01-Process Controls'!$D$9-2*'01-Process Controls'!$H$9,"VALID - CUSTOM SAFE","VALID - CUSTOM NOMINAL EDGE")))))))</f>
        <v>VALID - CUSTOM SAFE</v>
      </c>
      <c r="I1223" s="10"/>
      <c r="J1223" s="8"/>
      <c r="K1223" s="8"/>
      <c r="L1223" s="8"/>
      <c r="M1223" s="8"/>
      <c r="N1223" s="8"/>
    </row>
    <row r="1224" spans="1:14" ht="21" customHeight="1">
      <c r="A1224" s="9" t="s">
        <v>1519</v>
      </c>
      <c r="B1224" s="68">
        <v>1219.2</v>
      </c>
      <c r="C1224" s="68">
        <v>304.8</v>
      </c>
      <c r="D1224" s="10" t="s">
        <v>41</v>
      </c>
      <c r="E1224" s="10" t="s">
        <v>1420</v>
      </c>
      <c r="F1224" s="10" t="s">
        <v>1192</v>
      </c>
      <c r="G1224" s="10" t="s">
        <v>1193</v>
      </c>
      <c r="H1224" s="11" t="str">
        <f>IF(AND(B1224="",C1224=""),"CUSTOM BLANK",IF(OR(B1224="",C1224=""),"ERROR - ENTER BOTH",IF(OR(B1224&lt;=0,C1224&lt;=0),"ERROR - NONPOSITIVE",IF(OR(B1224&lt;'01-Process Controls'!$G$9,C1224&lt;'01-Process Controls'!$G$9),"ERROR - BELOW MIN",IF(NOT(B1224&lt;='01-Process Controls'!$D$9),"ERROR - EXCEEDS ROLL WIDTH",IF(COUNTIFS($B$1164:B1223,B1224,$C$1164:C1223,C1224)&gt;0,"VALID - DUPLICATE SIZE",IF(B1224&lt;='01-Process Controls'!$D$9-2*'01-Process Controls'!$H$9,"VALID - CUSTOM SAFE","VALID - CUSTOM NOMINAL EDGE")))))))</f>
        <v>VALID - CUSTOM SAFE</v>
      </c>
      <c r="I1224" s="10"/>
      <c r="J1224" s="8"/>
      <c r="K1224" s="8"/>
      <c r="L1224" s="8"/>
      <c r="M1224" s="8"/>
      <c r="N1224" s="8"/>
    </row>
    <row r="1225" spans="1:14" ht="21" customHeight="1">
      <c r="A1225" s="9" t="s">
        <v>1520</v>
      </c>
      <c r="B1225" s="68">
        <v>1219.2</v>
      </c>
      <c r="C1225" s="68">
        <v>609.6</v>
      </c>
      <c r="D1225" s="10" t="s">
        <v>41</v>
      </c>
      <c r="E1225" s="10" t="s">
        <v>1406</v>
      </c>
      <c r="F1225" s="10" t="s">
        <v>1192</v>
      </c>
      <c r="G1225" s="10" t="s">
        <v>1183</v>
      </c>
      <c r="H1225" s="11" t="str">
        <f>IF(AND(B1225="",C1225=""),"CUSTOM BLANK",IF(OR(B1225="",C1225=""),"ERROR - ENTER BOTH",IF(OR(B1225&lt;=0,C1225&lt;=0),"ERROR - NONPOSITIVE",IF(OR(B1225&lt;'01-Process Controls'!$G$9,C1225&lt;'01-Process Controls'!$G$9),"ERROR - BELOW MIN",IF(NOT(B1225&lt;='01-Process Controls'!$D$9),"ERROR - EXCEEDS ROLL WIDTH",IF(COUNTIFS($B$1164:B1224,B1225,$C$1164:C1224,C1225)&gt;0,"VALID - DUPLICATE SIZE",IF(B1225&lt;='01-Process Controls'!$D$9-2*'01-Process Controls'!$H$9,"VALID - CUSTOM SAFE","VALID - CUSTOM NOMINAL EDGE")))))))</f>
        <v>VALID - CUSTOM SAFE</v>
      </c>
      <c r="I1225" s="10"/>
      <c r="J1225" s="8"/>
      <c r="K1225" s="8"/>
      <c r="L1225" s="8"/>
      <c r="M1225" s="8"/>
      <c r="N1225" s="8"/>
    </row>
    <row r="1226" spans="1:14" ht="21" customHeight="1">
      <c r="A1226" s="9" t="s">
        <v>1521</v>
      </c>
      <c r="B1226" s="68">
        <v>1219.2</v>
      </c>
      <c r="C1226" s="68">
        <v>914.4</v>
      </c>
      <c r="D1226" s="10" t="s">
        <v>41</v>
      </c>
      <c r="E1226" s="10" t="s">
        <v>1409</v>
      </c>
      <c r="F1226" s="10" t="s">
        <v>1192</v>
      </c>
      <c r="G1226" s="10" t="s">
        <v>1183</v>
      </c>
      <c r="H1226" s="11" t="str">
        <f>IF(AND(B1226="",C1226=""),"CUSTOM BLANK",IF(OR(B1226="",C1226=""),"ERROR - ENTER BOTH",IF(OR(B1226&lt;=0,C1226&lt;=0),"ERROR - NONPOSITIVE",IF(OR(B1226&lt;'01-Process Controls'!$G$9,C1226&lt;'01-Process Controls'!$G$9),"ERROR - BELOW MIN",IF(NOT(B1226&lt;='01-Process Controls'!$D$9),"ERROR - EXCEEDS ROLL WIDTH",IF(COUNTIFS($B$1164:B1225,B1226,$C$1164:C1225,C1226)&gt;0,"VALID - DUPLICATE SIZE",IF(B1226&lt;='01-Process Controls'!$D$9-2*'01-Process Controls'!$H$9,"VALID - CUSTOM SAFE","VALID - CUSTOM NOMINAL EDGE")))))))</f>
        <v>VALID - CUSTOM SAFE</v>
      </c>
      <c r="I1226" s="10"/>
      <c r="J1226" s="8"/>
      <c r="K1226" s="8"/>
      <c r="L1226" s="8"/>
      <c r="M1226" s="8"/>
      <c r="N1226" s="8"/>
    </row>
    <row r="1227" spans="1:14" ht="21" customHeight="1">
      <c r="A1227" s="9" t="s">
        <v>1522</v>
      </c>
      <c r="B1227" s="68">
        <v>1219.2</v>
      </c>
      <c r="C1227" s="68">
        <v>1219.2</v>
      </c>
      <c r="D1227" s="10" t="s">
        <v>41</v>
      </c>
      <c r="E1227" s="10" t="s">
        <v>1412</v>
      </c>
      <c r="F1227" s="10" t="s">
        <v>1192</v>
      </c>
      <c r="G1227" s="10" t="s">
        <v>1183</v>
      </c>
      <c r="H1227" s="11" t="str">
        <f>IF(AND(B1227="",C1227=""),"CUSTOM BLANK",IF(OR(B1227="",C1227=""),"ERROR - ENTER BOTH",IF(OR(B1227&lt;=0,C1227&lt;=0),"ERROR - NONPOSITIVE",IF(OR(B1227&lt;'01-Process Controls'!$G$9,C1227&lt;'01-Process Controls'!$G$9),"ERROR - BELOW MIN",IF(NOT(B1227&lt;='01-Process Controls'!$D$9),"ERROR - EXCEEDS ROLL WIDTH",IF(COUNTIFS($B$1164:B1226,B1227,$C$1164:C1226,C1227)&gt;0,"VALID - DUPLICATE SIZE",IF(B1227&lt;='01-Process Controls'!$D$9-2*'01-Process Controls'!$H$9,"VALID - CUSTOM SAFE","VALID - CUSTOM NOMINAL EDGE")))))))</f>
        <v>VALID - CUSTOM SAFE</v>
      </c>
      <c r="I1227" s="10"/>
      <c r="J1227" s="8"/>
      <c r="K1227" s="8"/>
      <c r="L1227" s="8"/>
      <c r="M1227" s="8"/>
      <c r="N1227" s="8"/>
    </row>
    <row r="1228" spans="1:14" ht="21" customHeight="1">
      <c r="A1228" s="9" t="s">
        <v>1523</v>
      </c>
      <c r="B1228" s="68">
        <v>1219.2</v>
      </c>
      <c r="C1228" s="68">
        <v>1524</v>
      </c>
      <c r="D1228" s="10" t="s">
        <v>41</v>
      </c>
      <c r="E1228" s="10" t="s">
        <v>1412</v>
      </c>
      <c r="F1228" s="10" t="s">
        <v>1192</v>
      </c>
      <c r="G1228" s="10" t="s">
        <v>1183</v>
      </c>
      <c r="H1228" s="11" t="str">
        <f>IF(AND(B1228="",C1228=""),"CUSTOM BLANK",IF(OR(B1228="",C1228=""),"ERROR - ENTER BOTH",IF(OR(B1228&lt;=0,C1228&lt;=0),"ERROR - NONPOSITIVE",IF(OR(B1228&lt;'01-Process Controls'!$G$9,C1228&lt;'01-Process Controls'!$G$9),"ERROR - BELOW MIN",IF(NOT(B1228&lt;='01-Process Controls'!$D$9),"ERROR - EXCEEDS ROLL WIDTH",IF(COUNTIFS($B$1164:B1227,B1228,$C$1164:C1227,C1228)&gt;0,"VALID - DUPLICATE SIZE",IF(B1228&lt;='01-Process Controls'!$D$9-2*'01-Process Controls'!$H$9,"VALID - CUSTOM SAFE","VALID - CUSTOM NOMINAL EDGE")))))))</f>
        <v>VALID - CUSTOM SAFE</v>
      </c>
      <c r="I1228" s="10"/>
      <c r="J1228" s="8"/>
      <c r="K1228" s="8"/>
      <c r="L1228" s="8"/>
      <c r="M1228" s="8"/>
      <c r="N1228" s="8"/>
    </row>
    <row r="1229" spans="1:14" ht="21" customHeight="1">
      <c r="A1229" s="9" t="s">
        <v>1524</v>
      </c>
      <c r="B1229" s="68">
        <v>1219.2</v>
      </c>
      <c r="C1229" s="68">
        <v>1828.8</v>
      </c>
      <c r="D1229" s="10" t="s">
        <v>41</v>
      </c>
      <c r="E1229" s="10" t="s">
        <v>1412</v>
      </c>
      <c r="F1229" s="10" t="s">
        <v>1192</v>
      </c>
      <c r="G1229" s="10" t="s">
        <v>1183</v>
      </c>
      <c r="H1229" s="11" t="str">
        <f>IF(AND(B1229="",C1229=""),"CUSTOM BLANK",IF(OR(B1229="",C1229=""),"ERROR - ENTER BOTH",IF(OR(B1229&lt;=0,C1229&lt;=0),"ERROR - NONPOSITIVE",IF(OR(B1229&lt;'01-Process Controls'!$G$9,C1229&lt;'01-Process Controls'!$G$9),"ERROR - BELOW MIN",IF(NOT(B1229&lt;='01-Process Controls'!$D$9),"ERROR - EXCEEDS ROLL WIDTH",IF(COUNTIFS($B$1164:B1228,B1229,$C$1164:C1228,C1229)&gt;0,"VALID - DUPLICATE SIZE",IF(B1229&lt;='01-Process Controls'!$D$9-2*'01-Process Controls'!$H$9,"VALID - CUSTOM SAFE","VALID - CUSTOM NOMINAL EDGE")))))))</f>
        <v>VALID - CUSTOM SAFE</v>
      </c>
      <c r="I1229" s="10"/>
      <c r="J1229" s="8"/>
      <c r="K1229" s="8"/>
      <c r="L1229" s="8"/>
      <c r="M1229" s="8"/>
      <c r="N1229" s="8"/>
    </row>
    <row r="1230" spans="1:14" ht="21" customHeight="1">
      <c r="A1230" s="9" t="s">
        <v>1525</v>
      </c>
      <c r="B1230" s="68">
        <v>1219.2</v>
      </c>
      <c r="C1230" s="68">
        <v>2133.6000000000004</v>
      </c>
      <c r="D1230" s="10" t="s">
        <v>41</v>
      </c>
      <c r="E1230" s="10" t="s">
        <v>1412</v>
      </c>
      <c r="F1230" s="10" t="s">
        <v>1192</v>
      </c>
      <c r="G1230" s="10" t="s">
        <v>1183</v>
      </c>
      <c r="H1230" s="11" t="str">
        <f>IF(AND(B1230="",C1230=""),"CUSTOM BLANK",IF(OR(B1230="",C1230=""),"ERROR - ENTER BOTH",IF(OR(B1230&lt;=0,C1230&lt;=0),"ERROR - NONPOSITIVE",IF(OR(B1230&lt;'01-Process Controls'!$G$9,C1230&lt;'01-Process Controls'!$G$9),"ERROR - BELOW MIN",IF(NOT(B1230&lt;='01-Process Controls'!$D$9),"ERROR - EXCEEDS ROLL WIDTH",IF(COUNTIFS($B$1164:B1229,B1230,$C$1164:C1229,C1230)&gt;0,"VALID - DUPLICATE SIZE",IF(B1230&lt;='01-Process Controls'!$D$9-2*'01-Process Controls'!$H$9,"VALID - CUSTOM SAFE","VALID - CUSTOM NOMINAL EDGE")))))))</f>
        <v>VALID - CUSTOM SAFE</v>
      </c>
      <c r="I1230" s="10"/>
      <c r="J1230" s="8"/>
      <c r="K1230" s="8"/>
      <c r="L1230" s="8"/>
      <c r="M1230" s="8"/>
      <c r="N1230" s="8"/>
    </row>
    <row r="1231" spans="1:14" ht="21" customHeight="1">
      <c r="A1231" s="9" t="s">
        <v>1526</v>
      </c>
      <c r="B1231" s="68">
        <v>1219.2</v>
      </c>
      <c r="C1231" s="68">
        <v>2438.4</v>
      </c>
      <c r="D1231" s="10" t="s">
        <v>41</v>
      </c>
      <c r="E1231" s="10" t="s">
        <v>1415</v>
      </c>
      <c r="F1231" s="10" t="s">
        <v>1192</v>
      </c>
      <c r="G1231" s="10" t="s">
        <v>1183</v>
      </c>
      <c r="H1231" s="11" t="str">
        <f>IF(AND(B1231="",C1231=""),"CUSTOM BLANK",IF(OR(B1231="",C1231=""),"ERROR - ENTER BOTH",IF(OR(B1231&lt;=0,C1231&lt;=0),"ERROR - NONPOSITIVE",IF(OR(B1231&lt;'01-Process Controls'!$G$9,C1231&lt;'01-Process Controls'!$G$9),"ERROR - BELOW MIN",IF(NOT(B1231&lt;='01-Process Controls'!$D$9),"ERROR - EXCEEDS ROLL WIDTH",IF(COUNTIFS($B$1164:B1230,B1231,$C$1164:C1230,C1231)&gt;0,"VALID - DUPLICATE SIZE",IF(B1231&lt;='01-Process Controls'!$D$9-2*'01-Process Controls'!$H$9,"VALID - CUSTOM SAFE","VALID - CUSTOM NOMINAL EDGE")))))))</f>
        <v>VALID - CUSTOM SAFE</v>
      </c>
      <c r="I1231" s="10"/>
      <c r="J1231" s="8"/>
      <c r="K1231" s="8"/>
      <c r="L1231" s="8"/>
      <c r="M1231" s="8"/>
      <c r="N1231" s="8"/>
    </row>
    <row r="1232" spans="1:14" ht="21" customHeight="1">
      <c r="A1232" s="9" t="s">
        <v>1527</v>
      </c>
      <c r="B1232" s="68">
        <v>1219.2</v>
      </c>
      <c r="C1232" s="68">
        <v>2743.2</v>
      </c>
      <c r="D1232" s="10" t="s">
        <v>41</v>
      </c>
      <c r="E1232" s="10" t="s">
        <v>1415</v>
      </c>
      <c r="F1232" s="10" t="s">
        <v>1192</v>
      </c>
      <c r="G1232" s="10" t="s">
        <v>1183</v>
      </c>
      <c r="H1232" s="11" t="str">
        <f>IF(AND(B1232="",C1232=""),"CUSTOM BLANK",IF(OR(B1232="",C1232=""),"ERROR - ENTER BOTH",IF(OR(B1232&lt;=0,C1232&lt;=0),"ERROR - NONPOSITIVE",IF(OR(B1232&lt;'01-Process Controls'!$G$9,C1232&lt;'01-Process Controls'!$G$9),"ERROR - BELOW MIN",IF(NOT(B1232&lt;='01-Process Controls'!$D$9),"ERROR - EXCEEDS ROLL WIDTH",IF(COUNTIFS($B$1164:B1231,B1232,$C$1164:C1231,C1232)&gt;0,"VALID - DUPLICATE SIZE",IF(B1232&lt;='01-Process Controls'!$D$9-2*'01-Process Controls'!$H$9,"VALID - CUSTOM SAFE","VALID - CUSTOM NOMINAL EDGE")))))))</f>
        <v>VALID - CUSTOM SAFE</v>
      </c>
      <c r="I1232" s="10"/>
      <c r="J1232" s="8"/>
      <c r="K1232" s="8"/>
      <c r="L1232" s="8"/>
      <c r="M1232" s="8"/>
      <c r="N1232" s="8"/>
    </row>
    <row r="1233" spans="1:14" ht="21" customHeight="1">
      <c r="A1233" s="9" t="s">
        <v>1528</v>
      </c>
      <c r="B1233" s="68">
        <v>1219.2</v>
      </c>
      <c r="C1233" s="68">
        <v>3048</v>
      </c>
      <c r="D1233" s="10" t="s">
        <v>41</v>
      </c>
      <c r="E1233" s="10" t="s">
        <v>1415</v>
      </c>
      <c r="F1233" s="10" t="s">
        <v>1192</v>
      </c>
      <c r="G1233" s="10" t="s">
        <v>1183</v>
      </c>
      <c r="H1233" s="11" t="str">
        <f>IF(AND(B1233="",C1233=""),"CUSTOM BLANK",IF(OR(B1233="",C1233=""),"ERROR - ENTER BOTH",IF(OR(B1233&lt;=0,C1233&lt;=0),"ERROR - NONPOSITIVE",IF(OR(B1233&lt;'01-Process Controls'!$G$9,C1233&lt;'01-Process Controls'!$G$9),"ERROR - BELOW MIN",IF(NOT(B1233&lt;='01-Process Controls'!$D$9),"ERROR - EXCEEDS ROLL WIDTH",IF(COUNTIFS($B$1164:B1232,B1233,$C$1164:C1232,C1233)&gt;0,"VALID - DUPLICATE SIZE",IF(B1233&lt;='01-Process Controls'!$D$9-2*'01-Process Controls'!$H$9,"VALID - CUSTOM SAFE","VALID - CUSTOM NOMINAL EDGE")))))))</f>
        <v>VALID - CUSTOM SAFE</v>
      </c>
      <c r="I1233" s="10"/>
      <c r="J1233" s="8"/>
      <c r="K1233" s="8"/>
      <c r="L1233" s="8"/>
      <c r="M1233" s="8"/>
      <c r="N1233" s="8"/>
    </row>
    <row r="1234" spans="1:14" ht="21" customHeight="1">
      <c r="A1234" s="9" t="s">
        <v>1529</v>
      </c>
      <c r="B1234" s="68">
        <v>1219.2</v>
      </c>
      <c r="C1234" s="68">
        <v>3352.7999999999997</v>
      </c>
      <c r="D1234" s="10" t="s">
        <v>41</v>
      </c>
      <c r="E1234" s="10" t="s">
        <v>1415</v>
      </c>
      <c r="F1234" s="10" t="s">
        <v>1192</v>
      </c>
      <c r="G1234" s="10" t="s">
        <v>1183</v>
      </c>
      <c r="H1234" s="11" t="str">
        <f>IF(AND(B1234="",C1234=""),"CUSTOM BLANK",IF(OR(B1234="",C1234=""),"ERROR - ENTER BOTH",IF(OR(B1234&lt;=0,C1234&lt;=0),"ERROR - NONPOSITIVE",IF(OR(B1234&lt;'01-Process Controls'!$G$9,C1234&lt;'01-Process Controls'!$G$9),"ERROR - BELOW MIN",IF(NOT(B1234&lt;='01-Process Controls'!$D$9),"ERROR - EXCEEDS ROLL WIDTH",IF(COUNTIFS($B$1164:B1233,B1234,$C$1164:C1233,C1234)&gt;0,"VALID - DUPLICATE SIZE",IF(B1234&lt;='01-Process Controls'!$D$9-2*'01-Process Controls'!$H$9,"VALID - CUSTOM SAFE","VALID - CUSTOM NOMINAL EDGE")))))))</f>
        <v>VALID - CUSTOM SAFE</v>
      </c>
      <c r="I1234" s="10"/>
      <c r="J1234" s="8"/>
      <c r="K1234" s="8"/>
      <c r="L1234" s="8"/>
      <c r="M1234" s="8"/>
      <c r="N1234" s="8"/>
    </row>
    <row r="1235" spans="1:14" ht="21" customHeight="1">
      <c r="A1235" s="9" t="s">
        <v>1530</v>
      </c>
      <c r="B1235" s="68">
        <v>1219.2</v>
      </c>
      <c r="C1235" s="68">
        <v>3657.6</v>
      </c>
      <c r="D1235" s="10" t="s">
        <v>41</v>
      </c>
      <c r="E1235" s="10" t="s">
        <v>1415</v>
      </c>
      <c r="F1235" s="10" t="s">
        <v>1192</v>
      </c>
      <c r="G1235" s="10" t="s">
        <v>1183</v>
      </c>
      <c r="H1235" s="11" t="str">
        <f>IF(AND(B1235="",C1235=""),"CUSTOM BLANK",IF(OR(B1235="",C1235=""),"ERROR - ENTER BOTH",IF(OR(B1235&lt;=0,C1235&lt;=0),"ERROR - NONPOSITIVE",IF(OR(B1235&lt;'01-Process Controls'!$G$9,C1235&lt;'01-Process Controls'!$G$9),"ERROR - BELOW MIN",IF(NOT(B1235&lt;='01-Process Controls'!$D$9),"ERROR - EXCEEDS ROLL WIDTH",IF(COUNTIFS($B$1164:B1234,B1235,$C$1164:C1234,C1235)&gt;0,"VALID - DUPLICATE SIZE",IF(B1235&lt;='01-Process Controls'!$D$9-2*'01-Process Controls'!$H$9,"VALID - CUSTOM SAFE","VALID - CUSTOM NOMINAL EDGE")))))))</f>
        <v>VALID - CUSTOM SAFE</v>
      </c>
      <c r="I1235" s="10"/>
      <c r="J1235" s="8"/>
      <c r="K1235" s="8"/>
      <c r="L1235" s="8"/>
      <c r="M1235" s="8"/>
      <c r="N1235" s="8"/>
    </row>
    <row r="1236" spans="1:14" ht="21" customHeight="1">
      <c r="A1236" s="9" t="s">
        <v>1531</v>
      </c>
      <c r="B1236" s="68">
        <v>1219.2</v>
      </c>
      <c r="C1236" s="68">
        <v>3962.4</v>
      </c>
      <c r="D1236" s="10" t="s">
        <v>41</v>
      </c>
      <c r="E1236" s="10" t="s">
        <v>1415</v>
      </c>
      <c r="F1236" s="10" t="s">
        <v>1192</v>
      </c>
      <c r="G1236" s="10" t="s">
        <v>1183</v>
      </c>
      <c r="H1236" s="11" t="str">
        <f>IF(AND(B1236="",C1236=""),"CUSTOM BLANK",IF(OR(B1236="",C1236=""),"ERROR - ENTER BOTH",IF(OR(B1236&lt;=0,C1236&lt;=0),"ERROR - NONPOSITIVE",IF(OR(B1236&lt;'01-Process Controls'!$G$9,C1236&lt;'01-Process Controls'!$G$9),"ERROR - BELOW MIN",IF(NOT(B1236&lt;='01-Process Controls'!$D$9),"ERROR - EXCEEDS ROLL WIDTH",IF(COUNTIFS($B$1164:B1235,B1236,$C$1164:C1235,C1236)&gt;0,"VALID - DUPLICATE SIZE",IF(B1236&lt;='01-Process Controls'!$D$9-2*'01-Process Controls'!$H$9,"VALID - CUSTOM SAFE","VALID - CUSTOM NOMINAL EDGE")))))))</f>
        <v>VALID - CUSTOM SAFE</v>
      </c>
      <c r="I1236" s="10"/>
      <c r="J1236" s="8"/>
      <c r="K1236" s="8"/>
      <c r="L1236" s="8"/>
      <c r="M1236" s="8"/>
      <c r="N1236" s="8"/>
    </row>
    <row r="1237" spans="1:14" ht="21" customHeight="1">
      <c r="A1237" s="9" t="s">
        <v>1532</v>
      </c>
      <c r="B1237" s="68">
        <v>1219.2</v>
      </c>
      <c r="C1237" s="68">
        <v>4267.2000000000007</v>
      </c>
      <c r="D1237" s="10" t="s">
        <v>41</v>
      </c>
      <c r="E1237" s="10" t="s">
        <v>1415</v>
      </c>
      <c r="F1237" s="10" t="s">
        <v>1192</v>
      </c>
      <c r="G1237" s="10" t="s">
        <v>1183</v>
      </c>
      <c r="H1237" s="11" t="str">
        <f>IF(AND(B1237="",C1237=""),"CUSTOM BLANK",IF(OR(B1237="",C1237=""),"ERROR - ENTER BOTH",IF(OR(B1237&lt;=0,C1237&lt;=0),"ERROR - NONPOSITIVE",IF(OR(B1237&lt;'01-Process Controls'!$G$9,C1237&lt;'01-Process Controls'!$G$9),"ERROR - BELOW MIN",IF(NOT(B1237&lt;='01-Process Controls'!$D$9),"ERROR - EXCEEDS ROLL WIDTH",IF(COUNTIFS($B$1164:B1236,B1237,$C$1164:C1236,C1237)&gt;0,"VALID - DUPLICATE SIZE",IF(B1237&lt;='01-Process Controls'!$D$9-2*'01-Process Controls'!$H$9,"VALID - CUSTOM SAFE","VALID - CUSTOM NOMINAL EDGE")))))))</f>
        <v>VALID - CUSTOM SAFE</v>
      </c>
      <c r="I1237" s="10"/>
      <c r="J1237" s="8"/>
      <c r="K1237" s="8"/>
      <c r="L1237" s="8"/>
      <c r="M1237" s="8"/>
      <c r="N1237" s="8"/>
    </row>
    <row r="1238" spans="1:14" ht="21" customHeight="1">
      <c r="A1238" s="9" t="s">
        <v>1533</v>
      </c>
      <c r="B1238" s="68">
        <v>1219.2</v>
      </c>
      <c r="C1238" s="68">
        <v>4572</v>
      </c>
      <c r="D1238" s="10" t="s">
        <v>41</v>
      </c>
      <c r="E1238" s="10" t="s">
        <v>1415</v>
      </c>
      <c r="F1238" s="10" t="s">
        <v>1192</v>
      </c>
      <c r="G1238" s="10" t="s">
        <v>1183</v>
      </c>
      <c r="H1238" s="11" t="str">
        <f>IF(AND(B1238="",C1238=""),"CUSTOM BLANK",IF(OR(B1238="",C1238=""),"ERROR - ENTER BOTH",IF(OR(B1238&lt;=0,C1238&lt;=0),"ERROR - NONPOSITIVE",IF(OR(B1238&lt;'01-Process Controls'!$G$9,C1238&lt;'01-Process Controls'!$G$9),"ERROR - BELOW MIN",IF(NOT(B1238&lt;='01-Process Controls'!$D$9),"ERROR - EXCEEDS ROLL WIDTH",IF(COUNTIFS($B$1164:B1237,B1238,$C$1164:C1237,C1238)&gt;0,"VALID - DUPLICATE SIZE",IF(B1238&lt;='01-Process Controls'!$D$9-2*'01-Process Controls'!$H$9,"VALID - CUSTOM SAFE","VALID - CUSTOM NOMINAL EDGE")))))))</f>
        <v>VALID - CUSTOM SAFE</v>
      </c>
      <c r="I1238" s="10"/>
      <c r="J1238" s="8"/>
      <c r="K1238" s="8"/>
      <c r="L1238" s="8"/>
      <c r="M1238" s="8"/>
      <c r="N1238" s="8"/>
    </row>
    <row r="1239" spans="1:14" ht="21" customHeight="1">
      <c r="A1239" s="9" t="s">
        <v>1534</v>
      </c>
      <c r="B1239" s="68">
        <v>1219.2</v>
      </c>
      <c r="C1239" s="68">
        <v>4876.8</v>
      </c>
      <c r="D1239" s="10" t="s">
        <v>41</v>
      </c>
      <c r="E1239" s="10" t="s">
        <v>1473</v>
      </c>
      <c r="F1239" s="10" t="s">
        <v>1192</v>
      </c>
      <c r="G1239" s="10" t="s">
        <v>1183</v>
      </c>
      <c r="H1239" s="11" t="str">
        <f>IF(AND(B1239="",C1239=""),"CUSTOM BLANK",IF(OR(B1239="",C1239=""),"ERROR - ENTER BOTH",IF(OR(B1239&lt;=0,C1239&lt;=0),"ERROR - NONPOSITIVE",IF(OR(B1239&lt;'01-Process Controls'!$G$9,C1239&lt;'01-Process Controls'!$G$9),"ERROR - BELOW MIN",IF(NOT(B1239&lt;='01-Process Controls'!$D$9),"ERROR - EXCEEDS ROLL WIDTH",IF(COUNTIFS($B$1164:B1238,B1239,$C$1164:C1238,C1239)&gt;0,"VALID - DUPLICATE SIZE",IF(B1239&lt;='01-Process Controls'!$D$9-2*'01-Process Controls'!$H$9,"VALID - CUSTOM SAFE","VALID - CUSTOM NOMINAL EDGE")))))))</f>
        <v>VALID - CUSTOM SAFE</v>
      </c>
      <c r="I1239" s="10"/>
      <c r="J1239" s="8"/>
      <c r="K1239" s="8"/>
      <c r="L1239" s="8"/>
      <c r="M1239" s="8"/>
      <c r="N1239" s="8"/>
    </row>
    <row r="1240" spans="1:14" ht="21" customHeight="1">
      <c r="A1240" s="9" t="s">
        <v>1535</v>
      </c>
      <c r="B1240" s="68">
        <v>1219.2</v>
      </c>
      <c r="C1240" s="68">
        <v>5181.5999999999995</v>
      </c>
      <c r="D1240" s="10" t="s">
        <v>41</v>
      </c>
      <c r="E1240" s="10" t="s">
        <v>1473</v>
      </c>
      <c r="F1240" s="10" t="s">
        <v>1192</v>
      </c>
      <c r="G1240" s="10" t="s">
        <v>1183</v>
      </c>
      <c r="H1240" s="11" t="str">
        <f>IF(AND(B1240="",C1240=""),"CUSTOM BLANK",IF(OR(B1240="",C1240=""),"ERROR - ENTER BOTH",IF(OR(B1240&lt;=0,C1240&lt;=0),"ERROR - NONPOSITIVE",IF(OR(B1240&lt;'01-Process Controls'!$G$9,C1240&lt;'01-Process Controls'!$G$9),"ERROR - BELOW MIN",IF(NOT(B1240&lt;='01-Process Controls'!$D$9),"ERROR - EXCEEDS ROLL WIDTH",IF(COUNTIFS($B$1164:B1239,B1240,$C$1164:C1239,C1240)&gt;0,"VALID - DUPLICATE SIZE",IF(B1240&lt;='01-Process Controls'!$D$9-2*'01-Process Controls'!$H$9,"VALID - CUSTOM SAFE","VALID - CUSTOM NOMINAL EDGE")))))))</f>
        <v>VALID - CUSTOM SAFE</v>
      </c>
      <c r="I1240" s="10"/>
      <c r="J1240" s="8"/>
      <c r="K1240" s="8"/>
      <c r="L1240" s="8"/>
      <c r="M1240" s="8"/>
      <c r="N1240" s="8"/>
    </row>
    <row r="1241" spans="1:14" ht="21" customHeight="1">
      <c r="A1241" s="9" t="s">
        <v>1536</v>
      </c>
      <c r="B1241" s="68">
        <v>1219.2</v>
      </c>
      <c r="C1241" s="68">
        <v>5486.4</v>
      </c>
      <c r="D1241" s="10" t="s">
        <v>41</v>
      </c>
      <c r="E1241" s="10" t="s">
        <v>1473</v>
      </c>
      <c r="F1241" s="10" t="s">
        <v>1192</v>
      </c>
      <c r="G1241" s="10" t="s">
        <v>1183</v>
      </c>
      <c r="H1241" s="11" t="str">
        <f>IF(AND(B1241="",C1241=""),"CUSTOM BLANK",IF(OR(B1241="",C1241=""),"ERROR - ENTER BOTH",IF(OR(B1241&lt;=0,C1241&lt;=0),"ERROR - NONPOSITIVE",IF(OR(B1241&lt;'01-Process Controls'!$G$9,C1241&lt;'01-Process Controls'!$G$9),"ERROR - BELOW MIN",IF(NOT(B1241&lt;='01-Process Controls'!$D$9),"ERROR - EXCEEDS ROLL WIDTH",IF(COUNTIFS($B$1164:B1240,B1241,$C$1164:C1240,C1241)&gt;0,"VALID - DUPLICATE SIZE",IF(B1241&lt;='01-Process Controls'!$D$9-2*'01-Process Controls'!$H$9,"VALID - CUSTOM SAFE","VALID - CUSTOM NOMINAL EDGE")))))))</f>
        <v>VALID - CUSTOM SAFE</v>
      </c>
      <c r="I1241" s="10"/>
      <c r="J1241" s="8"/>
      <c r="K1241" s="8"/>
      <c r="L1241" s="8"/>
      <c r="M1241" s="8"/>
      <c r="N1241" s="8"/>
    </row>
    <row r="1242" spans="1:14" ht="21" customHeight="1">
      <c r="A1242" s="9" t="s">
        <v>1537</v>
      </c>
      <c r="B1242" s="68">
        <v>1219.2</v>
      </c>
      <c r="C1242" s="68">
        <v>5791.2</v>
      </c>
      <c r="D1242" s="10" t="s">
        <v>41</v>
      </c>
      <c r="E1242" s="10" t="s">
        <v>1473</v>
      </c>
      <c r="F1242" s="10" t="s">
        <v>1192</v>
      </c>
      <c r="G1242" s="10" t="s">
        <v>1183</v>
      </c>
      <c r="H1242" s="11" t="str">
        <f>IF(AND(B1242="",C1242=""),"CUSTOM BLANK",IF(OR(B1242="",C1242=""),"ERROR - ENTER BOTH",IF(OR(B1242&lt;=0,C1242&lt;=0),"ERROR - NONPOSITIVE",IF(OR(B1242&lt;'01-Process Controls'!$G$9,C1242&lt;'01-Process Controls'!$G$9),"ERROR - BELOW MIN",IF(NOT(B1242&lt;='01-Process Controls'!$D$9),"ERROR - EXCEEDS ROLL WIDTH",IF(COUNTIFS($B$1164:B1241,B1242,$C$1164:C1241,C1242)&gt;0,"VALID - DUPLICATE SIZE",IF(B1242&lt;='01-Process Controls'!$D$9-2*'01-Process Controls'!$H$9,"VALID - CUSTOM SAFE","VALID - CUSTOM NOMINAL EDGE")))))))</f>
        <v>VALID - CUSTOM SAFE</v>
      </c>
      <c r="I1242" s="10"/>
      <c r="J1242" s="8"/>
      <c r="K1242" s="8"/>
      <c r="L1242" s="8"/>
      <c r="M1242" s="8"/>
      <c r="N1242" s="8"/>
    </row>
    <row r="1243" spans="1:14" ht="21" customHeight="1">
      <c r="A1243" s="9" t="s">
        <v>1538</v>
      </c>
      <c r="B1243" s="68">
        <v>1219.2</v>
      </c>
      <c r="C1243" s="68">
        <v>6096</v>
      </c>
      <c r="D1243" s="10" t="s">
        <v>41</v>
      </c>
      <c r="E1243" s="10" t="s">
        <v>1478</v>
      </c>
      <c r="F1243" s="10" t="s">
        <v>1192</v>
      </c>
      <c r="G1243" s="10" t="s">
        <v>1183</v>
      </c>
      <c r="H1243" s="11" t="str">
        <f>IF(AND(B1243="",C1243=""),"CUSTOM BLANK",IF(OR(B1243="",C1243=""),"ERROR - ENTER BOTH",IF(OR(B1243&lt;=0,C1243&lt;=0),"ERROR - NONPOSITIVE",IF(OR(B1243&lt;'01-Process Controls'!$G$9,C1243&lt;'01-Process Controls'!$G$9),"ERROR - BELOW MIN",IF(NOT(B1243&lt;='01-Process Controls'!$D$9),"ERROR - EXCEEDS ROLL WIDTH",IF(COUNTIFS($B$1164:B1242,B1243,$C$1164:C1242,C1243)&gt;0,"VALID - DUPLICATE SIZE",IF(B1243&lt;='01-Process Controls'!$D$9-2*'01-Process Controls'!$H$9,"VALID - CUSTOM SAFE","VALID - CUSTOM NOMINAL EDGE")))))))</f>
        <v>VALID - CUSTOM SAFE</v>
      </c>
      <c r="I1243" s="10"/>
      <c r="J1243" s="8"/>
      <c r="K1243" s="8"/>
      <c r="L1243" s="8"/>
      <c r="M1243" s="8"/>
      <c r="N1243" s="8"/>
    </row>
    <row r="1244" spans="1:14" ht="21" customHeight="1">
      <c r="A1244" s="9" t="s">
        <v>1539</v>
      </c>
      <c r="B1244" s="67">
        <v>1524</v>
      </c>
      <c r="C1244" s="67">
        <v>304.8</v>
      </c>
      <c r="D1244" s="10" t="s">
        <v>41</v>
      </c>
      <c r="E1244" s="10" t="s">
        <v>1420</v>
      </c>
      <c r="F1244" s="10" t="s">
        <v>1192</v>
      </c>
      <c r="G1244" s="10" t="s">
        <v>1193</v>
      </c>
      <c r="H1244" s="11" t="str">
        <f>IF(AND(B1244="",C1244=""),"CUSTOM BLANK",IF(OR(B1244="",C1244=""),"ERROR - ENTER BOTH",IF(OR(B1244&lt;=0,C1244&lt;=0),"ERROR - NONPOSITIVE",IF(OR(B1244&lt;'01-Process Controls'!$G$9,C1244&lt;'01-Process Controls'!$G$9),"ERROR - BELOW MIN",IF(NOT(B1244&lt;='01-Process Controls'!$D$9),"ERROR - EXCEEDS ROLL WIDTH",IF(COUNTIFS($B$1164:B1243,B1244,$C$1164:C1243,C1244)&gt;0,"VALID - DUPLICATE SIZE",IF(B1244&lt;='01-Process Controls'!$D$9-2*'01-Process Controls'!$H$9,"VALID - CUSTOM SAFE","VALID - CUSTOM NOMINAL EDGE")))))))</f>
        <v>VALID - CUSTOM SAFE</v>
      </c>
      <c r="I1244" s="10"/>
      <c r="J1244" s="8"/>
      <c r="K1244" s="8"/>
      <c r="L1244" s="8"/>
      <c r="M1244" s="8"/>
      <c r="N1244" s="8"/>
    </row>
    <row r="1245" spans="1:14" ht="21" customHeight="1">
      <c r="A1245" s="9" t="s">
        <v>1540</v>
      </c>
      <c r="B1245" s="67">
        <v>1524</v>
      </c>
      <c r="C1245" s="67">
        <v>609.6</v>
      </c>
      <c r="D1245" s="10" t="s">
        <v>41</v>
      </c>
      <c r="E1245" s="10" t="s">
        <v>1406</v>
      </c>
      <c r="F1245" s="10" t="s">
        <v>1192</v>
      </c>
      <c r="G1245" s="10" t="s">
        <v>1183</v>
      </c>
      <c r="H1245" s="11" t="str">
        <f>IF(AND(B1245="",C1245=""),"CUSTOM BLANK",IF(OR(B1245="",C1245=""),"ERROR - ENTER BOTH",IF(OR(B1245&lt;=0,C1245&lt;=0),"ERROR - NONPOSITIVE",IF(OR(B1245&lt;'01-Process Controls'!$G$9,C1245&lt;'01-Process Controls'!$G$9),"ERROR - BELOW MIN",IF(NOT(B1245&lt;='01-Process Controls'!$D$9),"ERROR - EXCEEDS ROLL WIDTH",IF(COUNTIFS($B$1164:B1244,B1245,$C$1164:C1244,C1245)&gt;0,"VALID - DUPLICATE SIZE",IF(B1245&lt;='01-Process Controls'!$D$9-2*'01-Process Controls'!$H$9,"VALID - CUSTOM SAFE","VALID - CUSTOM NOMINAL EDGE")))))))</f>
        <v>VALID - CUSTOM SAFE</v>
      </c>
      <c r="I1245" s="10"/>
      <c r="J1245" s="8"/>
      <c r="K1245" s="8"/>
      <c r="L1245" s="8"/>
      <c r="M1245" s="8"/>
      <c r="N1245" s="8"/>
    </row>
    <row r="1246" spans="1:14" ht="21" customHeight="1">
      <c r="A1246" s="9" t="s">
        <v>1541</v>
      </c>
      <c r="B1246" s="67">
        <v>1524</v>
      </c>
      <c r="C1246" s="67">
        <v>914.4</v>
      </c>
      <c r="D1246" s="10" t="s">
        <v>41</v>
      </c>
      <c r="E1246" s="10" t="s">
        <v>1409</v>
      </c>
      <c r="F1246" s="10" t="s">
        <v>1192</v>
      </c>
      <c r="G1246" s="10" t="s">
        <v>1183</v>
      </c>
      <c r="H1246" s="11" t="str">
        <f>IF(AND(B1246="",C1246=""),"CUSTOM BLANK",IF(OR(B1246="",C1246=""),"ERROR - ENTER BOTH",IF(OR(B1246&lt;=0,C1246&lt;=0),"ERROR - NONPOSITIVE",IF(OR(B1246&lt;'01-Process Controls'!$G$9,C1246&lt;'01-Process Controls'!$G$9),"ERROR - BELOW MIN",IF(NOT(B1246&lt;='01-Process Controls'!$D$9),"ERROR - EXCEEDS ROLL WIDTH",IF(COUNTIFS($B$1164:B1245,B1246,$C$1164:C1245,C1246)&gt;0,"VALID - DUPLICATE SIZE",IF(B1246&lt;='01-Process Controls'!$D$9-2*'01-Process Controls'!$H$9,"VALID - CUSTOM SAFE","VALID - CUSTOM NOMINAL EDGE")))))))</f>
        <v>VALID - CUSTOM SAFE</v>
      </c>
      <c r="I1246" s="10"/>
      <c r="J1246" s="8"/>
      <c r="K1246" s="8"/>
      <c r="L1246" s="8"/>
      <c r="M1246" s="8"/>
      <c r="N1246" s="8"/>
    </row>
    <row r="1247" spans="1:14" ht="21" customHeight="1">
      <c r="A1247" s="9" t="s">
        <v>1542</v>
      </c>
      <c r="B1247" s="67">
        <v>1524</v>
      </c>
      <c r="C1247" s="67">
        <v>1219.2</v>
      </c>
      <c r="D1247" s="10" t="s">
        <v>41</v>
      </c>
      <c r="E1247" s="10" t="s">
        <v>1412</v>
      </c>
      <c r="F1247" s="10" t="s">
        <v>1192</v>
      </c>
      <c r="G1247" s="10" t="s">
        <v>1183</v>
      </c>
      <c r="H1247" s="11" t="str">
        <f>IF(AND(B1247="",C1247=""),"CUSTOM BLANK",IF(OR(B1247="",C1247=""),"ERROR - ENTER BOTH",IF(OR(B1247&lt;=0,C1247&lt;=0),"ERROR - NONPOSITIVE",IF(OR(B1247&lt;'01-Process Controls'!$G$9,C1247&lt;'01-Process Controls'!$G$9),"ERROR - BELOW MIN",IF(NOT(B1247&lt;='01-Process Controls'!$D$9),"ERROR - EXCEEDS ROLL WIDTH",IF(COUNTIFS($B$1164:B1246,B1247,$C$1164:C1246,C1247)&gt;0,"VALID - DUPLICATE SIZE",IF(B1247&lt;='01-Process Controls'!$D$9-2*'01-Process Controls'!$H$9,"VALID - CUSTOM SAFE","VALID - CUSTOM NOMINAL EDGE")))))))</f>
        <v>VALID - CUSTOM SAFE</v>
      </c>
      <c r="I1247" s="10"/>
      <c r="J1247" s="8"/>
      <c r="K1247" s="8"/>
      <c r="L1247" s="8"/>
      <c r="M1247" s="8"/>
      <c r="N1247" s="8"/>
    </row>
    <row r="1248" spans="1:14" ht="21" customHeight="1">
      <c r="A1248" s="9" t="s">
        <v>1543</v>
      </c>
      <c r="B1248" s="67">
        <v>1524</v>
      </c>
      <c r="C1248" s="67">
        <v>1524</v>
      </c>
      <c r="D1248" s="10" t="s">
        <v>41</v>
      </c>
      <c r="E1248" s="10" t="s">
        <v>1412</v>
      </c>
      <c r="F1248" s="10" t="s">
        <v>1192</v>
      </c>
      <c r="G1248" s="10" t="s">
        <v>1183</v>
      </c>
      <c r="H1248" s="11" t="str">
        <f>IF(AND(B1248="",C1248=""),"CUSTOM BLANK",IF(OR(B1248="",C1248=""),"ERROR - ENTER BOTH",IF(OR(B1248&lt;=0,C1248&lt;=0),"ERROR - NONPOSITIVE",IF(OR(B1248&lt;'01-Process Controls'!$G$9,C1248&lt;'01-Process Controls'!$G$9),"ERROR - BELOW MIN",IF(NOT(B1248&lt;='01-Process Controls'!$D$9),"ERROR - EXCEEDS ROLL WIDTH",IF(COUNTIFS($B$1164:B1247,B1248,$C$1164:C1247,C1248)&gt;0,"VALID - DUPLICATE SIZE",IF(B1248&lt;='01-Process Controls'!$D$9-2*'01-Process Controls'!$H$9,"VALID - CUSTOM SAFE","VALID - CUSTOM NOMINAL EDGE")))))))</f>
        <v>VALID - CUSTOM SAFE</v>
      </c>
      <c r="I1248" s="10"/>
      <c r="J1248" s="8"/>
      <c r="K1248" s="8"/>
      <c r="L1248" s="8"/>
      <c r="M1248" s="8"/>
      <c r="N1248" s="8"/>
    </row>
    <row r="1249" spans="1:14" ht="21" customHeight="1">
      <c r="A1249" s="9" t="s">
        <v>1544</v>
      </c>
      <c r="B1249" s="67">
        <v>1524</v>
      </c>
      <c r="C1249" s="67">
        <v>1828.8</v>
      </c>
      <c r="D1249" s="10" t="s">
        <v>41</v>
      </c>
      <c r="E1249" s="10" t="s">
        <v>1412</v>
      </c>
      <c r="F1249" s="10" t="s">
        <v>1192</v>
      </c>
      <c r="G1249" s="10" t="s">
        <v>1183</v>
      </c>
      <c r="H1249" s="11" t="str">
        <f>IF(AND(B1249="",C1249=""),"CUSTOM BLANK",IF(OR(B1249="",C1249=""),"ERROR - ENTER BOTH",IF(OR(B1249&lt;=0,C1249&lt;=0),"ERROR - NONPOSITIVE",IF(OR(B1249&lt;'01-Process Controls'!$G$9,C1249&lt;'01-Process Controls'!$G$9),"ERROR - BELOW MIN",IF(NOT(B1249&lt;='01-Process Controls'!$D$9),"ERROR - EXCEEDS ROLL WIDTH",IF(COUNTIFS($B$1164:B1248,B1249,$C$1164:C1248,C1249)&gt;0,"VALID - DUPLICATE SIZE",IF(B1249&lt;='01-Process Controls'!$D$9-2*'01-Process Controls'!$H$9,"VALID - CUSTOM SAFE","VALID - CUSTOM NOMINAL EDGE")))))))</f>
        <v>VALID - CUSTOM SAFE</v>
      </c>
      <c r="I1249" s="10"/>
      <c r="J1249" s="8"/>
      <c r="K1249" s="8"/>
      <c r="L1249" s="8"/>
      <c r="M1249" s="8"/>
      <c r="N1249" s="8"/>
    </row>
    <row r="1250" spans="1:14" ht="21" customHeight="1">
      <c r="A1250" s="9" t="s">
        <v>1545</v>
      </c>
      <c r="B1250" s="67">
        <v>1524</v>
      </c>
      <c r="C1250" s="67">
        <v>2133.6000000000004</v>
      </c>
      <c r="D1250" s="10" t="s">
        <v>41</v>
      </c>
      <c r="E1250" s="10" t="s">
        <v>1412</v>
      </c>
      <c r="F1250" s="10" t="s">
        <v>1192</v>
      </c>
      <c r="G1250" s="10" t="s">
        <v>1183</v>
      </c>
      <c r="H1250" s="11" t="str">
        <f>IF(AND(B1250="",C1250=""),"CUSTOM BLANK",IF(OR(B1250="",C1250=""),"ERROR - ENTER BOTH",IF(OR(B1250&lt;=0,C1250&lt;=0),"ERROR - NONPOSITIVE",IF(OR(B1250&lt;'01-Process Controls'!$G$9,C1250&lt;'01-Process Controls'!$G$9),"ERROR - BELOW MIN",IF(NOT(B1250&lt;='01-Process Controls'!$D$9),"ERROR - EXCEEDS ROLL WIDTH",IF(COUNTIFS($B$1164:B1249,B1250,$C$1164:C1249,C1250)&gt;0,"VALID - DUPLICATE SIZE",IF(B1250&lt;='01-Process Controls'!$D$9-2*'01-Process Controls'!$H$9,"VALID - CUSTOM SAFE","VALID - CUSTOM NOMINAL EDGE")))))))</f>
        <v>VALID - CUSTOM SAFE</v>
      </c>
      <c r="I1250" s="10"/>
      <c r="J1250" s="8"/>
      <c r="K1250" s="8"/>
      <c r="L1250" s="8"/>
      <c r="M1250" s="8"/>
      <c r="N1250" s="8"/>
    </row>
    <row r="1251" spans="1:14" ht="21" customHeight="1">
      <c r="A1251" s="9" t="s">
        <v>1546</v>
      </c>
      <c r="B1251" s="67">
        <v>1524</v>
      </c>
      <c r="C1251" s="67">
        <v>2438.4</v>
      </c>
      <c r="D1251" s="10" t="s">
        <v>41</v>
      </c>
      <c r="E1251" s="10" t="s">
        <v>1415</v>
      </c>
      <c r="F1251" s="10" t="s">
        <v>1192</v>
      </c>
      <c r="G1251" s="10" t="s">
        <v>1183</v>
      </c>
      <c r="H1251" s="11" t="str">
        <f>IF(AND(B1251="",C1251=""),"CUSTOM BLANK",IF(OR(B1251="",C1251=""),"ERROR - ENTER BOTH",IF(OR(B1251&lt;=0,C1251&lt;=0),"ERROR - NONPOSITIVE",IF(OR(B1251&lt;'01-Process Controls'!$G$9,C1251&lt;'01-Process Controls'!$G$9),"ERROR - BELOW MIN",IF(NOT(B1251&lt;='01-Process Controls'!$D$9),"ERROR - EXCEEDS ROLL WIDTH",IF(COUNTIFS($B$1164:B1250,B1251,$C$1164:C1250,C1251)&gt;0,"VALID - DUPLICATE SIZE",IF(B1251&lt;='01-Process Controls'!$D$9-2*'01-Process Controls'!$H$9,"VALID - CUSTOM SAFE","VALID - CUSTOM NOMINAL EDGE")))))))</f>
        <v>VALID - CUSTOM SAFE</v>
      </c>
      <c r="I1251" s="10"/>
      <c r="J1251" s="8"/>
      <c r="K1251" s="8"/>
      <c r="L1251" s="8"/>
      <c r="M1251" s="8"/>
      <c r="N1251" s="8"/>
    </row>
    <row r="1252" spans="1:14" ht="21" customHeight="1">
      <c r="A1252" s="9" t="s">
        <v>1547</v>
      </c>
      <c r="B1252" s="67">
        <v>1524</v>
      </c>
      <c r="C1252" s="67">
        <v>2743.2</v>
      </c>
      <c r="D1252" s="10" t="s">
        <v>41</v>
      </c>
      <c r="E1252" s="10" t="s">
        <v>1415</v>
      </c>
      <c r="F1252" s="10" t="s">
        <v>1192</v>
      </c>
      <c r="G1252" s="10" t="s">
        <v>1183</v>
      </c>
      <c r="H1252" s="11" t="str">
        <f>IF(AND(B1252="",C1252=""),"CUSTOM BLANK",IF(OR(B1252="",C1252=""),"ERROR - ENTER BOTH",IF(OR(B1252&lt;=0,C1252&lt;=0),"ERROR - NONPOSITIVE",IF(OR(B1252&lt;'01-Process Controls'!$G$9,C1252&lt;'01-Process Controls'!$G$9),"ERROR - BELOW MIN",IF(NOT(B1252&lt;='01-Process Controls'!$D$9),"ERROR - EXCEEDS ROLL WIDTH",IF(COUNTIFS($B$1164:B1251,B1252,$C$1164:C1251,C1252)&gt;0,"VALID - DUPLICATE SIZE",IF(B1252&lt;='01-Process Controls'!$D$9-2*'01-Process Controls'!$H$9,"VALID - CUSTOM SAFE","VALID - CUSTOM NOMINAL EDGE")))))))</f>
        <v>VALID - CUSTOM SAFE</v>
      </c>
      <c r="I1252" s="10"/>
      <c r="J1252" s="8"/>
      <c r="K1252" s="8"/>
      <c r="L1252" s="8"/>
      <c r="M1252" s="8"/>
      <c r="N1252" s="8"/>
    </row>
    <row r="1253" spans="1:14" ht="21" customHeight="1">
      <c r="A1253" s="9" t="s">
        <v>1548</v>
      </c>
      <c r="B1253" s="67">
        <v>1524</v>
      </c>
      <c r="C1253" s="67">
        <v>3048</v>
      </c>
      <c r="D1253" s="10" t="s">
        <v>41</v>
      </c>
      <c r="E1253" s="10" t="s">
        <v>1415</v>
      </c>
      <c r="F1253" s="10" t="s">
        <v>1192</v>
      </c>
      <c r="G1253" s="10" t="s">
        <v>1183</v>
      </c>
      <c r="H1253" s="11" t="str">
        <f>IF(AND(B1253="",C1253=""),"CUSTOM BLANK",IF(OR(B1253="",C1253=""),"ERROR - ENTER BOTH",IF(OR(B1253&lt;=0,C1253&lt;=0),"ERROR - NONPOSITIVE",IF(OR(B1253&lt;'01-Process Controls'!$G$9,C1253&lt;'01-Process Controls'!$G$9),"ERROR - BELOW MIN",IF(NOT(B1253&lt;='01-Process Controls'!$D$9),"ERROR - EXCEEDS ROLL WIDTH",IF(COUNTIFS($B$1164:B1252,B1253,$C$1164:C1252,C1253)&gt;0,"VALID - DUPLICATE SIZE",IF(B1253&lt;='01-Process Controls'!$D$9-2*'01-Process Controls'!$H$9,"VALID - CUSTOM SAFE","VALID - CUSTOM NOMINAL EDGE")))))))</f>
        <v>VALID - CUSTOM SAFE</v>
      </c>
      <c r="I1253" s="10"/>
      <c r="J1253" s="8"/>
      <c r="K1253" s="8"/>
      <c r="L1253" s="8"/>
      <c r="M1253" s="8"/>
      <c r="N1253" s="8"/>
    </row>
    <row r="1254" spans="1:14" ht="21" customHeight="1">
      <c r="A1254" s="9" t="s">
        <v>1549</v>
      </c>
      <c r="B1254" s="67">
        <v>1524</v>
      </c>
      <c r="C1254" s="67">
        <v>3352.7999999999997</v>
      </c>
      <c r="D1254" s="10" t="s">
        <v>41</v>
      </c>
      <c r="E1254" s="10" t="s">
        <v>1415</v>
      </c>
      <c r="F1254" s="10" t="s">
        <v>1192</v>
      </c>
      <c r="G1254" s="10" t="s">
        <v>1183</v>
      </c>
      <c r="H1254" s="11" t="str">
        <f>IF(AND(B1254="",C1254=""),"CUSTOM BLANK",IF(OR(B1254="",C1254=""),"ERROR - ENTER BOTH",IF(OR(B1254&lt;=0,C1254&lt;=0),"ERROR - NONPOSITIVE",IF(OR(B1254&lt;'01-Process Controls'!$G$9,C1254&lt;'01-Process Controls'!$G$9),"ERROR - BELOW MIN",IF(NOT(B1254&lt;='01-Process Controls'!$D$9),"ERROR - EXCEEDS ROLL WIDTH",IF(COUNTIFS($B$1164:B1253,B1254,$C$1164:C1253,C1254)&gt;0,"VALID - DUPLICATE SIZE",IF(B1254&lt;='01-Process Controls'!$D$9-2*'01-Process Controls'!$H$9,"VALID - CUSTOM SAFE","VALID - CUSTOM NOMINAL EDGE")))))))</f>
        <v>VALID - CUSTOM SAFE</v>
      </c>
      <c r="I1254" s="10"/>
      <c r="J1254" s="8"/>
      <c r="K1254" s="8"/>
      <c r="L1254" s="8"/>
      <c r="M1254" s="8"/>
      <c r="N1254" s="8"/>
    </row>
    <row r="1255" spans="1:14" ht="21" customHeight="1">
      <c r="A1255" s="9" t="s">
        <v>1550</v>
      </c>
      <c r="B1255" s="67">
        <v>1524</v>
      </c>
      <c r="C1255" s="67">
        <v>3657.6</v>
      </c>
      <c r="D1255" s="10" t="s">
        <v>41</v>
      </c>
      <c r="E1255" s="10" t="s">
        <v>1415</v>
      </c>
      <c r="F1255" s="10" t="s">
        <v>1192</v>
      </c>
      <c r="G1255" s="10" t="s">
        <v>1183</v>
      </c>
      <c r="H1255" s="11" t="str">
        <f>IF(AND(B1255="",C1255=""),"CUSTOM BLANK",IF(OR(B1255="",C1255=""),"ERROR - ENTER BOTH",IF(OR(B1255&lt;=0,C1255&lt;=0),"ERROR - NONPOSITIVE",IF(OR(B1255&lt;'01-Process Controls'!$G$9,C1255&lt;'01-Process Controls'!$G$9),"ERROR - BELOW MIN",IF(NOT(B1255&lt;='01-Process Controls'!$D$9),"ERROR - EXCEEDS ROLL WIDTH",IF(COUNTIFS($B$1164:B1254,B1255,$C$1164:C1254,C1255)&gt;0,"VALID - DUPLICATE SIZE",IF(B1255&lt;='01-Process Controls'!$D$9-2*'01-Process Controls'!$H$9,"VALID - CUSTOM SAFE","VALID - CUSTOM NOMINAL EDGE")))))))</f>
        <v>VALID - CUSTOM SAFE</v>
      </c>
      <c r="I1255" s="10"/>
      <c r="J1255" s="8"/>
      <c r="K1255" s="8"/>
      <c r="L1255" s="8"/>
      <c r="M1255" s="8"/>
      <c r="N1255" s="8"/>
    </row>
    <row r="1256" spans="1:14" ht="21" customHeight="1">
      <c r="A1256" s="9" t="s">
        <v>1551</v>
      </c>
      <c r="B1256" s="67">
        <v>1524</v>
      </c>
      <c r="C1256" s="67">
        <v>3962.4</v>
      </c>
      <c r="D1256" s="10" t="s">
        <v>41</v>
      </c>
      <c r="E1256" s="10" t="s">
        <v>1415</v>
      </c>
      <c r="F1256" s="10" t="s">
        <v>1192</v>
      </c>
      <c r="G1256" s="10" t="s">
        <v>1183</v>
      </c>
      <c r="H1256" s="11" t="str">
        <f>IF(AND(B1256="",C1256=""),"CUSTOM BLANK",IF(OR(B1256="",C1256=""),"ERROR - ENTER BOTH",IF(OR(B1256&lt;=0,C1256&lt;=0),"ERROR - NONPOSITIVE",IF(OR(B1256&lt;'01-Process Controls'!$G$9,C1256&lt;'01-Process Controls'!$G$9),"ERROR - BELOW MIN",IF(NOT(B1256&lt;='01-Process Controls'!$D$9),"ERROR - EXCEEDS ROLL WIDTH",IF(COUNTIFS($B$1164:B1255,B1256,$C$1164:C1255,C1256)&gt;0,"VALID - DUPLICATE SIZE",IF(B1256&lt;='01-Process Controls'!$D$9-2*'01-Process Controls'!$H$9,"VALID - CUSTOM SAFE","VALID - CUSTOM NOMINAL EDGE")))))))</f>
        <v>VALID - CUSTOM SAFE</v>
      </c>
      <c r="I1256" s="10"/>
      <c r="J1256" s="8"/>
      <c r="K1256" s="8"/>
      <c r="L1256" s="8"/>
      <c r="M1256" s="8"/>
      <c r="N1256" s="8"/>
    </row>
    <row r="1257" spans="1:14" ht="21" customHeight="1">
      <c r="A1257" s="9" t="s">
        <v>1552</v>
      </c>
      <c r="B1257" s="67">
        <v>1524</v>
      </c>
      <c r="C1257" s="67">
        <v>4267.2000000000007</v>
      </c>
      <c r="D1257" s="10" t="s">
        <v>41</v>
      </c>
      <c r="E1257" s="10" t="s">
        <v>1415</v>
      </c>
      <c r="F1257" s="10" t="s">
        <v>1192</v>
      </c>
      <c r="G1257" s="10" t="s">
        <v>1183</v>
      </c>
      <c r="H1257" s="11" t="str">
        <f>IF(AND(B1257="",C1257=""),"CUSTOM BLANK",IF(OR(B1257="",C1257=""),"ERROR - ENTER BOTH",IF(OR(B1257&lt;=0,C1257&lt;=0),"ERROR - NONPOSITIVE",IF(OR(B1257&lt;'01-Process Controls'!$G$9,C1257&lt;'01-Process Controls'!$G$9),"ERROR - BELOW MIN",IF(NOT(B1257&lt;='01-Process Controls'!$D$9),"ERROR - EXCEEDS ROLL WIDTH",IF(COUNTIFS($B$1164:B1256,B1257,$C$1164:C1256,C1257)&gt;0,"VALID - DUPLICATE SIZE",IF(B1257&lt;='01-Process Controls'!$D$9-2*'01-Process Controls'!$H$9,"VALID - CUSTOM SAFE","VALID - CUSTOM NOMINAL EDGE")))))))</f>
        <v>VALID - CUSTOM SAFE</v>
      </c>
      <c r="I1257" s="10"/>
      <c r="J1257" s="8"/>
      <c r="K1257" s="8"/>
      <c r="L1257" s="8"/>
      <c r="M1257" s="8"/>
      <c r="N1257" s="8"/>
    </row>
    <row r="1258" spans="1:14" ht="21" customHeight="1">
      <c r="A1258" s="9" t="s">
        <v>1553</v>
      </c>
      <c r="B1258" s="67">
        <v>1524</v>
      </c>
      <c r="C1258" s="67">
        <v>4572</v>
      </c>
      <c r="D1258" s="10" t="s">
        <v>41</v>
      </c>
      <c r="E1258" s="10" t="s">
        <v>1415</v>
      </c>
      <c r="F1258" s="10" t="s">
        <v>1192</v>
      </c>
      <c r="G1258" s="10" t="s">
        <v>1183</v>
      </c>
      <c r="H1258" s="11" t="str">
        <f>IF(AND(B1258="",C1258=""),"CUSTOM BLANK",IF(OR(B1258="",C1258=""),"ERROR - ENTER BOTH",IF(OR(B1258&lt;=0,C1258&lt;=0),"ERROR - NONPOSITIVE",IF(OR(B1258&lt;'01-Process Controls'!$G$9,C1258&lt;'01-Process Controls'!$G$9),"ERROR - BELOW MIN",IF(NOT(B1258&lt;='01-Process Controls'!$D$9),"ERROR - EXCEEDS ROLL WIDTH",IF(COUNTIFS($B$1164:B1257,B1258,$C$1164:C1257,C1258)&gt;0,"VALID - DUPLICATE SIZE",IF(B1258&lt;='01-Process Controls'!$D$9-2*'01-Process Controls'!$H$9,"VALID - CUSTOM SAFE","VALID - CUSTOM NOMINAL EDGE")))))))</f>
        <v>VALID - CUSTOM SAFE</v>
      </c>
      <c r="I1258" s="10"/>
      <c r="J1258" s="8"/>
      <c r="K1258" s="8"/>
      <c r="L1258" s="8"/>
      <c r="M1258" s="8"/>
      <c r="N1258" s="8"/>
    </row>
    <row r="1259" spans="1:14" ht="21" customHeight="1">
      <c r="A1259" s="9" t="s">
        <v>1554</v>
      </c>
      <c r="B1259" s="67">
        <v>1524</v>
      </c>
      <c r="C1259" s="67">
        <v>4876.8</v>
      </c>
      <c r="D1259" s="10" t="s">
        <v>41</v>
      </c>
      <c r="E1259" s="10" t="s">
        <v>1473</v>
      </c>
      <c r="F1259" s="10" t="s">
        <v>1192</v>
      </c>
      <c r="G1259" s="10" t="s">
        <v>1183</v>
      </c>
      <c r="H1259" s="11" t="str">
        <f>IF(AND(B1259="",C1259=""),"CUSTOM BLANK",IF(OR(B1259="",C1259=""),"ERROR - ENTER BOTH",IF(OR(B1259&lt;=0,C1259&lt;=0),"ERROR - NONPOSITIVE",IF(OR(B1259&lt;'01-Process Controls'!$G$9,C1259&lt;'01-Process Controls'!$G$9),"ERROR - BELOW MIN",IF(NOT(B1259&lt;='01-Process Controls'!$D$9),"ERROR - EXCEEDS ROLL WIDTH",IF(COUNTIFS($B$1164:B1258,B1259,$C$1164:C1258,C1259)&gt;0,"VALID - DUPLICATE SIZE",IF(B1259&lt;='01-Process Controls'!$D$9-2*'01-Process Controls'!$H$9,"VALID - CUSTOM SAFE","VALID - CUSTOM NOMINAL EDGE")))))))</f>
        <v>VALID - CUSTOM SAFE</v>
      </c>
      <c r="I1259" s="10"/>
      <c r="J1259" s="8"/>
      <c r="K1259" s="8"/>
      <c r="L1259" s="8"/>
      <c r="M1259" s="8"/>
      <c r="N1259" s="8"/>
    </row>
    <row r="1260" spans="1:14" ht="21" customHeight="1">
      <c r="A1260" s="9" t="s">
        <v>1555</v>
      </c>
      <c r="B1260" s="67">
        <v>1524</v>
      </c>
      <c r="C1260" s="67">
        <v>5181.5999999999995</v>
      </c>
      <c r="D1260" s="10" t="s">
        <v>41</v>
      </c>
      <c r="E1260" s="10" t="s">
        <v>1473</v>
      </c>
      <c r="F1260" s="10" t="s">
        <v>1192</v>
      </c>
      <c r="G1260" s="10" t="s">
        <v>1183</v>
      </c>
      <c r="H1260" s="11" t="str">
        <f>IF(AND(B1260="",C1260=""),"CUSTOM BLANK",IF(OR(B1260="",C1260=""),"ERROR - ENTER BOTH",IF(OR(B1260&lt;=0,C1260&lt;=0),"ERROR - NONPOSITIVE",IF(OR(B1260&lt;'01-Process Controls'!$G$9,C1260&lt;'01-Process Controls'!$G$9),"ERROR - BELOW MIN",IF(NOT(B1260&lt;='01-Process Controls'!$D$9),"ERROR - EXCEEDS ROLL WIDTH",IF(COUNTIFS($B$1164:B1259,B1260,$C$1164:C1259,C1260)&gt;0,"VALID - DUPLICATE SIZE",IF(B1260&lt;='01-Process Controls'!$D$9-2*'01-Process Controls'!$H$9,"VALID - CUSTOM SAFE","VALID - CUSTOM NOMINAL EDGE")))))))</f>
        <v>VALID - CUSTOM SAFE</v>
      </c>
      <c r="I1260" s="10"/>
      <c r="J1260" s="8"/>
      <c r="K1260" s="8"/>
      <c r="L1260" s="8"/>
      <c r="M1260" s="8"/>
      <c r="N1260" s="8"/>
    </row>
    <row r="1261" spans="1:14" ht="21" customHeight="1">
      <c r="A1261" s="9" t="s">
        <v>1556</v>
      </c>
      <c r="B1261" s="67">
        <v>1524</v>
      </c>
      <c r="C1261" s="67">
        <v>5486.4</v>
      </c>
      <c r="D1261" s="10" t="s">
        <v>41</v>
      </c>
      <c r="E1261" s="10" t="s">
        <v>1473</v>
      </c>
      <c r="F1261" s="10" t="s">
        <v>1192</v>
      </c>
      <c r="G1261" s="10" t="s">
        <v>1183</v>
      </c>
      <c r="H1261" s="11" t="str">
        <f>IF(AND(B1261="",C1261=""),"CUSTOM BLANK",IF(OR(B1261="",C1261=""),"ERROR - ENTER BOTH",IF(OR(B1261&lt;=0,C1261&lt;=0),"ERROR - NONPOSITIVE",IF(OR(B1261&lt;'01-Process Controls'!$G$9,C1261&lt;'01-Process Controls'!$G$9),"ERROR - BELOW MIN",IF(NOT(B1261&lt;='01-Process Controls'!$D$9),"ERROR - EXCEEDS ROLL WIDTH",IF(COUNTIFS($B$1164:B1260,B1261,$C$1164:C1260,C1261)&gt;0,"VALID - DUPLICATE SIZE",IF(B1261&lt;='01-Process Controls'!$D$9-2*'01-Process Controls'!$H$9,"VALID - CUSTOM SAFE","VALID - CUSTOM NOMINAL EDGE")))))))</f>
        <v>VALID - CUSTOM SAFE</v>
      </c>
      <c r="I1261" s="10"/>
      <c r="J1261" s="8"/>
      <c r="K1261" s="8"/>
      <c r="L1261" s="8"/>
      <c r="M1261" s="8"/>
      <c r="N1261" s="8"/>
    </row>
    <row r="1262" spans="1:14" ht="21" customHeight="1">
      <c r="A1262" s="9" t="s">
        <v>1557</v>
      </c>
      <c r="B1262" s="67">
        <v>1524</v>
      </c>
      <c r="C1262" s="67">
        <v>5791.2</v>
      </c>
      <c r="D1262" s="10" t="s">
        <v>41</v>
      </c>
      <c r="E1262" s="10" t="s">
        <v>1473</v>
      </c>
      <c r="F1262" s="10" t="s">
        <v>1192</v>
      </c>
      <c r="G1262" s="10" t="s">
        <v>1183</v>
      </c>
      <c r="H1262" s="11" t="str">
        <f>IF(AND(B1262="",C1262=""),"CUSTOM BLANK",IF(OR(B1262="",C1262=""),"ERROR - ENTER BOTH",IF(OR(B1262&lt;=0,C1262&lt;=0),"ERROR - NONPOSITIVE",IF(OR(B1262&lt;'01-Process Controls'!$G$9,C1262&lt;'01-Process Controls'!$G$9),"ERROR - BELOW MIN",IF(NOT(B1262&lt;='01-Process Controls'!$D$9),"ERROR - EXCEEDS ROLL WIDTH",IF(COUNTIFS($B$1164:B1261,B1262,$C$1164:C1261,C1262)&gt;0,"VALID - DUPLICATE SIZE",IF(B1262&lt;='01-Process Controls'!$D$9-2*'01-Process Controls'!$H$9,"VALID - CUSTOM SAFE","VALID - CUSTOM NOMINAL EDGE")))))))</f>
        <v>VALID - CUSTOM SAFE</v>
      </c>
      <c r="I1262" s="10"/>
      <c r="J1262" s="8"/>
      <c r="K1262" s="8"/>
      <c r="L1262" s="8"/>
      <c r="M1262" s="8"/>
      <c r="N1262" s="8"/>
    </row>
    <row r="1263" spans="1:14" ht="21" customHeight="1">
      <c r="A1263" s="9" t="s">
        <v>1558</v>
      </c>
      <c r="B1263" s="67">
        <v>1524</v>
      </c>
      <c r="C1263" s="67">
        <v>6096</v>
      </c>
      <c r="D1263" s="10" t="s">
        <v>41</v>
      </c>
      <c r="E1263" s="10" t="s">
        <v>1478</v>
      </c>
      <c r="F1263" s="10" t="s">
        <v>1192</v>
      </c>
      <c r="G1263" s="10" t="s">
        <v>1183</v>
      </c>
      <c r="H1263" s="11" t="str">
        <f>IF(AND(B1263="",C1263=""),"CUSTOM BLANK",IF(OR(B1263="",C1263=""),"ERROR - ENTER BOTH",IF(OR(B1263&lt;=0,C1263&lt;=0),"ERROR - NONPOSITIVE",IF(OR(B1263&lt;'01-Process Controls'!$G$9,C1263&lt;'01-Process Controls'!$G$9),"ERROR - BELOW MIN",IF(NOT(B1263&lt;='01-Process Controls'!$D$9),"ERROR - EXCEEDS ROLL WIDTH",IF(COUNTIFS($B$1164:B1262,B1263,$C$1164:C1262,C1263)&gt;0,"VALID - DUPLICATE SIZE",IF(B1263&lt;='01-Process Controls'!$D$9-2*'01-Process Controls'!$H$9,"VALID - CUSTOM SAFE","VALID - CUSTOM NOMINAL EDGE")))))))</f>
        <v>VALID - CUSTOM SAFE</v>
      </c>
      <c r="I1263" s="10"/>
      <c r="J1263" s="8"/>
      <c r="K1263" s="8"/>
      <c r="L1263" s="8"/>
      <c r="M1263" s="8"/>
      <c r="N1263" s="8"/>
    </row>
    <row r="1264" spans="1:14" ht="21" customHeight="1">
      <c r="A1264" s="9" t="s">
        <v>1559</v>
      </c>
      <c r="B1264" s="48"/>
      <c r="C1264" s="48"/>
      <c r="D1264" s="10"/>
      <c r="E1264" s="10"/>
      <c r="F1264" s="10"/>
      <c r="G1264" s="10"/>
      <c r="H1264" s="11"/>
      <c r="I1264" s="10"/>
      <c r="J1264" s="8"/>
      <c r="K1264" s="8"/>
      <c r="L1264" s="8"/>
      <c r="M1264" s="8"/>
      <c r="N1264" s="8"/>
    </row>
    <row r="1265" spans="1:14" ht="21" customHeight="1">
      <c r="A1265" s="9" t="s">
        <v>1560</v>
      </c>
      <c r="B1265" s="48"/>
      <c r="C1265" s="48"/>
      <c r="D1265" s="10"/>
      <c r="E1265" s="10"/>
      <c r="F1265" s="10"/>
      <c r="G1265" s="10"/>
      <c r="H1265" s="11"/>
      <c r="I1265" s="10"/>
      <c r="J1265" s="8"/>
      <c r="K1265" s="8"/>
      <c r="L1265" s="8"/>
      <c r="M1265" s="8"/>
      <c r="N1265" s="8"/>
    </row>
    <row r="1266" spans="1:14" ht="21" customHeight="1">
      <c r="A1266" s="9" t="s">
        <v>1561</v>
      </c>
      <c r="B1266" s="48"/>
      <c r="C1266" s="48"/>
      <c r="D1266" s="10"/>
      <c r="E1266" s="10"/>
      <c r="F1266" s="10"/>
      <c r="G1266" s="10"/>
      <c r="H1266" s="11"/>
      <c r="I1266" s="10"/>
      <c r="J1266" s="8"/>
      <c r="K1266" s="8"/>
      <c r="L1266" s="8"/>
      <c r="M1266" s="8"/>
      <c r="N1266" s="8"/>
    </row>
    <row r="1267" spans="1:14" ht="21" customHeight="1">
      <c r="A1267" s="9" t="s">
        <v>1562</v>
      </c>
      <c r="B1267" s="48"/>
      <c r="C1267" s="48"/>
      <c r="D1267" s="10"/>
      <c r="E1267" s="10"/>
      <c r="F1267" s="10"/>
      <c r="G1267" s="10"/>
      <c r="H1267" s="11"/>
      <c r="I1267" s="10"/>
      <c r="J1267" s="8"/>
      <c r="K1267" s="8"/>
      <c r="L1267" s="8"/>
      <c r="M1267" s="8"/>
      <c r="N1267" s="8"/>
    </row>
    <row r="1268" spans="1:14" ht="21" customHeight="1">
      <c r="A1268" s="9" t="s">
        <v>1563</v>
      </c>
      <c r="B1268" s="48"/>
      <c r="C1268" s="48"/>
      <c r="D1268" s="10"/>
      <c r="E1268" s="10"/>
      <c r="F1268" s="10"/>
      <c r="G1268" s="10"/>
      <c r="H1268" s="11"/>
      <c r="I1268" s="10"/>
      <c r="J1268" s="8"/>
      <c r="K1268" s="8"/>
      <c r="L1268" s="8"/>
      <c r="M1268" s="8"/>
      <c r="N1268" s="8"/>
    </row>
    <row r="1269" spans="1:14" ht="21" customHeight="1">
      <c r="A1269" s="9" t="s">
        <v>1564</v>
      </c>
      <c r="B1269" s="48"/>
      <c r="C1269" s="48"/>
      <c r="D1269" s="10"/>
      <c r="E1269" s="10"/>
      <c r="F1269" s="10"/>
      <c r="G1269" s="10"/>
      <c r="H1269" s="11"/>
      <c r="I1269" s="10"/>
      <c r="J1269" s="8"/>
      <c r="K1269" s="8"/>
      <c r="L1269" s="8"/>
      <c r="M1269" s="8"/>
      <c r="N1269" s="8"/>
    </row>
    <row r="1270" spans="1:14" ht="21" customHeight="1">
      <c r="A1270" s="9" t="s">
        <v>1565</v>
      </c>
      <c r="B1270" s="48"/>
      <c r="C1270" s="48"/>
      <c r="D1270" s="10"/>
      <c r="E1270" s="10"/>
      <c r="F1270" s="10"/>
      <c r="G1270" s="10"/>
      <c r="H1270" s="11"/>
      <c r="I1270" s="10"/>
      <c r="J1270" s="8"/>
      <c r="K1270" s="8"/>
      <c r="L1270" s="8"/>
      <c r="M1270" s="8"/>
      <c r="N1270" s="8"/>
    </row>
    <row r="1271" spans="1:14" ht="21" customHeight="1">
      <c r="A1271" s="9" t="s">
        <v>1566</v>
      </c>
      <c r="B1271" s="48"/>
      <c r="C1271" s="48"/>
      <c r="D1271" s="10"/>
      <c r="E1271" s="10"/>
      <c r="F1271" s="10"/>
      <c r="G1271" s="10"/>
      <c r="H1271" s="11"/>
      <c r="I1271" s="10"/>
      <c r="J1271" s="8"/>
      <c r="K1271" s="8"/>
      <c r="L1271" s="8"/>
      <c r="M1271" s="8"/>
      <c r="N1271" s="8"/>
    </row>
    <row r="1272" spans="1:14" ht="21" customHeight="1">
      <c r="A1272" s="9" t="s">
        <v>1567</v>
      </c>
      <c r="B1272" s="48"/>
      <c r="C1272" s="48"/>
      <c r="D1272" s="10"/>
      <c r="E1272" s="10"/>
      <c r="F1272" s="10"/>
      <c r="G1272" s="10"/>
      <c r="H1272" s="11"/>
      <c r="I1272" s="10"/>
      <c r="J1272" s="8"/>
      <c r="K1272" s="8"/>
      <c r="L1272" s="8"/>
      <c r="M1272" s="8"/>
      <c r="N1272" s="8"/>
    </row>
    <row r="1273" spans="1:14" ht="21" customHeight="1">
      <c r="A1273" s="9" t="s">
        <v>1568</v>
      </c>
      <c r="B1273" s="48"/>
      <c r="C1273" s="48"/>
      <c r="D1273" s="10"/>
      <c r="E1273" s="10"/>
      <c r="F1273" s="10"/>
      <c r="G1273" s="10"/>
      <c r="H1273" s="11"/>
      <c r="I1273" s="10"/>
      <c r="J1273" s="8"/>
      <c r="K1273" s="8"/>
      <c r="L1273" s="8"/>
      <c r="M1273" s="8"/>
      <c r="N1273" s="8"/>
    </row>
    <row r="1274" spans="1:14" ht="21" customHeight="1">
      <c r="A1274" s="9" t="s">
        <v>1569</v>
      </c>
      <c r="B1274" s="48"/>
      <c r="C1274" s="48"/>
      <c r="D1274" s="10"/>
      <c r="E1274" s="10"/>
      <c r="F1274" s="10"/>
      <c r="G1274" s="10"/>
      <c r="H1274" s="11"/>
      <c r="I1274" s="10"/>
      <c r="J1274" s="8"/>
      <c r="K1274" s="8"/>
      <c r="L1274" s="8"/>
      <c r="M1274" s="8"/>
      <c r="N1274" s="8"/>
    </row>
    <row r="1275" spans="1:14" ht="21" customHeight="1">
      <c r="A1275" s="9" t="s">
        <v>1570</v>
      </c>
      <c r="B1275" s="48"/>
      <c r="C1275" s="48"/>
      <c r="D1275" s="10"/>
      <c r="E1275" s="10"/>
      <c r="F1275" s="10"/>
      <c r="G1275" s="10"/>
      <c r="H1275" s="11"/>
      <c r="I1275" s="10"/>
      <c r="J1275" s="8"/>
      <c r="K1275" s="8"/>
      <c r="L1275" s="8"/>
      <c r="M1275" s="8"/>
      <c r="N1275" s="8"/>
    </row>
    <row r="1276" spans="1:14" ht="21" customHeight="1">
      <c r="A1276" s="9" t="s">
        <v>1571</v>
      </c>
      <c r="B1276" s="48"/>
      <c r="C1276" s="48"/>
      <c r="D1276" s="10"/>
      <c r="E1276" s="10"/>
      <c r="F1276" s="10"/>
      <c r="G1276" s="10"/>
      <c r="H1276" s="11"/>
      <c r="I1276" s="10"/>
      <c r="J1276" s="8"/>
      <c r="K1276" s="8"/>
      <c r="L1276" s="8"/>
      <c r="M1276" s="8"/>
      <c r="N1276" s="8"/>
    </row>
    <row r="1277" spans="1:14" ht="21" customHeight="1">
      <c r="A1277" s="9" t="s">
        <v>1572</v>
      </c>
      <c r="B1277" s="48"/>
      <c r="C1277" s="48"/>
      <c r="D1277" s="10"/>
      <c r="E1277" s="10"/>
      <c r="F1277" s="10"/>
      <c r="G1277" s="10"/>
      <c r="H1277" s="11"/>
      <c r="I1277" s="10"/>
      <c r="J1277" s="8"/>
      <c r="K1277" s="8"/>
      <c r="L1277" s="8"/>
      <c r="M1277" s="8"/>
      <c r="N1277" s="8"/>
    </row>
    <row r="1278" spans="1:14" ht="21" customHeight="1">
      <c r="A1278" s="9" t="s">
        <v>1573</v>
      </c>
      <c r="B1278" s="48"/>
      <c r="C1278" s="48"/>
      <c r="D1278" s="10"/>
      <c r="E1278" s="10"/>
      <c r="F1278" s="10"/>
      <c r="G1278" s="10"/>
      <c r="H1278" s="11"/>
      <c r="I1278" s="10"/>
      <c r="J1278" s="8"/>
      <c r="K1278" s="8"/>
      <c r="L1278" s="8"/>
      <c r="M1278" s="8"/>
      <c r="N1278" s="8"/>
    </row>
    <row r="1279" spans="1:14" ht="21" customHeight="1">
      <c r="A1279" s="9" t="s">
        <v>1574</v>
      </c>
      <c r="B1279" s="48"/>
      <c r="C1279" s="48"/>
      <c r="D1279" s="10"/>
      <c r="E1279" s="10"/>
      <c r="F1279" s="10"/>
      <c r="G1279" s="10"/>
      <c r="H1279" s="11"/>
      <c r="I1279" s="10"/>
      <c r="J1279" s="8"/>
      <c r="K1279" s="8"/>
      <c r="L1279" s="8"/>
      <c r="M1279" s="8"/>
      <c r="N1279" s="8"/>
    </row>
    <row r="1280" spans="1:14" ht="21" customHeight="1">
      <c r="A1280" s="9" t="s">
        <v>1575</v>
      </c>
      <c r="B1280" s="48"/>
      <c r="C1280" s="48"/>
      <c r="D1280" s="10"/>
      <c r="E1280" s="10"/>
      <c r="F1280" s="10"/>
      <c r="G1280" s="10"/>
      <c r="H1280" s="11"/>
      <c r="I1280" s="10"/>
      <c r="J1280" s="8"/>
      <c r="K1280" s="8"/>
      <c r="L1280" s="8"/>
      <c r="M1280" s="8"/>
      <c r="N1280" s="8"/>
    </row>
    <row r="1281" spans="1:14" ht="21" customHeight="1">
      <c r="A1281" s="9" t="s">
        <v>1576</v>
      </c>
      <c r="B1281" s="48"/>
      <c r="C1281" s="48"/>
      <c r="D1281" s="10"/>
      <c r="E1281" s="10"/>
      <c r="F1281" s="10"/>
      <c r="G1281" s="10"/>
      <c r="H1281" s="11"/>
      <c r="I1281" s="10"/>
      <c r="J1281" s="8"/>
      <c r="K1281" s="8"/>
      <c r="L1281" s="8"/>
      <c r="M1281" s="8"/>
      <c r="N1281" s="8"/>
    </row>
    <row r="1282" spans="1:14" ht="21" customHeight="1">
      <c r="A1282" s="9" t="s">
        <v>1577</v>
      </c>
      <c r="B1282" s="48"/>
      <c r="C1282" s="48"/>
      <c r="D1282" s="10"/>
      <c r="E1282" s="10"/>
      <c r="F1282" s="10"/>
      <c r="G1282" s="10"/>
      <c r="H1282" s="11"/>
      <c r="I1282" s="10"/>
      <c r="J1282" s="8"/>
      <c r="K1282" s="8"/>
      <c r="L1282" s="8"/>
      <c r="M1282" s="8"/>
      <c r="N1282" s="8"/>
    </row>
    <row r="1283" spans="1:14" ht="21" customHeight="1">
      <c r="A1283" s="9" t="s">
        <v>1578</v>
      </c>
      <c r="B1283" s="48"/>
      <c r="C1283" s="48"/>
      <c r="D1283" s="10"/>
      <c r="E1283" s="10"/>
      <c r="F1283" s="10"/>
      <c r="G1283" s="10"/>
      <c r="H1283" s="11"/>
      <c r="I1283" s="10"/>
      <c r="J1283" s="8"/>
      <c r="K1283" s="8"/>
      <c r="L1283" s="8"/>
      <c r="M1283" s="8"/>
      <c r="N1283" s="8"/>
    </row>
    <row r="1284" spans="1:14" ht="21" customHeight="1">
      <c r="A1284" s="9" t="s">
        <v>1579</v>
      </c>
      <c r="B1284" s="48"/>
      <c r="C1284" s="48"/>
      <c r="D1284" s="10"/>
      <c r="E1284" s="10"/>
      <c r="F1284" s="10"/>
      <c r="G1284" s="10"/>
      <c r="H1284" s="11"/>
      <c r="I1284" s="10"/>
      <c r="J1284" s="8"/>
      <c r="K1284" s="8"/>
      <c r="L1284" s="8"/>
      <c r="M1284" s="8"/>
      <c r="N1284" s="8"/>
    </row>
    <row r="1285" spans="1:14" ht="21" customHeight="1">
      <c r="A1285" s="9" t="s">
        <v>1580</v>
      </c>
      <c r="B1285" s="48"/>
      <c r="C1285" s="48"/>
      <c r="D1285" s="10"/>
      <c r="E1285" s="10"/>
      <c r="F1285" s="10"/>
      <c r="G1285" s="10"/>
      <c r="H1285" s="11"/>
      <c r="I1285" s="10"/>
      <c r="J1285" s="8"/>
      <c r="K1285" s="8"/>
      <c r="L1285" s="8"/>
      <c r="M1285" s="8"/>
      <c r="N1285" s="8"/>
    </row>
    <row r="1286" spans="1:14" ht="21" customHeight="1">
      <c r="A1286" s="9" t="s">
        <v>1581</v>
      </c>
      <c r="B1286" s="48"/>
      <c r="C1286" s="48"/>
      <c r="D1286" s="10"/>
      <c r="E1286" s="10"/>
      <c r="F1286" s="10"/>
      <c r="G1286" s="10"/>
      <c r="H1286" s="11"/>
      <c r="I1286" s="10"/>
      <c r="J1286" s="8"/>
      <c r="K1286" s="8"/>
      <c r="L1286" s="8"/>
      <c r="M1286" s="8"/>
      <c r="N1286" s="8"/>
    </row>
    <row r="1287" spans="1:14" ht="21" customHeight="1">
      <c r="A1287" s="9" t="s">
        <v>1582</v>
      </c>
      <c r="B1287" s="48"/>
      <c r="C1287" s="48"/>
      <c r="D1287" s="10"/>
      <c r="E1287" s="10"/>
      <c r="F1287" s="10"/>
      <c r="G1287" s="10"/>
      <c r="H1287" s="11"/>
      <c r="I1287" s="10"/>
      <c r="J1287" s="8"/>
      <c r="K1287" s="8"/>
      <c r="L1287" s="8"/>
      <c r="M1287" s="8"/>
      <c r="N1287" s="8"/>
    </row>
    <row r="1288" spans="1:14" ht="21" customHeight="1">
      <c r="A1288" s="9" t="s">
        <v>1583</v>
      </c>
      <c r="B1288" s="48"/>
      <c r="C1288" s="48"/>
      <c r="D1288" s="10"/>
      <c r="E1288" s="10"/>
      <c r="F1288" s="10"/>
      <c r="G1288" s="10"/>
      <c r="H1288" s="11"/>
      <c r="I1288" s="10"/>
      <c r="J1288" s="8"/>
      <c r="K1288" s="8"/>
      <c r="L1288" s="8"/>
      <c r="M1288" s="8"/>
      <c r="N1288" s="8"/>
    </row>
    <row r="1289" spans="1:14" ht="21" customHeight="1">
      <c r="A1289" s="9" t="s">
        <v>1584</v>
      </c>
      <c r="B1289" s="48"/>
      <c r="C1289" s="48"/>
      <c r="D1289" s="10"/>
      <c r="E1289" s="10"/>
      <c r="F1289" s="10"/>
      <c r="G1289" s="10"/>
      <c r="H1289" s="11"/>
      <c r="I1289" s="10"/>
      <c r="J1289" s="8"/>
      <c r="K1289" s="8"/>
      <c r="L1289" s="8"/>
      <c r="M1289" s="8"/>
      <c r="N1289" s="8"/>
    </row>
    <row r="1290" spans="1:14" ht="21" customHeight="1">
      <c r="A1290" s="9" t="s">
        <v>1585</v>
      </c>
      <c r="B1290" s="48"/>
      <c r="C1290" s="48"/>
      <c r="D1290" s="10"/>
      <c r="E1290" s="10"/>
      <c r="F1290" s="10"/>
      <c r="G1290" s="10"/>
      <c r="H1290" s="11"/>
      <c r="I1290" s="10"/>
      <c r="J1290" s="8"/>
      <c r="K1290" s="8"/>
      <c r="L1290" s="8"/>
      <c r="M1290" s="8"/>
      <c r="N1290" s="8"/>
    </row>
    <row r="1291" spans="1:14" ht="21" customHeight="1">
      <c r="A1291" s="9" t="s">
        <v>1586</v>
      </c>
      <c r="B1291" s="48"/>
      <c r="C1291" s="48"/>
      <c r="D1291" s="10"/>
      <c r="E1291" s="10"/>
      <c r="F1291" s="10"/>
      <c r="G1291" s="10"/>
      <c r="H1291" s="11"/>
      <c r="I1291" s="10"/>
      <c r="J1291" s="8"/>
      <c r="K1291" s="8"/>
      <c r="L1291" s="8"/>
      <c r="M1291" s="8"/>
      <c r="N1291" s="8"/>
    </row>
    <row r="1292" spans="1:14" ht="21" customHeight="1">
      <c r="A1292" s="9" t="s">
        <v>1587</v>
      </c>
      <c r="B1292" s="48"/>
      <c r="C1292" s="48"/>
      <c r="D1292" s="10"/>
      <c r="E1292" s="10"/>
      <c r="F1292" s="10"/>
      <c r="G1292" s="10"/>
      <c r="H1292" s="11"/>
      <c r="I1292" s="10"/>
      <c r="J1292" s="8"/>
      <c r="K1292" s="8"/>
      <c r="L1292" s="8"/>
      <c r="M1292" s="8"/>
      <c r="N1292" s="8"/>
    </row>
    <row r="1293" spans="1:14" ht="21" customHeight="1">
      <c r="A1293" s="9" t="s">
        <v>1588</v>
      </c>
      <c r="B1293" s="48"/>
      <c r="C1293" s="48"/>
      <c r="D1293" s="10"/>
      <c r="E1293" s="10"/>
      <c r="F1293" s="10"/>
      <c r="G1293" s="10"/>
      <c r="H1293" s="11"/>
      <c r="I1293" s="10"/>
      <c r="J1293" s="8"/>
      <c r="K1293" s="8"/>
      <c r="L1293" s="8"/>
      <c r="M1293" s="8"/>
      <c r="N1293" s="8"/>
    </row>
    <row r="1294" spans="1:14" ht="21" customHeight="1">
      <c r="A1294" s="9" t="s">
        <v>1589</v>
      </c>
      <c r="B1294" s="48"/>
      <c r="C1294" s="48"/>
      <c r="D1294" s="10"/>
      <c r="E1294" s="10"/>
      <c r="F1294" s="10"/>
      <c r="G1294" s="10"/>
      <c r="H1294" s="11"/>
      <c r="I1294" s="10"/>
      <c r="J1294" s="8"/>
      <c r="K1294" s="8"/>
      <c r="L1294" s="8"/>
      <c r="M1294" s="8"/>
      <c r="N1294" s="8"/>
    </row>
    <row r="1295" spans="1:14" ht="21" customHeight="1">
      <c r="A1295" s="9" t="s">
        <v>1590</v>
      </c>
      <c r="B1295" s="48"/>
      <c r="C1295" s="48"/>
      <c r="D1295" s="10"/>
      <c r="E1295" s="10"/>
      <c r="F1295" s="10"/>
      <c r="G1295" s="10"/>
      <c r="H1295" s="11"/>
      <c r="I1295" s="10"/>
      <c r="J1295" s="8"/>
      <c r="K1295" s="8"/>
      <c r="L1295" s="8"/>
      <c r="M1295" s="8"/>
      <c r="N1295" s="8"/>
    </row>
    <row r="1296" spans="1:14" ht="21" customHeight="1">
      <c r="A1296" s="9" t="s">
        <v>1591</v>
      </c>
      <c r="B1296" s="48"/>
      <c r="C1296" s="48"/>
      <c r="D1296" s="10"/>
      <c r="E1296" s="10"/>
      <c r="F1296" s="10"/>
      <c r="G1296" s="10"/>
      <c r="H1296" s="11"/>
      <c r="I1296" s="10"/>
      <c r="J1296" s="8"/>
      <c r="K1296" s="8"/>
      <c r="L1296" s="8"/>
      <c r="M1296" s="8"/>
      <c r="N1296" s="8"/>
    </row>
    <row r="1297" spans="1:14" ht="21" customHeight="1">
      <c r="A1297" s="9" t="s">
        <v>1592</v>
      </c>
      <c r="B1297" s="48"/>
      <c r="C1297" s="48"/>
      <c r="D1297" s="10"/>
      <c r="E1297" s="10"/>
      <c r="F1297" s="10"/>
      <c r="G1297" s="10"/>
      <c r="H1297" s="11"/>
      <c r="I1297" s="10"/>
      <c r="J1297" s="8"/>
      <c r="K1297" s="8"/>
      <c r="L1297" s="8"/>
      <c r="M1297" s="8"/>
      <c r="N1297" s="8"/>
    </row>
    <row r="1298" spans="1:14" ht="21" customHeight="1">
      <c r="A1298" s="9" t="s">
        <v>1593</v>
      </c>
      <c r="B1298" s="48"/>
      <c r="C1298" s="48"/>
      <c r="D1298" s="10"/>
      <c r="E1298" s="10"/>
      <c r="F1298" s="10"/>
      <c r="G1298" s="10"/>
      <c r="H1298" s="11"/>
      <c r="I1298" s="10"/>
      <c r="J1298" s="8"/>
      <c r="K1298" s="8"/>
      <c r="L1298" s="8"/>
      <c r="M1298" s="8"/>
      <c r="N1298" s="8"/>
    </row>
    <row r="1299" spans="1:14" ht="21" customHeight="1">
      <c r="A1299" s="9" t="s">
        <v>1594</v>
      </c>
      <c r="B1299" s="48"/>
      <c r="C1299" s="48"/>
      <c r="D1299" s="10"/>
      <c r="E1299" s="10"/>
      <c r="F1299" s="10"/>
      <c r="G1299" s="10"/>
      <c r="H1299" s="11"/>
      <c r="I1299" s="10"/>
      <c r="J1299" s="8"/>
      <c r="K1299" s="8"/>
      <c r="L1299" s="8"/>
      <c r="M1299" s="8"/>
      <c r="N1299" s="8"/>
    </row>
    <row r="1300" spans="1:14" ht="21" customHeight="1">
      <c r="A1300" s="9" t="s">
        <v>1595</v>
      </c>
      <c r="B1300" s="48"/>
      <c r="C1300" s="48"/>
      <c r="D1300" s="10"/>
      <c r="E1300" s="10"/>
      <c r="F1300" s="10"/>
      <c r="G1300" s="10"/>
      <c r="H1300" s="11"/>
      <c r="I1300" s="10"/>
      <c r="J1300" s="8"/>
      <c r="K1300" s="8"/>
      <c r="L1300" s="8"/>
      <c r="M1300" s="8"/>
      <c r="N1300" s="8"/>
    </row>
    <row r="1301" spans="1:14" ht="21" customHeight="1">
      <c r="A1301" s="9" t="s">
        <v>1596</v>
      </c>
      <c r="B1301" s="48"/>
      <c r="C1301" s="48"/>
      <c r="D1301" s="10"/>
      <c r="E1301" s="10"/>
      <c r="F1301" s="10"/>
      <c r="G1301" s="10"/>
      <c r="H1301" s="11"/>
      <c r="I1301" s="10"/>
      <c r="J1301" s="8"/>
      <c r="K1301" s="8"/>
      <c r="L1301" s="8"/>
      <c r="M1301" s="8"/>
      <c r="N1301" s="8"/>
    </row>
    <row r="1302" spans="1:14" ht="21" customHeight="1">
      <c r="A1302" s="9" t="s">
        <v>1597</v>
      </c>
      <c r="B1302" s="48"/>
      <c r="C1302" s="48"/>
      <c r="D1302" s="10"/>
      <c r="E1302" s="10"/>
      <c r="F1302" s="10"/>
      <c r="G1302" s="10"/>
      <c r="H1302" s="11"/>
      <c r="I1302" s="10"/>
      <c r="J1302" s="8"/>
      <c r="K1302" s="8"/>
      <c r="L1302" s="8"/>
      <c r="M1302" s="8"/>
      <c r="N1302" s="8"/>
    </row>
    <row r="1303" spans="1:14" ht="21" customHeight="1">
      <c r="A1303" s="9" t="s">
        <v>1598</v>
      </c>
      <c r="B1303" s="48"/>
      <c r="C1303" s="48"/>
      <c r="D1303" s="10"/>
      <c r="E1303" s="10"/>
      <c r="F1303" s="10"/>
      <c r="G1303" s="10"/>
      <c r="H1303" s="11"/>
      <c r="I1303" s="10"/>
      <c r="J1303" s="8"/>
      <c r="K1303" s="8"/>
      <c r="L1303" s="8"/>
      <c r="M1303" s="8"/>
      <c r="N1303" s="8"/>
    </row>
    <row r="1304" spans="1:14" ht="21" customHeight="1">
      <c r="A1304" s="9" t="s">
        <v>1599</v>
      </c>
      <c r="B1304" s="48"/>
      <c r="C1304" s="48"/>
      <c r="D1304" s="10"/>
      <c r="E1304" s="10"/>
      <c r="F1304" s="10"/>
      <c r="G1304" s="10"/>
      <c r="H1304" s="11"/>
      <c r="I1304" s="10"/>
      <c r="J1304" s="8"/>
      <c r="K1304" s="8"/>
      <c r="L1304" s="8"/>
      <c r="M1304" s="8"/>
      <c r="N1304" s="8"/>
    </row>
    <row r="1305" spans="1:14" ht="21" customHeight="1">
      <c r="A1305" s="9" t="s">
        <v>1600</v>
      </c>
      <c r="B1305" s="48"/>
      <c r="C1305" s="48"/>
      <c r="D1305" s="10"/>
      <c r="E1305" s="10"/>
      <c r="F1305" s="10"/>
      <c r="G1305" s="10"/>
      <c r="H1305" s="11"/>
      <c r="I1305" s="10"/>
      <c r="J1305" s="8"/>
      <c r="K1305" s="8"/>
      <c r="L1305" s="8"/>
      <c r="M1305" s="8"/>
      <c r="N1305" s="8"/>
    </row>
    <row r="1306" spans="1:14" ht="21" customHeight="1">
      <c r="A1306" s="9" t="s">
        <v>1601</v>
      </c>
      <c r="B1306" s="48"/>
      <c r="C1306" s="48"/>
      <c r="D1306" s="10"/>
      <c r="E1306" s="10"/>
      <c r="F1306" s="10"/>
      <c r="G1306" s="10"/>
      <c r="H1306" s="11"/>
      <c r="I1306" s="10"/>
      <c r="J1306" s="8"/>
      <c r="K1306" s="8"/>
      <c r="L1306" s="8"/>
      <c r="M1306" s="8"/>
      <c r="N1306" s="8"/>
    </row>
    <row r="1307" spans="1:14" ht="21" customHeight="1">
      <c r="A1307" s="9" t="s">
        <v>1602</v>
      </c>
      <c r="B1307" s="48"/>
      <c r="C1307" s="48"/>
      <c r="D1307" s="10"/>
      <c r="E1307" s="10"/>
      <c r="F1307" s="10"/>
      <c r="G1307" s="10"/>
      <c r="H1307" s="11"/>
      <c r="I1307" s="10"/>
      <c r="J1307" s="8"/>
      <c r="K1307" s="8"/>
      <c r="L1307" s="8"/>
      <c r="M1307" s="8"/>
      <c r="N1307" s="8"/>
    </row>
    <row r="1308" spans="1:14" ht="21" customHeight="1">
      <c r="A1308" s="9" t="s">
        <v>1603</v>
      </c>
      <c r="B1308" s="48"/>
      <c r="C1308" s="48"/>
      <c r="D1308" s="10"/>
      <c r="E1308" s="10"/>
      <c r="F1308" s="10"/>
      <c r="G1308" s="10"/>
      <c r="H1308" s="11"/>
      <c r="I1308" s="10"/>
      <c r="J1308" s="8"/>
      <c r="K1308" s="8"/>
      <c r="L1308" s="8"/>
      <c r="M1308" s="8"/>
      <c r="N1308" s="8"/>
    </row>
    <row r="1309" spans="1:14" ht="21" customHeight="1">
      <c r="A1309" s="9" t="s">
        <v>1604</v>
      </c>
      <c r="B1309" s="48"/>
      <c r="C1309" s="48"/>
      <c r="D1309" s="10"/>
      <c r="E1309" s="10"/>
      <c r="F1309" s="10"/>
      <c r="G1309" s="10"/>
      <c r="H1309" s="11"/>
      <c r="I1309" s="10"/>
      <c r="J1309" s="8"/>
      <c r="K1309" s="8"/>
      <c r="L1309" s="8"/>
      <c r="M1309" s="8"/>
      <c r="N1309" s="8"/>
    </row>
    <row r="1310" spans="1:14" ht="21" customHeight="1">
      <c r="A1310" s="9" t="s">
        <v>1605</v>
      </c>
      <c r="B1310" s="48"/>
      <c r="C1310" s="48"/>
      <c r="D1310" s="10"/>
      <c r="E1310" s="10"/>
      <c r="F1310" s="10"/>
      <c r="G1310" s="10"/>
      <c r="H1310" s="11"/>
      <c r="I1310" s="10"/>
      <c r="J1310" s="8"/>
      <c r="K1310" s="8"/>
      <c r="L1310" s="8"/>
      <c r="M1310" s="8"/>
      <c r="N1310" s="8"/>
    </row>
    <row r="1311" spans="1:14" ht="21" customHeight="1">
      <c r="A1311" s="9" t="s">
        <v>1606</v>
      </c>
      <c r="B1311" s="48"/>
      <c r="C1311" s="48"/>
      <c r="D1311" s="10"/>
      <c r="E1311" s="10"/>
      <c r="F1311" s="10"/>
      <c r="G1311" s="10"/>
      <c r="H1311" s="11"/>
      <c r="I1311" s="10"/>
      <c r="J1311" s="8"/>
      <c r="K1311" s="8"/>
      <c r="L1311" s="8"/>
      <c r="M1311" s="8"/>
      <c r="N1311" s="8"/>
    </row>
    <row r="1312" spans="1:14" ht="21" customHeight="1">
      <c r="A1312" s="9" t="s">
        <v>1607</v>
      </c>
      <c r="B1312" s="48"/>
      <c r="C1312" s="48"/>
      <c r="D1312" s="10"/>
      <c r="E1312" s="10"/>
      <c r="F1312" s="10"/>
      <c r="G1312" s="10"/>
      <c r="H1312" s="11"/>
      <c r="I1312" s="10"/>
      <c r="J1312" s="8"/>
      <c r="K1312" s="8"/>
      <c r="L1312" s="8"/>
      <c r="M1312" s="8"/>
      <c r="N1312" s="8"/>
    </row>
    <row r="1313" spans="1:14" ht="21" customHeight="1">
      <c r="A1313" s="9" t="s">
        <v>1608</v>
      </c>
      <c r="B1313" s="48"/>
      <c r="C1313" s="48"/>
      <c r="D1313" s="10"/>
      <c r="E1313" s="10"/>
      <c r="F1313" s="10"/>
      <c r="G1313" s="10"/>
      <c r="H1313" s="11"/>
      <c r="I1313" s="10"/>
      <c r="J1313" s="8"/>
      <c r="K1313" s="8"/>
      <c r="L1313" s="8"/>
      <c r="M1313" s="8"/>
      <c r="N1313" s="8"/>
    </row>
    <row r="1314" spans="1:14" ht="21" customHeight="1">
      <c r="A1314" s="9" t="s">
        <v>1609</v>
      </c>
      <c r="B1314" s="48"/>
      <c r="C1314" s="48"/>
      <c r="D1314" s="10"/>
      <c r="E1314" s="10"/>
      <c r="F1314" s="10"/>
      <c r="G1314" s="10"/>
      <c r="H1314" s="11"/>
      <c r="I1314" s="10"/>
      <c r="J1314" s="8"/>
      <c r="K1314" s="8"/>
      <c r="L1314" s="8"/>
      <c r="M1314" s="8"/>
      <c r="N1314" s="8"/>
    </row>
    <row r="1315" spans="1:14" ht="21" customHeight="1">
      <c r="A1315" s="9" t="s">
        <v>1610</v>
      </c>
      <c r="B1315" s="48"/>
      <c r="C1315" s="48"/>
      <c r="D1315" s="10"/>
      <c r="E1315" s="10"/>
      <c r="F1315" s="10"/>
      <c r="G1315" s="10"/>
      <c r="H1315" s="11"/>
      <c r="I1315" s="10"/>
      <c r="J1315" s="8"/>
      <c r="K1315" s="8"/>
      <c r="L1315" s="8"/>
      <c r="M1315" s="8"/>
      <c r="N1315" s="8"/>
    </row>
    <row r="1316" spans="1:14" ht="21" customHeight="1">
      <c r="A1316" s="9" t="s">
        <v>1611</v>
      </c>
      <c r="B1316" s="48"/>
      <c r="C1316" s="48"/>
      <c r="D1316" s="10"/>
      <c r="E1316" s="10"/>
      <c r="F1316" s="10"/>
      <c r="G1316" s="10"/>
      <c r="H1316" s="11"/>
      <c r="I1316" s="10"/>
      <c r="J1316" s="8"/>
      <c r="K1316" s="8"/>
      <c r="L1316" s="8"/>
      <c r="M1316" s="8"/>
      <c r="N1316" s="8"/>
    </row>
    <row r="1317" spans="1:14" ht="21" customHeight="1">
      <c r="A1317" s="9" t="s">
        <v>1612</v>
      </c>
      <c r="B1317" s="48"/>
      <c r="C1317" s="48"/>
      <c r="D1317" s="10"/>
      <c r="E1317" s="10"/>
      <c r="F1317" s="10"/>
      <c r="G1317" s="10"/>
      <c r="H1317" s="11"/>
      <c r="I1317" s="10"/>
      <c r="J1317" s="8"/>
      <c r="K1317" s="8"/>
      <c r="L1317" s="8"/>
      <c r="M1317" s="8"/>
      <c r="N1317" s="8"/>
    </row>
    <row r="1318" spans="1:14" ht="21" customHeight="1">
      <c r="A1318" s="9" t="s">
        <v>1613</v>
      </c>
      <c r="B1318" s="48"/>
      <c r="C1318" s="48"/>
      <c r="D1318" s="10"/>
      <c r="E1318" s="10"/>
      <c r="F1318" s="10"/>
      <c r="G1318" s="10"/>
      <c r="H1318" s="11"/>
      <c r="I1318" s="10"/>
      <c r="J1318" s="8"/>
      <c r="K1318" s="8"/>
      <c r="L1318" s="8"/>
      <c r="M1318" s="8"/>
      <c r="N1318" s="8"/>
    </row>
    <row r="1319" spans="1:14" ht="21" customHeight="1">
      <c r="A1319" s="9" t="s">
        <v>1614</v>
      </c>
      <c r="B1319" s="48"/>
      <c r="C1319" s="48"/>
      <c r="D1319" s="10"/>
      <c r="E1319" s="10"/>
      <c r="F1319" s="10"/>
      <c r="G1319" s="10"/>
      <c r="H1319" s="11"/>
      <c r="I1319" s="10"/>
      <c r="J1319" s="8"/>
      <c r="K1319" s="8"/>
      <c r="L1319" s="8"/>
      <c r="M1319" s="8"/>
      <c r="N1319" s="8"/>
    </row>
    <row r="1320" spans="1:14" ht="21" customHeight="1">
      <c r="A1320" s="9" t="s">
        <v>1615</v>
      </c>
      <c r="B1320" s="48"/>
      <c r="C1320" s="48"/>
      <c r="D1320" s="10"/>
      <c r="E1320" s="10"/>
      <c r="F1320" s="10"/>
      <c r="G1320" s="10"/>
      <c r="H1320" s="11"/>
      <c r="I1320" s="10"/>
      <c r="J1320" s="8"/>
      <c r="K1320" s="8"/>
      <c r="L1320" s="8"/>
      <c r="M1320" s="8"/>
      <c r="N1320" s="8"/>
    </row>
    <row r="1321" spans="1:14" ht="21" customHeight="1">
      <c r="A1321" s="9" t="s">
        <v>1616</v>
      </c>
      <c r="B1321" s="48"/>
      <c r="C1321" s="48"/>
      <c r="D1321" s="10"/>
      <c r="E1321" s="10"/>
      <c r="F1321" s="10"/>
      <c r="G1321" s="10"/>
      <c r="H1321" s="11"/>
      <c r="I1321" s="10"/>
      <c r="J1321" s="8"/>
      <c r="K1321" s="8"/>
      <c r="L1321" s="8"/>
      <c r="M1321" s="8"/>
      <c r="N1321" s="8"/>
    </row>
    <row r="1322" spans="1:14" ht="21" customHeight="1">
      <c r="A1322" s="9" t="s">
        <v>1617</v>
      </c>
      <c r="B1322" s="48"/>
      <c r="C1322" s="48"/>
      <c r="D1322" s="10"/>
      <c r="E1322" s="10"/>
      <c r="F1322" s="10"/>
      <c r="G1322" s="10"/>
      <c r="H1322" s="11"/>
      <c r="I1322" s="10"/>
      <c r="J1322" s="8"/>
      <c r="K1322" s="8"/>
      <c r="L1322" s="8"/>
      <c r="M1322" s="8"/>
      <c r="N1322" s="8"/>
    </row>
    <row r="1323" spans="1:14" ht="21" customHeight="1">
      <c r="A1323" s="9" t="s">
        <v>1618</v>
      </c>
      <c r="B1323" s="48"/>
      <c r="C1323" s="48"/>
      <c r="D1323" s="10"/>
      <c r="E1323" s="10"/>
      <c r="F1323" s="10"/>
      <c r="G1323" s="10"/>
      <c r="H1323" s="11"/>
      <c r="I1323" s="10"/>
      <c r="J1323" s="8"/>
      <c r="K1323" s="8"/>
      <c r="L1323" s="8"/>
      <c r="M1323" s="8"/>
      <c r="N1323" s="8"/>
    </row>
    <row r="1324" spans="1:14" ht="21" customHeight="1">
      <c r="A1324" s="9" t="s">
        <v>1619</v>
      </c>
      <c r="B1324" s="48"/>
      <c r="C1324" s="48"/>
      <c r="D1324" s="10"/>
      <c r="E1324" s="10"/>
      <c r="F1324" s="10"/>
      <c r="G1324" s="10"/>
      <c r="H1324" s="11"/>
      <c r="I1324" s="10"/>
      <c r="J1324" s="8"/>
      <c r="K1324" s="8"/>
      <c r="L1324" s="8"/>
      <c r="M1324" s="8"/>
      <c r="N1324" s="8"/>
    </row>
    <row r="1325" spans="1:14" ht="21" customHeight="1">
      <c r="A1325" s="9" t="s">
        <v>1620</v>
      </c>
      <c r="B1325" s="48"/>
      <c r="C1325" s="48"/>
      <c r="D1325" s="10"/>
      <c r="E1325" s="10"/>
      <c r="F1325" s="10"/>
      <c r="G1325" s="10"/>
      <c r="H1325" s="11"/>
      <c r="I1325" s="10"/>
      <c r="J1325" s="8"/>
      <c r="K1325" s="8"/>
      <c r="L1325" s="8"/>
      <c r="M1325" s="8"/>
      <c r="N1325" s="8"/>
    </row>
    <row r="1326" spans="1:14" ht="21" customHeight="1">
      <c r="A1326" s="9" t="s">
        <v>1621</v>
      </c>
      <c r="B1326" s="48"/>
      <c r="C1326" s="48"/>
      <c r="D1326" s="10"/>
      <c r="E1326" s="10"/>
      <c r="F1326" s="10"/>
      <c r="G1326" s="10"/>
      <c r="H1326" s="11"/>
      <c r="I1326" s="10"/>
      <c r="J1326" s="8"/>
      <c r="K1326" s="8"/>
      <c r="L1326" s="8"/>
      <c r="M1326" s="8"/>
      <c r="N1326" s="8"/>
    </row>
    <row r="1327" spans="1:14" ht="21" customHeight="1">
      <c r="A1327" s="9" t="s">
        <v>1622</v>
      </c>
      <c r="B1327" s="48"/>
      <c r="C1327" s="48"/>
      <c r="D1327" s="10"/>
      <c r="E1327" s="10"/>
      <c r="F1327" s="10"/>
      <c r="G1327" s="10"/>
      <c r="H1327" s="11"/>
      <c r="I1327" s="10"/>
      <c r="J1327" s="8"/>
      <c r="K1327" s="8"/>
      <c r="L1327" s="8"/>
      <c r="M1327" s="8"/>
      <c r="N1327" s="8"/>
    </row>
    <row r="1328" spans="1:14" ht="21" customHeight="1">
      <c r="A1328" s="9" t="s">
        <v>1623</v>
      </c>
      <c r="B1328" s="48"/>
      <c r="C1328" s="48"/>
      <c r="D1328" s="10"/>
      <c r="E1328" s="10"/>
      <c r="F1328" s="10"/>
      <c r="G1328" s="10"/>
      <c r="H1328" s="11"/>
      <c r="I1328" s="10"/>
      <c r="J1328" s="8"/>
      <c r="K1328" s="8"/>
      <c r="L1328" s="8"/>
      <c r="M1328" s="8"/>
      <c r="N1328" s="8"/>
    </row>
    <row r="1329" spans="1:14" ht="21" customHeight="1">
      <c r="A1329" s="9" t="s">
        <v>1624</v>
      </c>
      <c r="B1329" s="48"/>
      <c r="C1329" s="48"/>
      <c r="D1329" s="10"/>
      <c r="E1329" s="10"/>
      <c r="F1329" s="10"/>
      <c r="G1329" s="10"/>
      <c r="H1329" s="11"/>
      <c r="I1329" s="10"/>
      <c r="J1329" s="8"/>
      <c r="K1329" s="8"/>
      <c r="L1329" s="8"/>
      <c r="M1329" s="8"/>
      <c r="N1329" s="8"/>
    </row>
    <row r="1330" spans="1:14" ht="21" customHeight="1">
      <c r="A1330" s="9" t="s">
        <v>1625</v>
      </c>
      <c r="B1330" s="48"/>
      <c r="C1330" s="48"/>
      <c r="D1330" s="10"/>
      <c r="E1330" s="10"/>
      <c r="F1330" s="10"/>
      <c r="G1330" s="10"/>
      <c r="H1330" s="11"/>
      <c r="I1330" s="10"/>
      <c r="J1330" s="8"/>
      <c r="K1330" s="8"/>
      <c r="L1330" s="8"/>
      <c r="M1330" s="8"/>
      <c r="N1330" s="8"/>
    </row>
    <row r="1331" spans="1:14" ht="21" customHeight="1">
      <c r="A1331" s="9" t="s">
        <v>1626</v>
      </c>
      <c r="B1331" s="48"/>
      <c r="C1331" s="48"/>
      <c r="D1331" s="10"/>
      <c r="E1331" s="10"/>
      <c r="F1331" s="10"/>
      <c r="G1331" s="10"/>
      <c r="H1331" s="11"/>
      <c r="I1331" s="10"/>
      <c r="J1331" s="8"/>
      <c r="K1331" s="8"/>
      <c r="L1331" s="8"/>
      <c r="M1331" s="8"/>
      <c r="N1331" s="8"/>
    </row>
    <row r="1332" spans="1:14" ht="21" customHeight="1">
      <c r="A1332" s="9" t="s">
        <v>1627</v>
      </c>
      <c r="B1332" s="48"/>
      <c r="C1332" s="48"/>
      <c r="D1332" s="10"/>
      <c r="E1332" s="10"/>
      <c r="F1332" s="10"/>
      <c r="G1332" s="10"/>
      <c r="H1332" s="11"/>
      <c r="I1332" s="10"/>
      <c r="J1332" s="8"/>
      <c r="K1332" s="8"/>
      <c r="L1332" s="8"/>
      <c r="M1332" s="8"/>
      <c r="N1332" s="8"/>
    </row>
    <row r="1333" spans="1:14" ht="21" customHeight="1">
      <c r="A1333" s="9" t="s">
        <v>1628</v>
      </c>
      <c r="B1333" s="48"/>
      <c r="C1333" s="48"/>
      <c r="D1333" s="10"/>
      <c r="E1333" s="10"/>
      <c r="F1333" s="10"/>
      <c r="G1333" s="10"/>
      <c r="H1333" s="11"/>
      <c r="I1333" s="10"/>
      <c r="J1333" s="8"/>
      <c r="K1333" s="8"/>
      <c r="L1333" s="8"/>
      <c r="M1333" s="8"/>
      <c r="N1333" s="8"/>
    </row>
    <row r="1334" spans="1:14" ht="21" customHeight="1">
      <c r="A1334" s="9" t="s">
        <v>1629</v>
      </c>
      <c r="B1334" s="48"/>
      <c r="C1334" s="48"/>
      <c r="D1334" s="10"/>
      <c r="E1334" s="10"/>
      <c r="F1334" s="10"/>
      <c r="G1334" s="10"/>
      <c r="H1334" s="11"/>
      <c r="I1334" s="10"/>
      <c r="J1334" s="8"/>
      <c r="K1334" s="8"/>
      <c r="L1334" s="8"/>
      <c r="M1334" s="8"/>
      <c r="N1334" s="8"/>
    </row>
    <row r="1335" spans="1:14" ht="21" customHeight="1">
      <c r="A1335" s="9" t="s">
        <v>1630</v>
      </c>
      <c r="B1335" s="48"/>
      <c r="C1335" s="48"/>
      <c r="D1335" s="10"/>
      <c r="E1335" s="10"/>
      <c r="F1335" s="10"/>
      <c r="G1335" s="10"/>
      <c r="H1335" s="11"/>
      <c r="I1335" s="10"/>
      <c r="J1335" s="8"/>
      <c r="K1335" s="8"/>
      <c r="L1335" s="8"/>
      <c r="M1335" s="8"/>
      <c r="N1335" s="8"/>
    </row>
    <row r="1336" spans="1:14" ht="21" customHeight="1">
      <c r="A1336" s="9" t="s">
        <v>1631</v>
      </c>
      <c r="B1336" s="48"/>
      <c r="C1336" s="48"/>
      <c r="D1336" s="10"/>
      <c r="E1336" s="10"/>
      <c r="F1336" s="10"/>
      <c r="G1336" s="10"/>
      <c r="H1336" s="11"/>
      <c r="I1336" s="10"/>
      <c r="J1336" s="8"/>
      <c r="K1336" s="8"/>
      <c r="L1336" s="8"/>
      <c r="M1336" s="8"/>
      <c r="N1336" s="8"/>
    </row>
    <row r="1337" spans="1:14" ht="21" customHeight="1">
      <c r="A1337" s="9" t="s">
        <v>1632</v>
      </c>
      <c r="B1337" s="48"/>
      <c r="C1337" s="48"/>
      <c r="D1337" s="10"/>
      <c r="E1337" s="10"/>
      <c r="F1337" s="10"/>
      <c r="G1337" s="10"/>
      <c r="H1337" s="11"/>
      <c r="I1337" s="10"/>
      <c r="J1337" s="8"/>
      <c r="K1337" s="8"/>
      <c r="L1337" s="8"/>
      <c r="M1337" s="8"/>
      <c r="N1337" s="8"/>
    </row>
    <row r="1338" spans="1:14" ht="21" customHeight="1">
      <c r="A1338" s="9" t="s">
        <v>1633</v>
      </c>
      <c r="B1338" s="48"/>
      <c r="C1338" s="48"/>
      <c r="D1338" s="10"/>
      <c r="E1338" s="10"/>
      <c r="F1338" s="10"/>
      <c r="G1338" s="10"/>
      <c r="H1338" s="11"/>
      <c r="I1338" s="10"/>
      <c r="J1338" s="8"/>
      <c r="K1338" s="8"/>
      <c r="L1338" s="8"/>
      <c r="M1338" s="8"/>
      <c r="N1338" s="8"/>
    </row>
    <row r="1339" spans="1:14" ht="21" customHeight="1">
      <c r="A1339" s="9" t="s">
        <v>1634</v>
      </c>
      <c r="B1339" s="48"/>
      <c r="C1339" s="48"/>
      <c r="D1339" s="10"/>
      <c r="E1339" s="10"/>
      <c r="F1339" s="10"/>
      <c r="G1339" s="10"/>
      <c r="H1339" s="11"/>
      <c r="I1339" s="10"/>
      <c r="J1339" s="8"/>
      <c r="K1339" s="8"/>
      <c r="L1339" s="8"/>
      <c r="M1339" s="8"/>
      <c r="N1339" s="8"/>
    </row>
    <row r="1340" spans="1:14" ht="21" customHeight="1">
      <c r="A1340" s="9" t="s">
        <v>1635</v>
      </c>
      <c r="B1340" s="48"/>
      <c r="C1340" s="48"/>
      <c r="D1340" s="10"/>
      <c r="E1340" s="10"/>
      <c r="F1340" s="10"/>
      <c r="G1340" s="10"/>
      <c r="H1340" s="11"/>
      <c r="I1340" s="10"/>
      <c r="J1340" s="8"/>
      <c r="K1340" s="8"/>
      <c r="L1340" s="8"/>
      <c r="M1340" s="8"/>
      <c r="N1340" s="8"/>
    </row>
    <row r="1341" spans="1:14" ht="21" customHeight="1">
      <c r="A1341" s="9" t="s">
        <v>1636</v>
      </c>
      <c r="B1341" s="48"/>
      <c r="C1341" s="48"/>
      <c r="D1341" s="10"/>
      <c r="E1341" s="10"/>
      <c r="F1341" s="10"/>
      <c r="G1341" s="10"/>
      <c r="H1341" s="11"/>
      <c r="I1341" s="10"/>
      <c r="J1341" s="8"/>
      <c r="K1341" s="8"/>
      <c r="L1341" s="8"/>
      <c r="M1341" s="8"/>
      <c r="N1341" s="8"/>
    </row>
    <row r="1342" spans="1:14" ht="21" customHeight="1">
      <c r="A1342" s="9" t="s">
        <v>1637</v>
      </c>
      <c r="B1342" s="48"/>
      <c r="C1342" s="48"/>
      <c r="D1342" s="10"/>
      <c r="E1342" s="10"/>
      <c r="F1342" s="10"/>
      <c r="G1342" s="10"/>
      <c r="H1342" s="11"/>
      <c r="I1342" s="10"/>
      <c r="J1342" s="8"/>
      <c r="K1342" s="8"/>
      <c r="L1342" s="8"/>
      <c r="M1342" s="8"/>
      <c r="N1342" s="8"/>
    </row>
    <row r="1343" spans="1:14" ht="21" customHeight="1">
      <c r="A1343" s="9" t="s">
        <v>1638</v>
      </c>
      <c r="B1343" s="48"/>
      <c r="C1343" s="48"/>
      <c r="D1343" s="10"/>
      <c r="E1343" s="10"/>
      <c r="F1343" s="10"/>
      <c r="G1343" s="10"/>
      <c r="H1343" s="11"/>
      <c r="I1343" s="10"/>
      <c r="J1343" s="8"/>
      <c r="K1343" s="8"/>
      <c r="L1343" s="8"/>
      <c r="M1343" s="8"/>
      <c r="N1343" s="8"/>
    </row>
    <row r="1344" spans="1:14" ht="21" customHeight="1">
      <c r="A1344" s="9" t="s">
        <v>1639</v>
      </c>
      <c r="B1344" s="48"/>
      <c r="C1344" s="48"/>
      <c r="D1344" s="10"/>
      <c r="E1344" s="10"/>
      <c r="F1344" s="10"/>
      <c r="G1344" s="10"/>
      <c r="H1344" s="11"/>
      <c r="I1344" s="10"/>
      <c r="J1344" s="8"/>
      <c r="K1344" s="8"/>
      <c r="L1344" s="8"/>
      <c r="M1344" s="8"/>
      <c r="N1344" s="8"/>
    </row>
    <row r="1345" spans="1:14" ht="21" customHeight="1">
      <c r="A1345" s="9" t="s">
        <v>1640</v>
      </c>
      <c r="B1345" s="48"/>
      <c r="C1345" s="48"/>
      <c r="D1345" s="10"/>
      <c r="E1345" s="10"/>
      <c r="F1345" s="10"/>
      <c r="G1345" s="10"/>
      <c r="H1345" s="11"/>
      <c r="I1345" s="10"/>
      <c r="J1345" s="8"/>
      <c r="K1345" s="8"/>
      <c r="L1345" s="8"/>
      <c r="M1345" s="8"/>
      <c r="N1345" s="8"/>
    </row>
    <row r="1346" spans="1:14" ht="21" customHeight="1">
      <c r="A1346" s="9" t="s">
        <v>1641</v>
      </c>
      <c r="B1346" s="48"/>
      <c r="C1346" s="48"/>
      <c r="D1346" s="10"/>
      <c r="E1346" s="10"/>
      <c r="F1346" s="10"/>
      <c r="G1346" s="10"/>
      <c r="H1346" s="11"/>
      <c r="I1346" s="10"/>
      <c r="J1346" s="8"/>
      <c r="K1346" s="8"/>
      <c r="L1346" s="8"/>
      <c r="M1346" s="8"/>
      <c r="N1346" s="8"/>
    </row>
    <row r="1347" spans="1:14" ht="21" customHeight="1">
      <c r="A1347" s="9" t="s">
        <v>1642</v>
      </c>
      <c r="B1347" s="48"/>
      <c r="C1347" s="48"/>
      <c r="D1347" s="10"/>
      <c r="E1347" s="10"/>
      <c r="F1347" s="10"/>
      <c r="G1347" s="10"/>
      <c r="H1347" s="11"/>
      <c r="I1347" s="10"/>
      <c r="J1347" s="8"/>
      <c r="K1347" s="8"/>
      <c r="L1347" s="8"/>
      <c r="M1347" s="8"/>
      <c r="N1347" s="8"/>
    </row>
    <row r="1348" spans="1:14" ht="21" customHeight="1">
      <c r="A1348" s="9" t="s">
        <v>1643</v>
      </c>
      <c r="B1348" s="48"/>
      <c r="C1348" s="48"/>
      <c r="D1348" s="10"/>
      <c r="E1348" s="10"/>
      <c r="F1348" s="10"/>
      <c r="G1348" s="10"/>
      <c r="H1348" s="11"/>
      <c r="I1348" s="10"/>
      <c r="J1348" s="8"/>
      <c r="K1348" s="8"/>
      <c r="L1348" s="8"/>
      <c r="M1348" s="8"/>
      <c r="N1348" s="8"/>
    </row>
    <row r="1349" spans="1:14" ht="21" customHeight="1">
      <c r="A1349" s="9" t="s">
        <v>1644</v>
      </c>
      <c r="B1349" s="48"/>
      <c r="C1349" s="48"/>
      <c r="D1349" s="10"/>
      <c r="E1349" s="10"/>
      <c r="F1349" s="10"/>
      <c r="G1349" s="10"/>
      <c r="H1349" s="11"/>
      <c r="I1349" s="10"/>
      <c r="J1349" s="8"/>
      <c r="K1349" s="8"/>
      <c r="L1349" s="8"/>
      <c r="M1349" s="8"/>
      <c r="N1349" s="8"/>
    </row>
    <row r="1350" spans="1:14" ht="21" customHeight="1">
      <c r="A1350" s="9" t="s">
        <v>1645</v>
      </c>
      <c r="B1350" s="48"/>
      <c r="C1350" s="48"/>
      <c r="D1350" s="10"/>
      <c r="E1350" s="10"/>
      <c r="F1350" s="10"/>
      <c r="G1350" s="10"/>
      <c r="H1350" s="11"/>
      <c r="I1350" s="10"/>
      <c r="J1350" s="8"/>
      <c r="K1350" s="8"/>
      <c r="L1350" s="8"/>
      <c r="M1350" s="8"/>
      <c r="N1350" s="8"/>
    </row>
    <row r="1351" spans="1:14" ht="21" customHeight="1">
      <c r="A1351" s="9" t="s">
        <v>1646</v>
      </c>
      <c r="B1351" s="48"/>
      <c r="C1351" s="48"/>
      <c r="D1351" s="10"/>
      <c r="E1351" s="10"/>
      <c r="F1351" s="10"/>
      <c r="G1351" s="10"/>
      <c r="H1351" s="11"/>
      <c r="I1351" s="10"/>
      <c r="J1351" s="8"/>
      <c r="K1351" s="8"/>
      <c r="L1351" s="8"/>
      <c r="M1351" s="8"/>
      <c r="N1351" s="8"/>
    </row>
    <row r="1352" spans="1:14" ht="21" customHeight="1">
      <c r="A1352" s="9" t="s">
        <v>1647</v>
      </c>
      <c r="B1352" s="48"/>
      <c r="C1352" s="48"/>
      <c r="D1352" s="10"/>
      <c r="E1352" s="10"/>
      <c r="F1352" s="10"/>
      <c r="G1352" s="10"/>
      <c r="H1352" s="11"/>
      <c r="I1352" s="10"/>
      <c r="J1352" s="8"/>
      <c r="K1352" s="8"/>
      <c r="L1352" s="8"/>
      <c r="M1352" s="8"/>
      <c r="N1352" s="8"/>
    </row>
    <row r="1353" spans="1:14" ht="21" customHeight="1">
      <c r="A1353" s="9" t="s">
        <v>1648</v>
      </c>
      <c r="B1353" s="48"/>
      <c r="C1353" s="48"/>
      <c r="D1353" s="10"/>
      <c r="E1353" s="10"/>
      <c r="F1353" s="10"/>
      <c r="G1353" s="10"/>
      <c r="H1353" s="11"/>
      <c r="I1353" s="10"/>
      <c r="J1353" s="8"/>
      <c r="K1353" s="8"/>
      <c r="L1353" s="8"/>
      <c r="M1353" s="8"/>
      <c r="N1353" s="8"/>
    </row>
    <row r="1354" spans="1:14" ht="21" customHeight="1">
      <c r="A1354" s="9" t="s">
        <v>1649</v>
      </c>
      <c r="B1354" s="48"/>
      <c r="C1354" s="48"/>
      <c r="D1354" s="10"/>
      <c r="E1354" s="10"/>
      <c r="F1354" s="10"/>
      <c r="G1354" s="10"/>
      <c r="H1354" s="11"/>
      <c r="I1354" s="10"/>
      <c r="J1354" s="8"/>
      <c r="K1354" s="8"/>
      <c r="L1354" s="8"/>
      <c r="M1354" s="8"/>
      <c r="N1354" s="8"/>
    </row>
    <row r="1355" spans="1:14" ht="21" customHeight="1">
      <c r="A1355" s="9" t="s">
        <v>1650</v>
      </c>
      <c r="B1355" s="48"/>
      <c r="C1355" s="48"/>
      <c r="D1355" s="10"/>
      <c r="E1355" s="10"/>
      <c r="F1355" s="10"/>
      <c r="G1355" s="10"/>
      <c r="H1355" s="11"/>
      <c r="I1355" s="10"/>
      <c r="J1355" s="8"/>
      <c r="K1355" s="8"/>
      <c r="L1355" s="8"/>
      <c r="M1355" s="8"/>
      <c r="N1355" s="8"/>
    </row>
    <row r="1356" spans="1:14" ht="21" customHeight="1">
      <c r="A1356" s="9" t="s">
        <v>1651</v>
      </c>
      <c r="B1356" s="48"/>
      <c r="C1356" s="48"/>
      <c r="D1356" s="10"/>
      <c r="E1356" s="10"/>
      <c r="F1356" s="10"/>
      <c r="G1356" s="10"/>
      <c r="H1356" s="11"/>
      <c r="I1356" s="10"/>
      <c r="J1356" s="8"/>
      <c r="K1356" s="8"/>
      <c r="L1356" s="8"/>
      <c r="M1356" s="8"/>
      <c r="N1356" s="8"/>
    </row>
    <row r="1357" spans="1:14" ht="21" customHeight="1">
      <c r="A1357" s="9" t="s">
        <v>1652</v>
      </c>
      <c r="B1357" s="48"/>
      <c r="C1357" s="48"/>
      <c r="D1357" s="10"/>
      <c r="E1357" s="10"/>
      <c r="F1357" s="10"/>
      <c r="G1357" s="10"/>
      <c r="H1357" s="11"/>
      <c r="I1357" s="10"/>
      <c r="J1357" s="8"/>
      <c r="K1357" s="8"/>
      <c r="L1357" s="8"/>
      <c r="M1357" s="8"/>
      <c r="N1357" s="8"/>
    </row>
    <row r="1358" spans="1:14" ht="21" customHeight="1">
      <c r="A1358" s="9" t="s">
        <v>1653</v>
      </c>
      <c r="B1358" s="48"/>
      <c r="C1358" s="48"/>
      <c r="D1358" s="10"/>
      <c r="E1358" s="10"/>
      <c r="F1358" s="10"/>
      <c r="G1358" s="10"/>
      <c r="H1358" s="11"/>
      <c r="I1358" s="10"/>
      <c r="J1358" s="8"/>
      <c r="K1358" s="8"/>
      <c r="L1358" s="8"/>
      <c r="M1358" s="8"/>
      <c r="N1358" s="8"/>
    </row>
    <row r="1359" spans="1:14" ht="21" customHeight="1">
      <c r="A1359" s="9" t="s">
        <v>1654</v>
      </c>
      <c r="B1359" s="48"/>
      <c r="C1359" s="48"/>
      <c r="D1359" s="10"/>
      <c r="E1359" s="10"/>
      <c r="F1359" s="10"/>
      <c r="G1359" s="10"/>
      <c r="H1359" s="11"/>
      <c r="I1359" s="10"/>
      <c r="J1359" s="8"/>
      <c r="K1359" s="8"/>
      <c r="L1359" s="8"/>
      <c r="M1359" s="8"/>
      <c r="N1359" s="8"/>
    </row>
    <row r="1360" spans="1:14" ht="21" customHeight="1">
      <c r="A1360" s="9" t="s">
        <v>1655</v>
      </c>
      <c r="B1360" s="48"/>
      <c r="C1360" s="48"/>
      <c r="D1360" s="10"/>
      <c r="E1360" s="10"/>
      <c r="F1360" s="10"/>
      <c r="G1360" s="10"/>
      <c r="H1360" s="11"/>
      <c r="I1360" s="10"/>
      <c r="J1360" s="8"/>
      <c r="K1360" s="8"/>
      <c r="L1360" s="8"/>
      <c r="M1360" s="8"/>
      <c r="N1360" s="8"/>
    </row>
    <row r="1361" spans="1:14" ht="21" customHeight="1">
      <c r="A1361" s="9" t="s">
        <v>1656</v>
      </c>
      <c r="B1361" s="48"/>
      <c r="C1361" s="48"/>
      <c r="D1361" s="10"/>
      <c r="E1361" s="10"/>
      <c r="F1361" s="10"/>
      <c r="G1361" s="10"/>
      <c r="H1361" s="11"/>
      <c r="I1361" s="10"/>
      <c r="J1361" s="8"/>
      <c r="K1361" s="8"/>
      <c r="L1361" s="8"/>
      <c r="M1361" s="8"/>
      <c r="N1361" s="8"/>
    </row>
    <row r="1362" spans="1:14" ht="21" customHeight="1">
      <c r="A1362" s="9" t="s">
        <v>1657</v>
      </c>
      <c r="B1362" s="48"/>
      <c r="C1362" s="48"/>
      <c r="D1362" s="10"/>
      <c r="E1362" s="10"/>
      <c r="F1362" s="10"/>
      <c r="G1362" s="10"/>
      <c r="H1362" s="11"/>
      <c r="I1362" s="10"/>
      <c r="J1362" s="8"/>
      <c r="K1362" s="8"/>
      <c r="L1362" s="8"/>
      <c r="M1362" s="8"/>
      <c r="N1362" s="8"/>
    </row>
    <row r="1363" spans="1:14" ht="21" customHeight="1">
      <c r="A1363" s="9" t="s">
        <v>1658</v>
      </c>
      <c r="B1363" s="48"/>
      <c r="C1363" s="48"/>
      <c r="D1363" s="10"/>
      <c r="E1363" s="10"/>
      <c r="F1363" s="10"/>
      <c r="G1363" s="10"/>
      <c r="H1363" s="11"/>
      <c r="I1363" s="10"/>
      <c r="J1363" s="8"/>
      <c r="K1363" s="8"/>
      <c r="L1363" s="8"/>
      <c r="M1363" s="8"/>
      <c r="N1363" s="8"/>
    </row>
    <row r="1364" spans="1:14" ht="21" customHeight="1">
      <c r="A1364" s="9" t="s">
        <v>1659</v>
      </c>
      <c r="B1364" s="48"/>
      <c r="C1364" s="48"/>
      <c r="D1364" s="10"/>
      <c r="E1364" s="10"/>
      <c r="F1364" s="10"/>
      <c r="G1364" s="10"/>
      <c r="H1364" s="11"/>
      <c r="I1364" s="10"/>
      <c r="J1364" s="8"/>
      <c r="K1364" s="8"/>
      <c r="L1364" s="8"/>
      <c r="M1364" s="8"/>
      <c r="N1364" s="8"/>
    </row>
    <row r="1365" spans="1:14" ht="21" customHeight="1">
      <c r="A1365" s="9" t="s">
        <v>1660</v>
      </c>
      <c r="B1365" s="48"/>
      <c r="C1365" s="48"/>
      <c r="D1365" s="10"/>
      <c r="E1365" s="10"/>
      <c r="F1365" s="10"/>
      <c r="G1365" s="10"/>
      <c r="H1365" s="11"/>
      <c r="I1365" s="10"/>
      <c r="J1365" s="8"/>
      <c r="K1365" s="8"/>
      <c r="L1365" s="8"/>
      <c r="M1365" s="8"/>
      <c r="N1365" s="8"/>
    </row>
    <row r="1366" spans="1:14" ht="21" customHeight="1">
      <c r="A1366" s="9" t="s">
        <v>1661</v>
      </c>
      <c r="B1366" s="48"/>
      <c r="C1366" s="48"/>
      <c r="D1366" s="10"/>
      <c r="E1366" s="10"/>
      <c r="F1366" s="10"/>
      <c r="G1366" s="10"/>
      <c r="H1366" s="11"/>
      <c r="I1366" s="10"/>
      <c r="J1366" s="8"/>
      <c r="K1366" s="8"/>
      <c r="L1366" s="8"/>
      <c r="M1366" s="8"/>
      <c r="N1366" s="8"/>
    </row>
    <row r="1367" spans="1:14" ht="21" customHeight="1">
      <c r="A1367" s="9" t="s">
        <v>1662</v>
      </c>
      <c r="B1367" s="48"/>
      <c r="C1367" s="48"/>
      <c r="D1367" s="10"/>
      <c r="E1367" s="10"/>
      <c r="F1367" s="10"/>
      <c r="G1367" s="10"/>
      <c r="H1367" s="11"/>
      <c r="I1367" s="10"/>
      <c r="J1367" s="8"/>
      <c r="K1367" s="8"/>
      <c r="L1367" s="8"/>
      <c r="M1367" s="8"/>
      <c r="N1367" s="8"/>
    </row>
    <row r="1368" spans="1:14" ht="21" customHeight="1">
      <c r="A1368" s="9" t="s">
        <v>1663</v>
      </c>
      <c r="B1368" s="48"/>
      <c r="C1368" s="48"/>
      <c r="D1368" s="10"/>
      <c r="E1368" s="10"/>
      <c r="F1368" s="10"/>
      <c r="G1368" s="10"/>
      <c r="H1368" s="11"/>
      <c r="I1368" s="10"/>
      <c r="J1368" s="8"/>
      <c r="K1368" s="8"/>
      <c r="L1368" s="8"/>
      <c r="M1368" s="8"/>
      <c r="N1368" s="8"/>
    </row>
    <row r="1369" spans="1:14" ht="21" customHeight="1">
      <c r="A1369" s="9" t="s">
        <v>1664</v>
      </c>
      <c r="B1369" s="48"/>
      <c r="C1369" s="48"/>
      <c r="D1369" s="10"/>
      <c r="E1369" s="10"/>
      <c r="F1369" s="10"/>
      <c r="G1369" s="10"/>
      <c r="H1369" s="11"/>
      <c r="I1369" s="10"/>
      <c r="J1369" s="8"/>
      <c r="K1369" s="8"/>
      <c r="L1369" s="8"/>
      <c r="M1369" s="8"/>
      <c r="N1369" s="8"/>
    </row>
    <row r="1370" spans="1:14" ht="21" customHeight="1">
      <c r="A1370" s="9" t="s">
        <v>1665</v>
      </c>
      <c r="B1370" s="48"/>
      <c r="C1370" s="48"/>
      <c r="D1370" s="10"/>
      <c r="E1370" s="10"/>
      <c r="F1370" s="10"/>
      <c r="G1370" s="10"/>
      <c r="H1370" s="11"/>
      <c r="I1370" s="10"/>
      <c r="J1370" s="8"/>
      <c r="K1370" s="8"/>
      <c r="L1370" s="8"/>
      <c r="M1370" s="8"/>
      <c r="N1370" s="8"/>
    </row>
    <row r="1371" spans="1:14" ht="21" customHeight="1">
      <c r="A1371" s="9" t="s">
        <v>1666</v>
      </c>
      <c r="B1371" s="48"/>
      <c r="C1371" s="48"/>
      <c r="D1371" s="10"/>
      <c r="E1371" s="10"/>
      <c r="F1371" s="10"/>
      <c r="G1371" s="10"/>
      <c r="H1371" s="11"/>
      <c r="I1371" s="10"/>
      <c r="J1371" s="8"/>
      <c r="K1371" s="8"/>
      <c r="L1371" s="8"/>
      <c r="M1371" s="8"/>
      <c r="N1371" s="8"/>
    </row>
    <row r="1372" spans="1:14" ht="21" customHeight="1">
      <c r="A1372" s="9" t="s">
        <v>1667</v>
      </c>
      <c r="B1372" s="48"/>
      <c r="C1372" s="48"/>
      <c r="D1372" s="10"/>
      <c r="E1372" s="10"/>
      <c r="F1372" s="10"/>
      <c r="G1372" s="10"/>
      <c r="H1372" s="11"/>
      <c r="I1372" s="10"/>
      <c r="J1372" s="8"/>
      <c r="K1372" s="8"/>
      <c r="L1372" s="8"/>
      <c r="M1372" s="8"/>
      <c r="N1372" s="8"/>
    </row>
    <row r="1373" spans="1:14" ht="21" customHeight="1">
      <c r="A1373" s="9" t="s">
        <v>1668</v>
      </c>
      <c r="B1373" s="48"/>
      <c r="C1373" s="48"/>
      <c r="D1373" s="10"/>
      <c r="E1373" s="10"/>
      <c r="F1373" s="10"/>
      <c r="G1373" s="10"/>
      <c r="H1373" s="11"/>
      <c r="I1373" s="10"/>
      <c r="J1373" s="8"/>
      <c r="K1373" s="8"/>
      <c r="L1373" s="8"/>
      <c r="M1373" s="8"/>
      <c r="N1373" s="8"/>
    </row>
    <row r="1374" spans="1:14" ht="21" customHeight="1">
      <c r="A1374" s="9" t="s">
        <v>1669</v>
      </c>
    </row>
    <row r="1375" spans="1:14" ht="21" customHeight="1">
      <c r="A1375" s="9" t="s">
        <v>1670</v>
      </c>
    </row>
    <row r="1376" spans="1:14" ht="21" customHeight="1">
      <c r="A1376" s="9" t="s">
        <v>1671</v>
      </c>
    </row>
    <row r="1377" spans="1:15" ht="21" customHeight="1">
      <c r="A1377" s="9" t="s">
        <v>1672</v>
      </c>
    </row>
    <row r="1378" spans="1:15" ht="21" customHeight="1">
      <c r="A1378" s="9" t="s">
        <v>1673</v>
      </c>
    </row>
    <row r="1379" spans="1:15" ht="21" customHeight="1">
      <c r="A1379" s="9" t="s">
        <v>1674</v>
      </c>
    </row>
    <row r="1380" spans="1:15" ht="21" customHeight="1">
      <c r="A1380" s="9" t="s">
        <v>1675</v>
      </c>
    </row>
    <row r="1381" spans="1:15" ht="21" customHeight="1">
      <c r="A1381" s="9" t="s">
        <v>1676</v>
      </c>
    </row>
    <row r="1382" spans="1:15" ht="21" customHeight="1">
      <c r="A1382" s="9" t="s">
        <v>1677</v>
      </c>
    </row>
    <row r="1383" spans="1:15" ht="21" customHeight="1">
      <c r="A1383" s="9" t="s">
        <v>1678</v>
      </c>
    </row>
    <row r="1384" spans="1:15" ht="21" customHeight="1">
      <c r="A1384" s="9" t="s">
        <v>1679</v>
      </c>
    </row>
    <row r="1385" spans="1:15" ht="21" customHeight="1">
      <c r="A1385" s="9" t="s">
        <v>1680</v>
      </c>
    </row>
    <row r="1386" spans="1:15" ht="21" customHeight="1">
      <c r="A1386" s="9" t="s">
        <v>1681</v>
      </c>
    </row>
    <row r="1387" spans="1:15" ht="21" customHeight="1">
      <c r="A1387" s="9" t="s">
        <v>1682</v>
      </c>
    </row>
    <row r="1388" spans="1:15" ht="21" customHeight="1">
      <c r="A1388" s="9" t="s">
        <v>1683</v>
      </c>
    </row>
    <row r="1389" spans="1:15" ht="21" customHeight="1">
      <c r="A1389" s="44" t="s">
        <v>1684</v>
      </c>
      <c r="B1389" s="45">
        <f>IF(LEFT(H1389,5)="VALID",M1389,"")</f>
        <v>1000</v>
      </c>
      <c r="C1389" s="45">
        <f>IF(LEFT(H1389,5)="VALID",N1389,"")</f>
        <v>1414</v>
      </c>
      <c r="D1389" s="46" t="s">
        <v>82</v>
      </c>
      <c r="E1389" s="46" t="s">
        <v>1685</v>
      </c>
      <c r="F1389" s="46" t="s">
        <v>122</v>
      </c>
      <c r="G1389" s="46" t="s">
        <v>123</v>
      </c>
      <c r="H1389" s="47" t="str">
        <f>"VALID - BASE"</f>
        <v>VALID - BASE</v>
      </c>
      <c r="I1389" s="46" t="s">
        <v>1686</v>
      </c>
      <c r="J1389" s="12">
        <f>'05-ISO Reference'!$B$18</f>
        <v>1000</v>
      </c>
      <c r="K1389" s="12">
        <f>'05-ISO Reference'!$C$18</f>
        <v>1414</v>
      </c>
      <c r="L1389" s="12">
        <f>'01-Process Controls'!$G$5</f>
        <v>3</v>
      </c>
      <c r="M1389" s="12">
        <f>ROUNDDOWN(J1389,0)</f>
        <v>1000</v>
      </c>
      <c r="N1389" s="12">
        <f>ROUNDDOWN(K1389,0)</f>
        <v>1414</v>
      </c>
      <c r="O1389" s="9">
        <v>0</v>
      </c>
    </row>
    <row r="1390" spans="1:15" ht="21" customHeight="1">
      <c r="A1390" s="9" t="s">
        <v>1687</v>
      </c>
      <c r="B1390" s="12">
        <f>IF(LEFT(H1390,5)="VALID",M1390,"")</f>
        <v>500</v>
      </c>
      <c r="C1390" s="12">
        <f>IF(LEFT(H1390,5)="VALID",N1390,"")</f>
        <v>1414</v>
      </c>
      <c r="D1390" s="10" t="s">
        <v>82</v>
      </c>
      <c r="E1390" s="10" t="s">
        <v>1685</v>
      </c>
      <c r="F1390" s="10" t="s">
        <v>126</v>
      </c>
      <c r="G1390" s="10" t="s">
        <v>127</v>
      </c>
      <c r="H1390" s="11" t="str">
        <f>IF(OR(M1390&lt;=0,N1390&lt;=0),"SKIPPED - NONPOSITIVE",IF(OR(M1390&lt;L1390,N1390&lt;L1390),"SKIPPED - BELOW MIN",IF(OR(M1390&gt;J1390,N1390&gt;K1390),"SKIPPED - EXCEEDS BASE",IF(COUNTIFS($M$1389:M1389,M1390,$N$1389:N1389,N1390)&gt;0,"SKIPPED - DUPLICATE","VALID - GENERATED"))))</f>
        <v>VALID - GENERATED</v>
      </c>
      <c r="I1390" s="10" t="s">
        <v>1686</v>
      </c>
      <c r="J1390" s="12">
        <f>'05-ISO Reference'!$B$18</f>
        <v>1000</v>
      </c>
      <c r="K1390" s="12">
        <f>'05-ISO Reference'!$C$18</f>
        <v>1414</v>
      </c>
      <c r="L1390" s="12">
        <f>'01-Process Controls'!$G$5</f>
        <v>3</v>
      </c>
      <c r="M1390" s="12">
        <f>ROUNDDOWN(J1390*'04-Variant Rules'!$D$6,0)</f>
        <v>500</v>
      </c>
      <c r="N1390" s="12">
        <f>ROUNDDOWN(K1390,0)</f>
        <v>1414</v>
      </c>
      <c r="O1390" s="9">
        <v>1</v>
      </c>
    </row>
    <row r="1391" spans="1:15" ht="21" customHeight="1">
      <c r="A1391" s="9" t="s">
        <v>1688</v>
      </c>
      <c r="B1391" s="12">
        <f>IF(LEFT(H1391,5)="VALID",M1391,"")</f>
        <v>333</v>
      </c>
      <c r="C1391" s="12">
        <f>IF(LEFT(H1391,5)="VALID",N1391,"")</f>
        <v>1414</v>
      </c>
      <c r="D1391" s="10" t="s">
        <v>82</v>
      </c>
      <c r="E1391" s="10" t="s">
        <v>1685</v>
      </c>
      <c r="F1391" s="10" t="s">
        <v>129</v>
      </c>
      <c r="G1391" s="10" t="s">
        <v>130</v>
      </c>
      <c r="H1391" s="11" t="str">
        <f>IF(OR(M1391&lt;=0,N1391&lt;=0),"SKIPPED - NONPOSITIVE",IF(OR(M1391&lt;L1391,N1391&lt;L1391),"SKIPPED - BELOW MIN",IF(OR(M1391&gt;J1391,N1391&gt;K1391),"SKIPPED - EXCEEDS BASE",IF(COUNTIFS($M$1389:M1390,M1391,$N$1389:N1390,N1391)&gt;0,"SKIPPED - DUPLICATE","VALID - GENERATED"))))</f>
        <v>VALID - GENERATED</v>
      </c>
      <c r="I1391" s="10" t="s">
        <v>1686</v>
      </c>
      <c r="J1391" s="12">
        <f>'05-ISO Reference'!$B$18</f>
        <v>1000</v>
      </c>
      <c r="K1391" s="12">
        <f>'05-ISO Reference'!$C$18</f>
        <v>1414</v>
      </c>
      <c r="L1391" s="12">
        <f>'01-Process Controls'!$G$5</f>
        <v>3</v>
      </c>
      <c r="M1391" s="12">
        <f>ROUNDDOWN(J1391*'04-Variant Rules'!$D$7,0)</f>
        <v>333</v>
      </c>
      <c r="N1391" s="12">
        <f>ROUNDDOWN(K1391,0)</f>
        <v>1414</v>
      </c>
      <c r="O1391" s="9">
        <v>2</v>
      </c>
    </row>
    <row r="1392" spans="1:15" ht="21" customHeight="1">
      <c r="A1392" s="9" t="s">
        <v>1689</v>
      </c>
      <c r="B1392" s="12">
        <f>IF(LEFT(H1392,5)="VALID",M1392,"")</f>
        <v>250</v>
      </c>
      <c r="C1392" s="12">
        <f>IF(LEFT(H1392,5)="VALID",N1392,"")</f>
        <v>1414</v>
      </c>
      <c r="D1392" s="10" t="s">
        <v>82</v>
      </c>
      <c r="E1392" s="10" t="s">
        <v>1685</v>
      </c>
      <c r="F1392" s="10" t="s">
        <v>132</v>
      </c>
      <c r="G1392" s="10" t="s">
        <v>133</v>
      </c>
      <c r="H1392" s="11" t="str">
        <f>IF(OR(M1392&lt;=0,N1392&lt;=0),"SKIPPED - NONPOSITIVE",IF(OR(M1392&lt;L1392,N1392&lt;L1392),"SKIPPED - BELOW MIN",IF(OR(M1392&gt;J1392,N1392&gt;K1392),"SKIPPED - EXCEEDS BASE",IF(COUNTIFS($M$1389:M1391,M1392,$N$1389:N1391,N1392)&gt;0,"SKIPPED - DUPLICATE","VALID - GENERATED"))))</f>
        <v>VALID - GENERATED</v>
      </c>
      <c r="I1392" s="10" t="s">
        <v>1686</v>
      </c>
      <c r="J1392" s="12">
        <f>'05-ISO Reference'!$B$18</f>
        <v>1000</v>
      </c>
      <c r="K1392" s="12">
        <f>'05-ISO Reference'!$C$18</f>
        <v>1414</v>
      </c>
      <c r="L1392" s="12">
        <f>'01-Process Controls'!$G$5</f>
        <v>3</v>
      </c>
      <c r="M1392" s="12">
        <f>ROUNDDOWN(J1392*'04-Variant Rules'!$D$8,0)</f>
        <v>250</v>
      </c>
      <c r="N1392" s="12">
        <f>ROUNDDOWN(K1392,0)</f>
        <v>1414</v>
      </c>
      <c r="O1392" s="9">
        <v>3</v>
      </c>
    </row>
    <row r="1393" spans="1:15" ht="21" customHeight="1">
      <c r="A1393" s="9" t="s">
        <v>1690</v>
      </c>
      <c r="B1393" s="12">
        <f>IF(LEFT(H1393,5)="VALID",M1393,"")</f>
        <v>666</v>
      </c>
      <c r="C1393" s="12">
        <f>IF(LEFT(H1393,5)="VALID",N1393,"")</f>
        <v>1414</v>
      </c>
      <c r="D1393" s="10" t="s">
        <v>82</v>
      </c>
      <c r="E1393" s="10" t="s">
        <v>1685</v>
      </c>
      <c r="F1393" s="10" t="s">
        <v>135</v>
      </c>
      <c r="G1393" s="10" t="s">
        <v>136</v>
      </c>
      <c r="H1393" s="11" t="str">
        <f>IF(OR(M1393&lt;=0,N1393&lt;=0),"SKIPPED - NONPOSITIVE",IF(OR(M1393&lt;L1393,N1393&lt;L1393),"SKIPPED - BELOW MIN",IF(OR(M1393&gt;J1393,N1393&gt;K1393),"SKIPPED - EXCEEDS BASE",IF(COUNTIFS($M$1389:M1392,M1393,$N$1389:N1392,N1393)&gt;0,"SKIPPED - DUPLICATE","VALID - GENERATED"))))</f>
        <v>VALID - GENERATED</v>
      </c>
      <c r="I1393" s="10" t="s">
        <v>1686</v>
      </c>
      <c r="J1393" s="12">
        <f>'05-ISO Reference'!$B$18</f>
        <v>1000</v>
      </c>
      <c r="K1393" s="12">
        <f>'05-ISO Reference'!$C$18</f>
        <v>1414</v>
      </c>
      <c r="L1393" s="12">
        <f>'01-Process Controls'!$G$5</f>
        <v>3</v>
      </c>
      <c r="M1393" s="12">
        <f>ROUNDDOWN(J1393*'04-Variant Rules'!$D$9,0)</f>
        <v>666</v>
      </c>
      <c r="N1393" s="12">
        <f>ROUNDDOWN(K1393,0)</f>
        <v>1414</v>
      </c>
      <c r="O1393" s="9">
        <v>4</v>
      </c>
    </row>
    <row r="1394" spans="1:15" ht="21" customHeight="1">
      <c r="A1394" s="9" t="s">
        <v>1691</v>
      </c>
      <c r="B1394" s="12">
        <f>IF(LEFT(H1394,5)="VALID",M1394,"")</f>
        <v>750</v>
      </c>
      <c r="C1394" s="12">
        <f>IF(LEFT(H1394,5)="VALID",N1394,"")</f>
        <v>1414</v>
      </c>
      <c r="D1394" s="10" t="s">
        <v>82</v>
      </c>
      <c r="E1394" s="10" t="s">
        <v>1685</v>
      </c>
      <c r="F1394" s="10" t="s">
        <v>138</v>
      </c>
      <c r="G1394" s="10" t="s">
        <v>139</v>
      </c>
      <c r="H1394" s="11" t="str">
        <f>IF(OR(M1394&lt;=0,N1394&lt;=0),"SKIPPED - NONPOSITIVE",IF(OR(M1394&lt;L1394,N1394&lt;L1394),"SKIPPED - BELOW MIN",IF(OR(M1394&gt;J1394,N1394&gt;K1394),"SKIPPED - EXCEEDS BASE",IF(COUNTIFS($M$1389:M1393,M1394,$N$1389:N1393,N1394)&gt;0,"SKIPPED - DUPLICATE","VALID - GENERATED"))))</f>
        <v>VALID - GENERATED</v>
      </c>
      <c r="I1394" s="10" t="s">
        <v>1686</v>
      </c>
      <c r="J1394" s="12">
        <f>'05-ISO Reference'!$B$18</f>
        <v>1000</v>
      </c>
      <c r="K1394" s="12">
        <f>'05-ISO Reference'!$C$18</f>
        <v>1414</v>
      </c>
      <c r="L1394" s="12">
        <f>'01-Process Controls'!$G$5</f>
        <v>3</v>
      </c>
      <c r="M1394" s="12">
        <f>ROUNDDOWN(J1394*'04-Variant Rules'!$D$10,0)</f>
        <v>750</v>
      </c>
      <c r="N1394" s="12">
        <f>ROUNDDOWN(K1394,0)</f>
        <v>1414</v>
      </c>
      <c r="O1394" s="9">
        <v>5</v>
      </c>
    </row>
    <row r="1395" spans="1:15" ht="21" customHeight="1">
      <c r="A1395" s="9" t="s">
        <v>1692</v>
      </c>
      <c r="B1395" s="12">
        <f>IF(LEFT(H1395,5)="VALID",M1395,"")</f>
        <v>1000</v>
      </c>
      <c r="C1395" s="12">
        <f>IF(LEFT(H1395,5)="VALID",N1395,"")</f>
        <v>707</v>
      </c>
      <c r="D1395" s="10" t="s">
        <v>82</v>
      </c>
      <c r="E1395" s="10" t="s">
        <v>1685</v>
      </c>
      <c r="F1395" s="10" t="s">
        <v>141</v>
      </c>
      <c r="G1395" s="10" t="s">
        <v>142</v>
      </c>
      <c r="H1395" s="11" t="str">
        <f>IF(OR(M1395&lt;=0,N1395&lt;=0),"SKIPPED - NONPOSITIVE",IF(OR(M1395&lt;L1395,N1395&lt;L1395),"SKIPPED - BELOW MIN",IF(OR(M1395&gt;J1395,N1395&gt;K1395),"SKIPPED - EXCEEDS BASE",IF(COUNTIFS($M$1389:M1394,M1395,$N$1389:N1394,N1395)&gt;0,"SKIPPED - DUPLICATE","VALID - GENERATED"))))</f>
        <v>VALID - GENERATED</v>
      </c>
      <c r="I1395" s="10" t="s">
        <v>1686</v>
      </c>
      <c r="J1395" s="12">
        <f>'05-ISO Reference'!$B$18</f>
        <v>1000</v>
      </c>
      <c r="K1395" s="12">
        <f>'05-ISO Reference'!$C$18</f>
        <v>1414</v>
      </c>
      <c r="L1395" s="12">
        <f>'01-Process Controls'!$G$5</f>
        <v>3</v>
      </c>
      <c r="M1395" s="12">
        <f>ROUNDDOWN(J1395,0)</f>
        <v>1000</v>
      </c>
      <c r="N1395" s="12">
        <f>ROUNDDOWN(K1395*'04-Variant Rules'!$D$11,0)</f>
        <v>707</v>
      </c>
      <c r="O1395" s="9">
        <v>6</v>
      </c>
    </row>
    <row r="1396" spans="1:15" ht="21" customHeight="1">
      <c r="A1396" s="9" t="s">
        <v>1693</v>
      </c>
      <c r="B1396" s="12">
        <f>IF(LEFT(H1396,5)="VALID",M1396,"")</f>
        <v>1000</v>
      </c>
      <c r="C1396" s="12">
        <f>IF(LEFT(H1396,5)="VALID",N1396,"")</f>
        <v>471</v>
      </c>
      <c r="D1396" s="10" t="s">
        <v>82</v>
      </c>
      <c r="E1396" s="10" t="s">
        <v>1685</v>
      </c>
      <c r="F1396" s="10" t="s">
        <v>144</v>
      </c>
      <c r="G1396" s="10" t="s">
        <v>145</v>
      </c>
      <c r="H1396" s="11" t="str">
        <f>IF(OR(M1396&lt;=0,N1396&lt;=0),"SKIPPED - NONPOSITIVE",IF(OR(M1396&lt;L1396,N1396&lt;L1396),"SKIPPED - BELOW MIN",IF(OR(M1396&gt;J1396,N1396&gt;K1396),"SKIPPED - EXCEEDS BASE",IF(COUNTIFS($M$1389:M1395,M1396,$N$1389:N1395,N1396)&gt;0,"SKIPPED - DUPLICATE","VALID - GENERATED"))))</f>
        <v>VALID - GENERATED</v>
      </c>
      <c r="I1396" s="10" t="s">
        <v>1686</v>
      </c>
      <c r="J1396" s="12">
        <f>'05-ISO Reference'!$B$18</f>
        <v>1000</v>
      </c>
      <c r="K1396" s="12">
        <f>'05-ISO Reference'!$C$18</f>
        <v>1414</v>
      </c>
      <c r="L1396" s="12">
        <f>'01-Process Controls'!$G$5</f>
        <v>3</v>
      </c>
      <c r="M1396" s="12">
        <f>ROUNDDOWN(J1396,0)</f>
        <v>1000</v>
      </c>
      <c r="N1396" s="12">
        <f>ROUNDDOWN(K1396*'04-Variant Rules'!$D$12,0)</f>
        <v>471</v>
      </c>
      <c r="O1396" s="9">
        <v>7</v>
      </c>
    </row>
    <row r="1397" spans="1:15" ht="21" customHeight="1">
      <c r="A1397" s="9" t="s">
        <v>1694</v>
      </c>
      <c r="B1397" s="12">
        <f>IF(LEFT(H1397,5)="VALID",M1397,"")</f>
        <v>1000</v>
      </c>
      <c r="C1397" s="12">
        <f>IF(LEFT(H1397,5)="VALID",N1397,"")</f>
        <v>353</v>
      </c>
      <c r="D1397" s="10" t="s">
        <v>82</v>
      </c>
      <c r="E1397" s="10" t="s">
        <v>1685</v>
      </c>
      <c r="F1397" s="10" t="s">
        <v>147</v>
      </c>
      <c r="G1397" s="10" t="s">
        <v>148</v>
      </c>
      <c r="H1397" s="11" t="str">
        <f>IF(OR(M1397&lt;=0,N1397&lt;=0),"SKIPPED - NONPOSITIVE",IF(OR(M1397&lt;L1397,N1397&lt;L1397),"SKIPPED - BELOW MIN",IF(OR(M1397&gt;J1397,N1397&gt;K1397),"SKIPPED - EXCEEDS BASE",IF(COUNTIFS($M$1389:M1396,M1397,$N$1389:N1396,N1397)&gt;0,"SKIPPED - DUPLICATE","VALID - GENERATED"))))</f>
        <v>VALID - GENERATED</v>
      </c>
      <c r="I1397" s="10" t="s">
        <v>1686</v>
      </c>
      <c r="J1397" s="12">
        <f>'05-ISO Reference'!$B$18</f>
        <v>1000</v>
      </c>
      <c r="K1397" s="12">
        <f>'05-ISO Reference'!$C$18</f>
        <v>1414</v>
      </c>
      <c r="L1397" s="12">
        <f>'01-Process Controls'!$G$5</f>
        <v>3</v>
      </c>
      <c r="M1397" s="12">
        <f>ROUNDDOWN(J1397,0)</f>
        <v>1000</v>
      </c>
      <c r="N1397" s="12">
        <f>ROUNDDOWN(K1397*'04-Variant Rules'!$D$13,0)</f>
        <v>353</v>
      </c>
      <c r="O1397" s="9">
        <v>8</v>
      </c>
    </row>
    <row r="1398" spans="1:15" ht="21" customHeight="1">
      <c r="A1398" s="9" t="s">
        <v>1695</v>
      </c>
      <c r="B1398" s="12">
        <f>IF(LEFT(H1398,5)="VALID",M1398,"")</f>
        <v>1000</v>
      </c>
      <c r="C1398" s="12">
        <f>IF(LEFT(H1398,5)="VALID",N1398,"")</f>
        <v>942</v>
      </c>
      <c r="D1398" s="10" t="s">
        <v>82</v>
      </c>
      <c r="E1398" s="10" t="s">
        <v>1685</v>
      </c>
      <c r="F1398" s="10" t="s">
        <v>150</v>
      </c>
      <c r="G1398" s="10" t="s">
        <v>151</v>
      </c>
      <c r="H1398" s="11" t="str">
        <f>IF(OR(M1398&lt;=0,N1398&lt;=0),"SKIPPED - NONPOSITIVE",IF(OR(M1398&lt;L1398,N1398&lt;L1398),"SKIPPED - BELOW MIN",IF(OR(M1398&gt;J1398,N1398&gt;K1398),"SKIPPED - EXCEEDS BASE",IF(COUNTIFS($M$1389:M1397,M1398,$N$1389:N1397,N1398)&gt;0,"SKIPPED - DUPLICATE","VALID - GENERATED"))))</f>
        <v>VALID - GENERATED</v>
      </c>
      <c r="I1398" s="10" t="s">
        <v>1686</v>
      </c>
      <c r="J1398" s="12">
        <f>'05-ISO Reference'!$B$18</f>
        <v>1000</v>
      </c>
      <c r="K1398" s="12">
        <f>'05-ISO Reference'!$C$18</f>
        <v>1414</v>
      </c>
      <c r="L1398" s="12">
        <f>'01-Process Controls'!$G$5</f>
        <v>3</v>
      </c>
      <c r="M1398" s="12">
        <f>ROUNDDOWN(J1398,0)</f>
        <v>1000</v>
      </c>
      <c r="N1398" s="12">
        <f>ROUNDDOWN(K1398*'04-Variant Rules'!$D$14,0)</f>
        <v>942</v>
      </c>
      <c r="O1398" s="9">
        <v>9</v>
      </c>
    </row>
    <row r="1399" spans="1:15" ht="21" customHeight="1">
      <c r="A1399" s="9" t="s">
        <v>1696</v>
      </c>
      <c r="B1399" s="12">
        <f>IF(LEFT(H1399,5)="VALID",M1399,"")</f>
        <v>1000</v>
      </c>
      <c r="C1399" s="12">
        <f>IF(LEFT(H1399,5)="VALID",N1399,"")</f>
        <v>1060</v>
      </c>
      <c r="D1399" s="10" t="s">
        <v>82</v>
      </c>
      <c r="E1399" s="10" t="s">
        <v>1685</v>
      </c>
      <c r="F1399" s="10" t="s">
        <v>153</v>
      </c>
      <c r="G1399" s="10" t="s">
        <v>154</v>
      </c>
      <c r="H1399" s="11" t="str">
        <f>IF(OR(M1399&lt;=0,N1399&lt;=0),"SKIPPED - NONPOSITIVE",IF(OR(M1399&lt;L1399,N1399&lt;L1399),"SKIPPED - BELOW MIN",IF(OR(M1399&gt;J1399,N1399&gt;K1399),"SKIPPED - EXCEEDS BASE",IF(COUNTIFS($M$1389:M1398,M1399,$N$1389:N1398,N1399)&gt;0,"SKIPPED - DUPLICATE","VALID - GENERATED"))))</f>
        <v>VALID - GENERATED</v>
      </c>
      <c r="I1399" s="10" t="s">
        <v>1686</v>
      </c>
      <c r="J1399" s="12">
        <f>'05-ISO Reference'!$B$18</f>
        <v>1000</v>
      </c>
      <c r="K1399" s="12">
        <f>'05-ISO Reference'!$C$18</f>
        <v>1414</v>
      </c>
      <c r="L1399" s="12">
        <f>'01-Process Controls'!$G$5</f>
        <v>3</v>
      </c>
      <c r="M1399" s="12">
        <f>ROUNDDOWN(J1399,0)</f>
        <v>1000</v>
      </c>
      <c r="N1399" s="12">
        <f>ROUNDDOWN(K1399*'04-Variant Rules'!$D$15,0)</f>
        <v>1060</v>
      </c>
      <c r="O1399" s="9">
        <v>10</v>
      </c>
    </row>
    <row r="1400" spans="1:15" ht="21" customHeight="1">
      <c r="A1400" s="9" t="s">
        <v>1697</v>
      </c>
      <c r="B1400" s="12">
        <f>IF(LEFT(H1400,5)="VALID",M1400,"")</f>
        <v>500</v>
      </c>
      <c r="C1400" s="12">
        <f>IF(LEFT(H1400,5)="VALID",N1400,"")</f>
        <v>707</v>
      </c>
      <c r="D1400" s="10" t="s">
        <v>82</v>
      </c>
      <c r="E1400" s="10" t="s">
        <v>1685</v>
      </c>
      <c r="F1400" s="10" t="s">
        <v>156</v>
      </c>
      <c r="G1400" s="10" t="s">
        <v>157</v>
      </c>
      <c r="H1400" s="11" t="str">
        <f>IF(OR(M1400&lt;=0,N1400&lt;=0),"SKIPPED - NONPOSITIVE",IF(OR(M1400&lt;L1400,N1400&lt;L1400),"SKIPPED - BELOW MIN",IF(OR(M1400&gt;J1400,N1400&gt;K1400),"SKIPPED - EXCEEDS BASE",IF(COUNTIFS($M$1389:M1399,M1400,$N$1389:N1399,N1400)&gt;0,"SKIPPED - DUPLICATE","VALID - GENERATED"))))</f>
        <v>VALID - GENERATED</v>
      </c>
      <c r="I1400" s="10" t="s">
        <v>1686</v>
      </c>
      <c r="J1400" s="12">
        <f>'05-ISO Reference'!$B$18</f>
        <v>1000</v>
      </c>
      <c r="K1400" s="12">
        <f>'05-ISO Reference'!$C$18</f>
        <v>1414</v>
      </c>
      <c r="L1400" s="12">
        <f>'01-Process Controls'!$G$5</f>
        <v>3</v>
      </c>
      <c r="M1400" s="12">
        <f>ROUNDDOWN(J1400*'04-Variant Rules'!$D$16,0)</f>
        <v>500</v>
      </c>
      <c r="N1400" s="12">
        <f>ROUNDDOWN(K1400*'04-Variant Rules'!$E$16,0)</f>
        <v>707</v>
      </c>
      <c r="O1400" s="9">
        <v>11</v>
      </c>
    </row>
    <row r="1401" spans="1:15" ht="21" customHeight="1">
      <c r="A1401" s="9" t="s">
        <v>1698</v>
      </c>
      <c r="B1401" s="12">
        <f>IF(LEFT(H1401,5)="VALID",M1401,"")</f>
        <v>333</v>
      </c>
      <c r="C1401" s="12">
        <f>IF(LEFT(H1401,5)="VALID",N1401,"")</f>
        <v>471</v>
      </c>
      <c r="D1401" s="10" t="s">
        <v>82</v>
      </c>
      <c r="E1401" s="10" t="s">
        <v>1685</v>
      </c>
      <c r="F1401" s="10" t="s">
        <v>159</v>
      </c>
      <c r="G1401" s="10" t="s">
        <v>160</v>
      </c>
      <c r="H1401" s="11" t="str">
        <f>IF(OR(M1401&lt;=0,N1401&lt;=0),"SKIPPED - NONPOSITIVE",IF(OR(M1401&lt;L1401,N1401&lt;L1401),"SKIPPED - BELOW MIN",IF(OR(M1401&gt;J1401,N1401&gt;K1401),"SKIPPED - EXCEEDS BASE",IF(COUNTIFS($M$1389:M1400,M1401,$N$1389:N1400,N1401)&gt;0,"SKIPPED - DUPLICATE","VALID - GENERATED"))))</f>
        <v>VALID - GENERATED</v>
      </c>
      <c r="I1401" s="10" t="s">
        <v>1686</v>
      </c>
      <c r="J1401" s="12">
        <f>'05-ISO Reference'!$B$18</f>
        <v>1000</v>
      </c>
      <c r="K1401" s="12">
        <f>'05-ISO Reference'!$C$18</f>
        <v>1414</v>
      </c>
      <c r="L1401" s="12">
        <f>'01-Process Controls'!$G$5</f>
        <v>3</v>
      </c>
      <c r="M1401" s="12">
        <f>ROUNDDOWN(J1401*'04-Variant Rules'!$D$17,0)</f>
        <v>333</v>
      </c>
      <c r="N1401" s="12">
        <f>ROUNDDOWN(K1401*'04-Variant Rules'!$E$17,0)</f>
        <v>471</v>
      </c>
      <c r="O1401" s="9">
        <v>12</v>
      </c>
    </row>
    <row r="1402" spans="1:15" ht="21" customHeight="1">
      <c r="A1402" s="9" t="s">
        <v>1699</v>
      </c>
      <c r="B1402" s="12">
        <f>IF(LEFT(H1402,5)="VALID",M1402,"")</f>
        <v>250</v>
      </c>
      <c r="C1402" s="12">
        <f>IF(LEFT(H1402,5)="VALID",N1402,"")</f>
        <v>353</v>
      </c>
      <c r="D1402" s="10" t="s">
        <v>82</v>
      </c>
      <c r="E1402" s="10" t="s">
        <v>1685</v>
      </c>
      <c r="F1402" s="10" t="s">
        <v>162</v>
      </c>
      <c r="G1402" s="10" t="s">
        <v>163</v>
      </c>
      <c r="H1402" s="11" t="str">
        <f>IF(OR(M1402&lt;=0,N1402&lt;=0),"SKIPPED - NONPOSITIVE",IF(OR(M1402&lt;L1402,N1402&lt;L1402),"SKIPPED - BELOW MIN",IF(OR(M1402&gt;J1402,N1402&gt;K1402),"SKIPPED - EXCEEDS BASE",IF(COUNTIFS($M$1389:M1401,M1402,$N$1389:N1401,N1402)&gt;0,"SKIPPED - DUPLICATE","VALID - GENERATED"))))</f>
        <v>VALID - GENERATED</v>
      </c>
      <c r="I1402" s="10" t="s">
        <v>1686</v>
      </c>
      <c r="J1402" s="12">
        <f>'05-ISO Reference'!$B$18</f>
        <v>1000</v>
      </c>
      <c r="K1402" s="12">
        <f>'05-ISO Reference'!$C$18</f>
        <v>1414</v>
      </c>
      <c r="L1402" s="12">
        <f>'01-Process Controls'!$G$5</f>
        <v>3</v>
      </c>
      <c r="M1402" s="12">
        <f>ROUNDDOWN(J1402*'04-Variant Rules'!$D$18,0)</f>
        <v>250</v>
      </c>
      <c r="N1402" s="12">
        <f>ROUNDDOWN(K1402*'04-Variant Rules'!$E$18,0)</f>
        <v>353</v>
      </c>
      <c r="O1402" s="9">
        <v>13</v>
      </c>
    </row>
    <row r="1403" spans="1:15" ht="21" customHeight="1">
      <c r="A1403" s="9" t="s">
        <v>1700</v>
      </c>
      <c r="B1403" s="12">
        <f>IF(LEFT(H1403,5)="VALID",M1403,"")</f>
        <v>500</v>
      </c>
      <c r="C1403" s="12">
        <f>IF(LEFT(H1403,5)="VALID",N1403,"")</f>
        <v>471</v>
      </c>
      <c r="D1403" s="10" t="s">
        <v>82</v>
      </c>
      <c r="E1403" s="10" t="s">
        <v>1685</v>
      </c>
      <c r="F1403" s="10" t="s">
        <v>165</v>
      </c>
      <c r="G1403" s="10" t="s">
        <v>166</v>
      </c>
      <c r="H1403" s="11" t="str">
        <f>IF(OR(M1403&lt;=0,N1403&lt;=0),"SKIPPED - NONPOSITIVE",IF(OR(M1403&lt;L1403,N1403&lt;L1403),"SKIPPED - BELOW MIN",IF(OR(M1403&gt;J1403,N1403&gt;K1403),"SKIPPED - EXCEEDS BASE",IF(COUNTIFS($M$1389:M1402,M1403,$N$1389:N1402,N1403)&gt;0,"SKIPPED - DUPLICATE","VALID - GENERATED"))))</f>
        <v>VALID - GENERATED</v>
      </c>
      <c r="I1403" s="10" t="s">
        <v>1686</v>
      </c>
      <c r="J1403" s="12">
        <f>'05-ISO Reference'!$B$18</f>
        <v>1000</v>
      </c>
      <c r="K1403" s="12">
        <f>'05-ISO Reference'!$C$18</f>
        <v>1414</v>
      </c>
      <c r="L1403" s="12">
        <f>'01-Process Controls'!$G$5</f>
        <v>3</v>
      </c>
      <c r="M1403" s="12">
        <f>ROUNDDOWN(J1403*'04-Variant Rules'!$D$19,0)</f>
        <v>500</v>
      </c>
      <c r="N1403" s="12">
        <f>ROUNDDOWN(K1403*'04-Variant Rules'!$E$19,0)</f>
        <v>471</v>
      </c>
      <c r="O1403" s="9">
        <v>14</v>
      </c>
    </row>
    <row r="1404" spans="1:15" ht="21" customHeight="1">
      <c r="A1404" s="9" t="s">
        <v>1701</v>
      </c>
      <c r="B1404" s="12">
        <f>IF(LEFT(H1404,5)="VALID",M1404,"")</f>
        <v>333</v>
      </c>
      <c r="C1404" s="12">
        <f>IF(LEFT(H1404,5)="VALID",N1404,"")</f>
        <v>707</v>
      </c>
      <c r="D1404" s="10" t="s">
        <v>82</v>
      </c>
      <c r="E1404" s="10" t="s">
        <v>1685</v>
      </c>
      <c r="F1404" s="10" t="s">
        <v>168</v>
      </c>
      <c r="G1404" s="10" t="s">
        <v>166</v>
      </c>
      <c r="H1404" s="11" t="str">
        <f>IF(OR(M1404&lt;=0,N1404&lt;=0),"SKIPPED - NONPOSITIVE",IF(OR(M1404&lt;L1404,N1404&lt;L1404),"SKIPPED - BELOW MIN",IF(OR(M1404&gt;J1404,N1404&gt;K1404),"SKIPPED - EXCEEDS BASE",IF(COUNTIFS($M$1389:M1403,M1404,$N$1389:N1403,N1404)&gt;0,"SKIPPED - DUPLICATE","VALID - GENERATED"))))</f>
        <v>VALID - GENERATED</v>
      </c>
      <c r="I1404" s="10" t="s">
        <v>1686</v>
      </c>
      <c r="J1404" s="12">
        <f>'05-ISO Reference'!$B$18</f>
        <v>1000</v>
      </c>
      <c r="K1404" s="12">
        <f>'05-ISO Reference'!$C$18</f>
        <v>1414</v>
      </c>
      <c r="L1404" s="12">
        <f>'01-Process Controls'!$G$5</f>
        <v>3</v>
      </c>
      <c r="M1404" s="12">
        <f>ROUNDDOWN(J1404*'04-Variant Rules'!$D$20,0)</f>
        <v>333</v>
      </c>
      <c r="N1404" s="12">
        <f>ROUNDDOWN(K1404*'04-Variant Rules'!$E$20,0)</f>
        <v>707</v>
      </c>
      <c r="O1404" s="9">
        <v>15</v>
      </c>
    </row>
    <row r="1405" spans="1:15" ht="21" customHeight="1">
      <c r="A1405" s="9" t="s">
        <v>1702</v>
      </c>
      <c r="B1405" s="12">
        <f>IF(LEFT(H1405,5)="VALID",M1405,"")</f>
        <v>500</v>
      </c>
      <c r="C1405" s="12">
        <f>IF(LEFT(H1405,5)="VALID",N1405,"")</f>
        <v>353</v>
      </c>
      <c r="D1405" s="10" t="s">
        <v>82</v>
      </c>
      <c r="E1405" s="10" t="s">
        <v>1685</v>
      </c>
      <c r="F1405" s="10" t="s">
        <v>170</v>
      </c>
      <c r="G1405" s="10" t="s">
        <v>166</v>
      </c>
      <c r="H1405" s="11" t="str">
        <f>IF(OR(M1405&lt;=0,N1405&lt;=0),"SKIPPED - NONPOSITIVE",IF(OR(M1405&lt;L1405,N1405&lt;L1405),"SKIPPED - BELOW MIN",IF(OR(M1405&gt;J1405,N1405&gt;K1405),"SKIPPED - EXCEEDS BASE",IF(COUNTIFS($M$1389:M1404,M1405,$N$1389:N1404,N1405)&gt;0,"SKIPPED - DUPLICATE","VALID - GENERATED"))))</f>
        <v>VALID - GENERATED</v>
      </c>
      <c r="I1405" s="10" t="s">
        <v>1686</v>
      </c>
      <c r="J1405" s="12">
        <f>'05-ISO Reference'!$B$18</f>
        <v>1000</v>
      </c>
      <c r="K1405" s="12">
        <f>'05-ISO Reference'!$C$18</f>
        <v>1414</v>
      </c>
      <c r="L1405" s="12">
        <f>'01-Process Controls'!$G$5</f>
        <v>3</v>
      </c>
      <c r="M1405" s="12">
        <f>ROUNDDOWN(J1405*'04-Variant Rules'!$D$21,0)</f>
        <v>500</v>
      </c>
      <c r="N1405" s="12">
        <f>ROUNDDOWN(K1405*'04-Variant Rules'!$E$21,0)</f>
        <v>353</v>
      </c>
      <c r="O1405" s="9">
        <v>16</v>
      </c>
    </row>
    <row r="1406" spans="1:15" ht="21" customHeight="1">
      <c r="A1406" s="9" t="s">
        <v>1703</v>
      </c>
      <c r="B1406" s="12">
        <f>IF(LEFT(H1406,5)="VALID",M1406,"")</f>
        <v>250</v>
      </c>
      <c r="C1406" s="12">
        <f>IF(LEFT(H1406,5)="VALID",N1406,"")</f>
        <v>707</v>
      </c>
      <c r="D1406" s="10" t="s">
        <v>82</v>
      </c>
      <c r="E1406" s="10" t="s">
        <v>1685</v>
      </c>
      <c r="F1406" s="10" t="s">
        <v>172</v>
      </c>
      <c r="G1406" s="10" t="s">
        <v>166</v>
      </c>
      <c r="H1406" s="11" t="str">
        <f>IF(OR(M1406&lt;=0,N1406&lt;=0),"SKIPPED - NONPOSITIVE",IF(OR(M1406&lt;L1406,N1406&lt;L1406),"SKIPPED - BELOW MIN",IF(OR(M1406&gt;J1406,N1406&gt;K1406),"SKIPPED - EXCEEDS BASE",IF(COUNTIFS($M$1389:M1405,M1406,$N$1389:N1405,N1406)&gt;0,"SKIPPED - DUPLICATE","VALID - GENERATED"))))</f>
        <v>VALID - GENERATED</v>
      </c>
      <c r="I1406" s="10" t="s">
        <v>1686</v>
      </c>
      <c r="J1406" s="12">
        <f>'05-ISO Reference'!$B$18</f>
        <v>1000</v>
      </c>
      <c r="K1406" s="12">
        <f>'05-ISO Reference'!$C$18</f>
        <v>1414</v>
      </c>
      <c r="L1406" s="12">
        <f>'01-Process Controls'!$G$5</f>
        <v>3</v>
      </c>
      <c r="M1406" s="12">
        <f>ROUNDDOWN(J1406*'04-Variant Rules'!$D$22,0)</f>
        <v>250</v>
      </c>
      <c r="N1406" s="12">
        <f>ROUNDDOWN(K1406*'04-Variant Rules'!$E$22,0)</f>
        <v>707</v>
      </c>
      <c r="O1406" s="9">
        <v>17</v>
      </c>
    </row>
    <row r="1407" spans="1:15" ht="21" customHeight="1">
      <c r="A1407" s="9" t="s">
        <v>1704</v>
      </c>
      <c r="B1407" s="12">
        <f>IF(LEFT(H1407,5)="VALID",M1407,"")</f>
        <v>666</v>
      </c>
      <c r="C1407" s="12">
        <f>IF(LEFT(H1407,5)="VALID",N1407,"")</f>
        <v>707</v>
      </c>
      <c r="D1407" s="10" t="s">
        <v>82</v>
      </c>
      <c r="E1407" s="10" t="s">
        <v>1685</v>
      </c>
      <c r="F1407" s="10" t="s">
        <v>174</v>
      </c>
      <c r="G1407" s="10" t="s">
        <v>166</v>
      </c>
      <c r="H1407" s="11" t="str">
        <f>IF(OR(M1407&lt;=0,N1407&lt;=0),"SKIPPED - NONPOSITIVE",IF(OR(M1407&lt;L1407,N1407&lt;L1407),"SKIPPED - BELOW MIN",IF(OR(M1407&gt;J1407,N1407&gt;K1407),"SKIPPED - EXCEEDS BASE",IF(COUNTIFS($M$1389:M1406,M1407,$N$1389:N1406,N1407)&gt;0,"SKIPPED - DUPLICATE","VALID - GENERATED"))))</f>
        <v>VALID - GENERATED</v>
      </c>
      <c r="I1407" s="10" t="s">
        <v>1686</v>
      </c>
      <c r="J1407" s="12">
        <f>'05-ISO Reference'!$B$18</f>
        <v>1000</v>
      </c>
      <c r="K1407" s="12">
        <f>'05-ISO Reference'!$C$18</f>
        <v>1414</v>
      </c>
      <c r="L1407" s="12">
        <f>'01-Process Controls'!$G$5</f>
        <v>3</v>
      </c>
      <c r="M1407" s="12">
        <f>ROUNDDOWN(J1407*'04-Variant Rules'!$D$23,0)</f>
        <v>666</v>
      </c>
      <c r="N1407" s="12">
        <f>ROUNDDOWN(K1407*'04-Variant Rules'!$E$23,0)</f>
        <v>707</v>
      </c>
      <c r="O1407" s="9">
        <v>18</v>
      </c>
    </row>
    <row r="1408" spans="1:15" ht="21" customHeight="1">
      <c r="A1408" s="9" t="s">
        <v>1705</v>
      </c>
      <c r="B1408" s="12">
        <f>IF(LEFT(H1408,5)="VALID",M1408,"")</f>
        <v>500</v>
      </c>
      <c r="C1408" s="12">
        <f>IF(LEFT(H1408,5)="VALID",N1408,"")</f>
        <v>942</v>
      </c>
      <c r="D1408" s="10" t="s">
        <v>82</v>
      </c>
      <c r="E1408" s="10" t="s">
        <v>1685</v>
      </c>
      <c r="F1408" s="10" t="s">
        <v>176</v>
      </c>
      <c r="G1408" s="10" t="s">
        <v>166</v>
      </c>
      <c r="H1408" s="11" t="str">
        <f>IF(OR(M1408&lt;=0,N1408&lt;=0),"SKIPPED - NONPOSITIVE",IF(OR(M1408&lt;L1408,N1408&lt;L1408),"SKIPPED - BELOW MIN",IF(OR(M1408&gt;J1408,N1408&gt;K1408),"SKIPPED - EXCEEDS BASE",IF(COUNTIFS($M$1389:M1407,M1408,$N$1389:N1407,N1408)&gt;0,"SKIPPED - DUPLICATE","VALID - GENERATED"))))</f>
        <v>VALID - GENERATED</v>
      </c>
      <c r="I1408" s="10" t="s">
        <v>1686</v>
      </c>
      <c r="J1408" s="12">
        <f>'05-ISO Reference'!$B$18</f>
        <v>1000</v>
      </c>
      <c r="K1408" s="12">
        <f>'05-ISO Reference'!$C$18</f>
        <v>1414</v>
      </c>
      <c r="L1408" s="12">
        <f>'01-Process Controls'!$G$5</f>
        <v>3</v>
      </c>
      <c r="M1408" s="12">
        <f>ROUNDDOWN(J1408*'04-Variant Rules'!$D$24,0)</f>
        <v>500</v>
      </c>
      <c r="N1408" s="12">
        <f>ROUNDDOWN(K1408*'04-Variant Rules'!$E$24,0)</f>
        <v>942</v>
      </c>
      <c r="O1408" s="9">
        <v>19</v>
      </c>
    </row>
    <row r="1409" spans="1:15" ht="21" customHeight="1">
      <c r="A1409" s="9" t="s">
        <v>1706</v>
      </c>
      <c r="B1409" s="12">
        <f>IF(LEFT(H1409,5)="VALID",M1409,"")</f>
        <v>750</v>
      </c>
      <c r="C1409" s="12">
        <f>IF(LEFT(H1409,5)="VALID",N1409,"")</f>
        <v>707</v>
      </c>
      <c r="D1409" s="10" t="s">
        <v>82</v>
      </c>
      <c r="E1409" s="10" t="s">
        <v>1685</v>
      </c>
      <c r="F1409" s="10" t="s">
        <v>178</v>
      </c>
      <c r="G1409" s="10" t="s">
        <v>166</v>
      </c>
      <c r="H1409" s="11" t="str">
        <f>IF(OR(M1409&lt;=0,N1409&lt;=0),"SKIPPED - NONPOSITIVE",IF(OR(M1409&lt;L1409,N1409&lt;L1409),"SKIPPED - BELOW MIN",IF(OR(M1409&gt;J1409,N1409&gt;K1409),"SKIPPED - EXCEEDS BASE",IF(COUNTIFS($M$1389:M1408,M1409,$N$1389:N1408,N1409)&gt;0,"SKIPPED - DUPLICATE","VALID - GENERATED"))))</f>
        <v>VALID - GENERATED</v>
      </c>
      <c r="I1409" s="10" t="s">
        <v>1686</v>
      </c>
      <c r="J1409" s="12">
        <f>'05-ISO Reference'!$B$18</f>
        <v>1000</v>
      </c>
      <c r="K1409" s="12">
        <f>'05-ISO Reference'!$C$18</f>
        <v>1414</v>
      </c>
      <c r="L1409" s="12">
        <f>'01-Process Controls'!$G$5</f>
        <v>3</v>
      </c>
      <c r="M1409" s="12">
        <f>ROUNDDOWN(J1409*'04-Variant Rules'!$D$25,0)</f>
        <v>750</v>
      </c>
      <c r="N1409" s="12">
        <f>ROUNDDOWN(K1409*'04-Variant Rules'!$E$25,0)</f>
        <v>707</v>
      </c>
      <c r="O1409" s="9">
        <v>20</v>
      </c>
    </row>
    <row r="1410" spans="1:15" ht="21" customHeight="1">
      <c r="A1410" s="9" t="s">
        <v>1707</v>
      </c>
      <c r="B1410" s="12">
        <f>IF(LEFT(H1410,5)="VALID",M1410,"")</f>
        <v>500</v>
      </c>
      <c r="C1410" s="12">
        <f>IF(LEFT(H1410,5)="VALID",N1410,"")</f>
        <v>1060</v>
      </c>
      <c r="D1410" s="10" t="s">
        <v>82</v>
      </c>
      <c r="E1410" s="10" t="s">
        <v>1685</v>
      </c>
      <c r="F1410" s="10" t="s">
        <v>180</v>
      </c>
      <c r="G1410" s="10" t="s">
        <v>166</v>
      </c>
      <c r="H1410" s="11" t="str">
        <f>IF(OR(M1410&lt;=0,N1410&lt;=0),"SKIPPED - NONPOSITIVE",IF(OR(M1410&lt;L1410,N1410&lt;L1410),"SKIPPED - BELOW MIN",IF(OR(M1410&gt;J1410,N1410&gt;K1410),"SKIPPED - EXCEEDS BASE",IF(COUNTIFS($M$1389:M1409,M1410,$N$1389:N1409,N1410)&gt;0,"SKIPPED - DUPLICATE","VALID - GENERATED"))))</f>
        <v>VALID - GENERATED</v>
      </c>
      <c r="I1410" s="10" t="s">
        <v>1686</v>
      </c>
      <c r="J1410" s="12">
        <f>'05-ISO Reference'!$B$18</f>
        <v>1000</v>
      </c>
      <c r="K1410" s="12">
        <f>'05-ISO Reference'!$C$18</f>
        <v>1414</v>
      </c>
      <c r="L1410" s="12">
        <f>'01-Process Controls'!$G$5</f>
        <v>3</v>
      </c>
      <c r="M1410" s="12">
        <f>ROUNDDOWN(J1410*'04-Variant Rules'!$D$26,0)</f>
        <v>500</v>
      </c>
      <c r="N1410" s="12">
        <f>ROUNDDOWN(K1410*'04-Variant Rules'!$E$26,0)</f>
        <v>1060</v>
      </c>
      <c r="O1410" s="9">
        <v>21</v>
      </c>
    </row>
    <row r="1411" spans="1:15" ht="21" customHeight="1">
      <c r="A1411" s="9" t="s">
        <v>1708</v>
      </c>
      <c r="B1411" s="12">
        <f>IF(LEFT(H1411,5)="VALID",M1411,"")</f>
        <v>950</v>
      </c>
      <c r="C1411" s="12">
        <f>IF(LEFT(H1411,5)="VALID",N1411,"")</f>
        <v>1343</v>
      </c>
      <c r="D1411" s="10" t="s">
        <v>82</v>
      </c>
      <c r="E1411" s="10" t="s">
        <v>1685</v>
      </c>
      <c r="F1411" s="10" t="s">
        <v>182</v>
      </c>
      <c r="G1411" s="10" t="s">
        <v>183</v>
      </c>
      <c r="H1411" s="11" t="str">
        <f>IF(OR(M1411&lt;=0,N1411&lt;=0),"SKIPPED - NONPOSITIVE",IF(OR(M1411&lt;L1411,N1411&lt;L1411),"SKIPPED - BELOW MIN",IF(OR(M1411&gt;J1411,N1411&gt;K1411),"SKIPPED - EXCEEDS BASE",IF(COUNTIFS($M$1389:M1410,M1411,$N$1389:N1410,N1411)&gt;0,"SKIPPED - DUPLICATE","VALID - GENERATED"))))</f>
        <v>VALID - GENERATED</v>
      </c>
      <c r="I1411" s="10" t="s">
        <v>1686</v>
      </c>
      <c r="J1411" s="12">
        <f>'05-ISO Reference'!$B$18</f>
        <v>1000</v>
      </c>
      <c r="K1411" s="12">
        <f>'05-ISO Reference'!$C$18</f>
        <v>1414</v>
      </c>
      <c r="L1411" s="12">
        <f>'01-Process Controls'!$G$5</f>
        <v>3</v>
      </c>
      <c r="M1411" s="12">
        <f>ROUNDDOWN(J1411*'04-Variant Rules'!$D$27,0)</f>
        <v>950</v>
      </c>
      <c r="N1411" s="12">
        <f>ROUNDDOWN(K1411*'04-Variant Rules'!$E$27,0)</f>
        <v>1343</v>
      </c>
      <c r="O1411" s="9">
        <v>22</v>
      </c>
    </row>
    <row r="1412" spans="1:15" ht="21" customHeight="1">
      <c r="A1412" s="9" t="s">
        <v>1709</v>
      </c>
      <c r="B1412" s="12">
        <f>IF(LEFT(H1412,5)="VALID",M1412,"")</f>
        <v>900</v>
      </c>
      <c r="C1412" s="12">
        <f>IF(LEFT(H1412,5)="VALID",N1412,"")</f>
        <v>1272</v>
      </c>
      <c r="D1412" s="10" t="s">
        <v>82</v>
      </c>
      <c r="E1412" s="10" t="s">
        <v>1685</v>
      </c>
      <c r="F1412" s="10" t="s">
        <v>185</v>
      </c>
      <c r="G1412" s="10" t="s">
        <v>186</v>
      </c>
      <c r="H1412" s="11" t="str">
        <f>IF(OR(M1412&lt;=0,N1412&lt;=0),"SKIPPED - NONPOSITIVE",IF(OR(M1412&lt;L1412,N1412&lt;L1412),"SKIPPED - BELOW MIN",IF(OR(M1412&gt;J1412,N1412&gt;K1412),"SKIPPED - EXCEEDS BASE",IF(COUNTIFS($M$1389:M1411,M1412,$N$1389:N1411,N1412)&gt;0,"SKIPPED - DUPLICATE","VALID - GENERATED"))))</f>
        <v>VALID - GENERATED</v>
      </c>
      <c r="I1412" s="10" t="s">
        <v>1686</v>
      </c>
      <c r="J1412" s="12">
        <f>'05-ISO Reference'!$B$18</f>
        <v>1000</v>
      </c>
      <c r="K1412" s="12">
        <f>'05-ISO Reference'!$C$18</f>
        <v>1414</v>
      </c>
      <c r="L1412" s="12">
        <f>'01-Process Controls'!$G$5</f>
        <v>3</v>
      </c>
      <c r="M1412" s="12">
        <f>ROUNDDOWN(J1412*'04-Variant Rules'!$D$28,0)</f>
        <v>900</v>
      </c>
      <c r="N1412" s="12">
        <f>ROUNDDOWN(K1412*'04-Variant Rules'!$E$28,0)</f>
        <v>1272</v>
      </c>
      <c r="O1412" s="9">
        <v>23</v>
      </c>
    </row>
    <row r="1413" spans="1:15" ht="21" customHeight="1">
      <c r="A1413" s="9" t="s">
        <v>1710</v>
      </c>
      <c r="B1413" s="12">
        <f>IF(LEFT(H1413,5)="VALID",M1413,"")</f>
        <v>850</v>
      </c>
      <c r="C1413" s="12">
        <f>IF(LEFT(H1413,5)="VALID",N1413,"")</f>
        <v>1201</v>
      </c>
      <c r="D1413" s="10" t="s">
        <v>82</v>
      </c>
      <c r="E1413" s="10" t="s">
        <v>1685</v>
      </c>
      <c r="F1413" s="10" t="s">
        <v>188</v>
      </c>
      <c r="G1413" s="10" t="s">
        <v>186</v>
      </c>
      <c r="H1413" s="11" t="str">
        <f>IF(OR(M1413&lt;=0,N1413&lt;=0),"SKIPPED - NONPOSITIVE",IF(OR(M1413&lt;L1413,N1413&lt;L1413),"SKIPPED - BELOW MIN",IF(OR(M1413&gt;J1413,N1413&gt;K1413),"SKIPPED - EXCEEDS BASE",IF(COUNTIFS($M$1389:M1412,M1413,$N$1389:N1412,N1413)&gt;0,"SKIPPED - DUPLICATE","VALID - GENERATED"))))</f>
        <v>VALID - GENERATED</v>
      </c>
      <c r="I1413" s="10" t="s">
        <v>1686</v>
      </c>
      <c r="J1413" s="12">
        <f>'05-ISO Reference'!$B$18</f>
        <v>1000</v>
      </c>
      <c r="K1413" s="12">
        <f>'05-ISO Reference'!$C$18</f>
        <v>1414</v>
      </c>
      <c r="L1413" s="12">
        <f>'01-Process Controls'!$G$5</f>
        <v>3</v>
      </c>
      <c r="M1413" s="12">
        <f>ROUNDDOWN(J1413*'04-Variant Rules'!$D$29,0)</f>
        <v>850</v>
      </c>
      <c r="N1413" s="12">
        <f>ROUNDDOWN(K1413*'04-Variant Rules'!$E$29,0)</f>
        <v>1201</v>
      </c>
      <c r="O1413" s="9">
        <v>24</v>
      </c>
    </row>
    <row r="1414" spans="1:15" ht="21" customHeight="1">
      <c r="A1414" s="9" t="s">
        <v>1711</v>
      </c>
      <c r="B1414" s="12">
        <f>IF(LEFT(H1414,5)="VALID",M1414,"")</f>
        <v>800</v>
      </c>
      <c r="C1414" s="12">
        <f>IF(LEFT(H1414,5)="VALID",N1414,"")</f>
        <v>1131</v>
      </c>
      <c r="D1414" s="10" t="s">
        <v>82</v>
      </c>
      <c r="E1414" s="10" t="s">
        <v>1685</v>
      </c>
      <c r="F1414" s="10" t="s">
        <v>190</v>
      </c>
      <c r="G1414" s="10" t="s">
        <v>186</v>
      </c>
      <c r="H1414" s="11" t="str">
        <f>IF(OR(M1414&lt;=0,N1414&lt;=0),"SKIPPED - NONPOSITIVE",IF(OR(M1414&lt;L1414,N1414&lt;L1414),"SKIPPED - BELOW MIN",IF(OR(M1414&gt;J1414,N1414&gt;K1414),"SKIPPED - EXCEEDS BASE",IF(COUNTIFS($M$1389:M1413,M1414,$N$1389:N1413,N1414)&gt;0,"SKIPPED - DUPLICATE","VALID - GENERATED"))))</f>
        <v>VALID - GENERATED</v>
      </c>
      <c r="I1414" s="10" t="s">
        <v>1686</v>
      </c>
      <c r="J1414" s="12">
        <f>'05-ISO Reference'!$B$18</f>
        <v>1000</v>
      </c>
      <c r="K1414" s="12">
        <f>'05-ISO Reference'!$C$18</f>
        <v>1414</v>
      </c>
      <c r="L1414" s="12">
        <f>'01-Process Controls'!$G$5</f>
        <v>3</v>
      </c>
      <c r="M1414" s="12">
        <f>ROUNDDOWN(J1414*'04-Variant Rules'!$D$30,0)</f>
        <v>800</v>
      </c>
      <c r="N1414" s="12">
        <f>ROUNDDOWN(K1414*'04-Variant Rules'!$E$30,0)</f>
        <v>1131</v>
      </c>
      <c r="O1414" s="9">
        <v>25</v>
      </c>
    </row>
    <row r="1415" spans="1:15" ht="21" customHeight="1">
      <c r="A1415" s="9" t="s">
        <v>1712</v>
      </c>
      <c r="B1415" s="12">
        <f>IF(LEFT(H1415,5)="VALID",M1415,"")</f>
        <v>750</v>
      </c>
      <c r="C1415" s="12">
        <f>IF(LEFT(H1415,5)="VALID",N1415,"")</f>
        <v>1060</v>
      </c>
      <c r="D1415" s="10" t="s">
        <v>82</v>
      </c>
      <c r="E1415" s="10" t="s">
        <v>1685</v>
      </c>
      <c r="F1415" s="10" t="s">
        <v>192</v>
      </c>
      <c r="G1415" s="10" t="s">
        <v>186</v>
      </c>
      <c r="H1415" s="11" t="str">
        <f>IF(OR(M1415&lt;=0,N1415&lt;=0),"SKIPPED - NONPOSITIVE",IF(OR(M1415&lt;L1415,N1415&lt;L1415),"SKIPPED - BELOW MIN",IF(OR(M1415&gt;J1415,N1415&gt;K1415),"SKIPPED - EXCEEDS BASE",IF(COUNTIFS($M$1389:M1414,M1415,$N$1389:N1414,N1415)&gt;0,"SKIPPED - DUPLICATE","VALID - GENERATED"))))</f>
        <v>VALID - GENERATED</v>
      </c>
      <c r="I1415" s="10" t="s">
        <v>1686</v>
      </c>
      <c r="J1415" s="12">
        <f>'05-ISO Reference'!$B$18</f>
        <v>1000</v>
      </c>
      <c r="K1415" s="12">
        <f>'05-ISO Reference'!$C$18</f>
        <v>1414</v>
      </c>
      <c r="L1415" s="12">
        <f>'01-Process Controls'!$G$5</f>
        <v>3</v>
      </c>
      <c r="M1415" s="12">
        <f>ROUNDDOWN(J1415*'04-Variant Rules'!$D$31,0)</f>
        <v>750</v>
      </c>
      <c r="N1415" s="12">
        <f>ROUNDDOWN(K1415*'04-Variant Rules'!$E$31,0)</f>
        <v>1060</v>
      </c>
      <c r="O1415" s="9">
        <v>26</v>
      </c>
    </row>
    <row r="1416" spans="1:15" ht="21" customHeight="1">
      <c r="A1416" s="9" t="s">
        <v>1713</v>
      </c>
      <c r="B1416" s="12">
        <f>IF(LEFT(H1416,5)="VALID",M1416,"")</f>
        <v>700</v>
      </c>
      <c r="C1416" s="12">
        <f>IF(LEFT(H1416,5)="VALID",N1416,"")</f>
        <v>989</v>
      </c>
      <c r="D1416" s="10" t="s">
        <v>82</v>
      </c>
      <c r="E1416" s="10" t="s">
        <v>1685</v>
      </c>
      <c r="F1416" s="10" t="s">
        <v>194</v>
      </c>
      <c r="G1416" s="10" t="s">
        <v>186</v>
      </c>
      <c r="H1416" s="11" t="str">
        <f>IF(OR(M1416&lt;=0,N1416&lt;=0),"SKIPPED - NONPOSITIVE",IF(OR(M1416&lt;L1416,N1416&lt;L1416),"SKIPPED - BELOW MIN",IF(OR(M1416&gt;J1416,N1416&gt;K1416),"SKIPPED - EXCEEDS BASE",IF(COUNTIFS($M$1389:M1415,M1416,$N$1389:N1415,N1416)&gt;0,"SKIPPED - DUPLICATE","VALID - GENERATED"))))</f>
        <v>VALID - GENERATED</v>
      </c>
      <c r="I1416" s="10" t="s">
        <v>1686</v>
      </c>
      <c r="J1416" s="12">
        <f>'05-ISO Reference'!$B$18</f>
        <v>1000</v>
      </c>
      <c r="K1416" s="12">
        <f>'05-ISO Reference'!$C$18</f>
        <v>1414</v>
      </c>
      <c r="L1416" s="12">
        <f>'01-Process Controls'!$G$5</f>
        <v>3</v>
      </c>
      <c r="M1416" s="12">
        <f>ROUNDDOWN(J1416*'04-Variant Rules'!$D$32,0)</f>
        <v>700</v>
      </c>
      <c r="N1416" s="12">
        <f>ROUNDDOWN(K1416*'04-Variant Rules'!$E$32,0)</f>
        <v>989</v>
      </c>
      <c r="O1416" s="9">
        <v>27</v>
      </c>
    </row>
    <row r="1417" spans="1:15" ht="21" customHeight="1">
      <c r="A1417" s="9" t="s">
        <v>1714</v>
      </c>
      <c r="B1417" s="12">
        <f>IF(LEFT(H1417,5)="VALID",M1417,"")</f>
        <v>666</v>
      </c>
      <c r="C1417" s="12">
        <f>IF(LEFT(H1417,5)="VALID",N1417,"")</f>
        <v>942</v>
      </c>
      <c r="D1417" s="10" t="s">
        <v>82</v>
      </c>
      <c r="E1417" s="10" t="s">
        <v>1685</v>
      </c>
      <c r="F1417" s="10" t="s">
        <v>196</v>
      </c>
      <c r="G1417" s="10" t="s">
        <v>186</v>
      </c>
      <c r="H1417" s="11" t="str">
        <f>IF(OR(M1417&lt;=0,N1417&lt;=0),"SKIPPED - NONPOSITIVE",IF(OR(M1417&lt;L1417,N1417&lt;L1417),"SKIPPED - BELOW MIN",IF(OR(M1417&gt;J1417,N1417&gt;K1417),"SKIPPED - EXCEEDS BASE",IF(COUNTIFS($M$1389:M1416,M1417,$N$1389:N1416,N1417)&gt;0,"SKIPPED - DUPLICATE","VALID - GENERATED"))))</f>
        <v>VALID - GENERATED</v>
      </c>
      <c r="I1417" s="10" t="s">
        <v>1686</v>
      </c>
      <c r="J1417" s="12">
        <f>'05-ISO Reference'!$B$18</f>
        <v>1000</v>
      </c>
      <c r="K1417" s="12">
        <f>'05-ISO Reference'!$C$18</f>
        <v>1414</v>
      </c>
      <c r="L1417" s="12">
        <f>'01-Process Controls'!$G$5</f>
        <v>3</v>
      </c>
      <c r="M1417" s="12">
        <f>ROUNDDOWN(J1417*'04-Variant Rules'!$D$33,0)</f>
        <v>666</v>
      </c>
      <c r="N1417" s="12">
        <f>ROUNDDOWN(K1417*'04-Variant Rules'!$E$33,0)</f>
        <v>942</v>
      </c>
      <c r="O1417" s="9">
        <v>28</v>
      </c>
    </row>
    <row r="1418" spans="1:15" ht="21" customHeight="1">
      <c r="A1418" s="9" t="s">
        <v>1715</v>
      </c>
      <c r="B1418" s="12">
        <f>IF(LEFT(H1418,5)="VALID",M1418,"")</f>
        <v>600</v>
      </c>
      <c r="C1418" s="12">
        <f>IF(LEFT(H1418,5)="VALID",N1418,"")</f>
        <v>848</v>
      </c>
      <c r="D1418" s="10" t="s">
        <v>82</v>
      </c>
      <c r="E1418" s="10" t="s">
        <v>1685</v>
      </c>
      <c r="F1418" s="10" t="s">
        <v>198</v>
      </c>
      <c r="G1418" s="10" t="s">
        <v>186</v>
      </c>
      <c r="H1418" s="11" t="str">
        <f>IF(OR(M1418&lt;=0,N1418&lt;=0),"SKIPPED - NONPOSITIVE",IF(OR(M1418&lt;L1418,N1418&lt;L1418),"SKIPPED - BELOW MIN",IF(OR(M1418&gt;J1418,N1418&gt;K1418),"SKIPPED - EXCEEDS BASE",IF(COUNTIFS($M$1389:M1417,M1418,$N$1389:N1417,N1418)&gt;0,"SKIPPED - DUPLICATE","VALID - GENERATED"))))</f>
        <v>VALID - GENERATED</v>
      </c>
      <c r="I1418" s="10" t="s">
        <v>1686</v>
      </c>
      <c r="J1418" s="12">
        <f>'05-ISO Reference'!$B$18</f>
        <v>1000</v>
      </c>
      <c r="K1418" s="12">
        <f>'05-ISO Reference'!$C$18</f>
        <v>1414</v>
      </c>
      <c r="L1418" s="12">
        <f>'01-Process Controls'!$G$5</f>
        <v>3</v>
      </c>
      <c r="M1418" s="12">
        <f>ROUNDDOWN(J1418*'04-Variant Rules'!$D$34,0)</f>
        <v>600</v>
      </c>
      <c r="N1418" s="12">
        <f>ROUNDDOWN(K1418*'04-Variant Rules'!$E$34,0)</f>
        <v>848</v>
      </c>
      <c r="O1418" s="9">
        <v>29</v>
      </c>
    </row>
    <row r="1419" spans="1:15" ht="21" customHeight="1">
      <c r="A1419" s="9" t="s">
        <v>1716</v>
      </c>
      <c r="B1419" s="12">
        <f>IF(LEFT(H1419,5)="VALID",M1419,"")</f>
        <v>550</v>
      </c>
      <c r="C1419" s="12">
        <f>IF(LEFT(H1419,5)="VALID",N1419,"")</f>
        <v>777</v>
      </c>
      <c r="D1419" s="10" t="s">
        <v>82</v>
      </c>
      <c r="E1419" s="10" t="s">
        <v>1685</v>
      </c>
      <c r="F1419" s="10" t="s">
        <v>200</v>
      </c>
      <c r="G1419" s="10" t="s">
        <v>186</v>
      </c>
      <c r="H1419" s="11" t="str">
        <f>IF(OR(M1419&lt;=0,N1419&lt;=0),"SKIPPED - NONPOSITIVE",IF(OR(M1419&lt;L1419,N1419&lt;L1419),"SKIPPED - BELOW MIN",IF(OR(M1419&gt;J1419,N1419&gt;K1419),"SKIPPED - EXCEEDS BASE",IF(COUNTIFS($M$1389:M1418,M1419,$N$1389:N1418,N1419)&gt;0,"SKIPPED - DUPLICATE","VALID - GENERATED"))))</f>
        <v>VALID - GENERATED</v>
      </c>
      <c r="I1419" s="10" t="s">
        <v>1686</v>
      </c>
      <c r="J1419" s="12">
        <f>'05-ISO Reference'!$B$18</f>
        <v>1000</v>
      </c>
      <c r="K1419" s="12">
        <f>'05-ISO Reference'!$C$18</f>
        <v>1414</v>
      </c>
      <c r="L1419" s="12">
        <f>'01-Process Controls'!$G$5</f>
        <v>3</v>
      </c>
      <c r="M1419" s="12">
        <f>ROUNDDOWN(J1419*'04-Variant Rules'!$D$35,0)</f>
        <v>550</v>
      </c>
      <c r="N1419" s="12">
        <f>ROUNDDOWN(K1419*'04-Variant Rules'!$E$35,0)</f>
        <v>777</v>
      </c>
      <c r="O1419" s="9">
        <v>30</v>
      </c>
    </row>
    <row r="1420" spans="1:15" ht="21" customHeight="1">
      <c r="A1420" s="9" t="s">
        <v>1717</v>
      </c>
      <c r="B1420" s="12">
        <f>IF(LEFT(H1420,5)="VALID",M1420,"")</f>
        <v>450</v>
      </c>
      <c r="C1420" s="12">
        <f>IF(LEFT(H1420,5)="VALID",N1420,"")</f>
        <v>636</v>
      </c>
      <c r="D1420" s="10" t="s">
        <v>82</v>
      </c>
      <c r="E1420" s="10" t="s">
        <v>1685</v>
      </c>
      <c r="F1420" s="10" t="s">
        <v>202</v>
      </c>
      <c r="G1420" s="10" t="s">
        <v>186</v>
      </c>
      <c r="H1420" s="11" t="str">
        <f>IF(OR(M1420&lt;=0,N1420&lt;=0),"SKIPPED - NONPOSITIVE",IF(OR(M1420&lt;L1420,N1420&lt;L1420),"SKIPPED - BELOW MIN",IF(OR(M1420&gt;J1420,N1420&gt;K1420),"SKIPPED - EXCEEDS BASE",IF(COUNTIFS($M$1389:M1419,M1420,$N$1389:N1419,N1420)&gt;0,"SKIPPED - DUPLICATE","VALID - GENERATED"))))</f>
        <v>VALID - GENERATED</v>
      </c>
      <c r="I1420" s="10" t="s">
        <v>1686</v>
      </c>
      <c r="J1420" s="12">
        <f>'05-ISO Reference'!$B$18</f>
        <v>1000</v>
      </c>
      <c r="K1420" s="12">
        <f>'05-ISO Reference'!$C$18</f>
        <v>1414</v>
      </c>
      <c r="L1420" s="12">
        <f>'01-Process Controls'!$G$5</f>
        <v>3</v>
      </c>
      <c r="M1420" s="12">
        <f>ROUNDDOWN(J1420*'04-Variant Rules'!$D$36,0)</f>
        <v>450</v>
      </c>
      <c r="N1420" s="12">
        <f>ROUNDDOWN(K1420*'04-Variant Rules'!$E$36,0)</f>
        <v>636</v>
      </c>
      <c r="O1420" s="9">
        <v>31</v>
      </c>
    </row>
    <row r="1421" spans="1:15" ht="21" customHeight="1">
      <c r="A1421" s="9" t="s">
        <v>1718</v>
      </c>
      <c r="B1421" s="12">
        <f>IF(LEFT(H1421,5)="VALID",M1421,"")</f>
        <v>400</v>
      </c>
      <c r="C1421" s="12">
        <f>IF(LEFT(H1421,5)="VALID",N1421,"")</f>
        <v>565</v>
      </c>
      <c r="D1421" s="10" t="s">
        <v>82</v>
      </c>
      <c r="E1421" s="10" t="s">
        <v>1685</v>
      </c>
      <c r="F1421" s="10" t="s">
        <v>204</v>
      </c>
      <c r="G1421" s="10" t="s">
        <v>186</v>
      </c>
      <c r="H1421" s="11" t="str">
        <f>IF(OR(M1421&lt;=0,N1421&lt;=0),"SKIPPED - NONPOSITIVE",IF(OR(M1421&lt;L1421,N1421&lt;L1421),"SKIPPED - BELOW MIN",IF(OR(M1421&gt;J1421,N1421&gt;K1421),"SKIPPED - EXCEEDS BASE",IF(COUNTIFS($M$1389:M1420,M1421,$N$1389:N1420,N1421)&gt;0,"SKIPPED - DUPLICATE","VALID - GENERATED"))))</f>
        <v>VALID - GENERATED</v>
      </c>
      <c r="I1421" s="10" t="s">
        <v>1686</v>
      </c>
      <c r="J1421" s="12">
        <f>'05-ISO Reference'!$B$18</f>
        <v>1000</v>
      </c>
      <c r="K1421" s="12">
        <f>'05-ISO Reference'!$C$18</f>
        <v>1414</v>
      </c>
      <c r="L1421" s="12">
        <f>'01-Process Controls'!$G$5</f>
        <v>3</v>
      </c>
      <c r="M1421" s="12">
        <f>ROUNDDOWN(J1421*'04-Variant Rules'!$D$37,0)</f>
        <v>400</v>
      </c>
      <c r="N1421" s="12">
        <f>ROUNDDOWN(K1421*'04-Variant Rules'!$E$37,0)</f>
        <v>565</v>
      </c>
      <c r="O1421" s="9">
        <v>32</v>
      </c>
    </row>
    <row r="1422" spans="1:15" ht="21" customHeight="1">
      <c r="A1422" s="9" t="s">
        <v>1719</v>
      </c>
      <c r="B1422" s="12">
        <f>IF(LEFT(H1422,5)="VALID",M1422,"")</f>
        <v>350</v>
      </c>
      <c r="C1422" s="12">
        <f>IF(LEFT(H1422,5)="VALID",N1422,"")</f>
        <v>494</v>
      </c>
      <c r="D1422" s="10" t="s">
        <v>82</v>
      </c>
      <c r="E1422" s="10" t="s">
        <v>1685</v>
      </c>
      <c r="F1422" s="10" t="s">
        <v>206</v>
      </c>
      <c r="G1422" s="10" t="s">
        <v>186</v>
      </c>
      <c r="H1422" s="11" t="str">
        <f>IF(OR(M1422&lt;=0,N1422&lt;=0),"SKIPPED - NONPOSITIVE",IF(OR(M1422&lt;L1422,N1422&lt;L1422),"SKIPPED - BELOW MIN",IF(OR(M1422&gt;J1422,N1422&gt;K1422),"SKIPPED - EXCEEDS BASE",IF(COUNTIFS($M$1389:M1421,M1422,$N$1389:N1421,N1422)&gt;0,"SKIPPED - DUPLICATE","VALID - GENERATED"))))</f>
        <v>VALID - GENERATED</v>
      </c>
      <c r="I1422" s="10" t="s">
        <v>1686</v>
      </c>
      <c r="J1422" s="12">
        <f>'05-ISO Reference'!$B$18</f>
        <v>1000</v>
      </c>
      <c r="K1422" s="12">
        <f>'05-ISO Reference'!$C$18</f>
        <v>1414</v>
      </c>
      <c r="L1422" s="12">
        <f>'01-Process Controls'!$G$5</f>
        <v>3</v>
      </c>
      <c r="M1422" s="12">
        <f>ROUNDDOWN(J1422*'04-Variant Rules'!$D$38,0)</f>
        <v>350</v>
      </c>
      <c r="N1422" s="12">
        <f>ROUNDDOWN(K1422*'04-Variant Rules'!$E$38,0)</f>
        <v>494</v>
      </c>
      <c r="O1422" s="9">
        <v>33</v>
      </c>
    </row>
    <row r="1423" spans="1:15" ht="21" customHeight="1">
      <c r="A1423" s="9" t="s">
        <v>1720</v>
      </c>
      <c r="B1423" s="12">
        <f>IF(LEFT(H1423,5)="VALID",M1423,"")</f>
        <v>300</v>
      </c>
      <c r="C1423" s="12">
        <f>IF(LEFT(H1423,5)="VALID",N1423,"")</f>
        <v>424</v>
      </c>
      <c r="D1423" s="10" t="s">
        <v>82</v>
      </c>
      <c r="E1423" s="10" t="s">
        <v>1685</v>
      </c>
      <c r="F1423" s="10" t="s">
        <v>208</v>
      </c>
      <c r="G1423" s="10" t="s">
        <v>186</v>
      </c>
      <c r="H1423" s="11" t="str">
        <f>IF(OR(M1423&lt;=0,N1423&lt;=0),"SKIPPED - NONPOSITIVE",IF(OR(M1423&lt;L1423,N1423&lt;L1423),"SKIPPED - BELOW MIN",IF(OR(M1423&gt;J1423,N1423&gt;K1423),"SKIPPED - EXCEEDS BASE",IF(COUNTIFS($M$1389:M1422,M1423,$N$1389:N1422,N1423)&gt;0,"SKIPPED - DUPLICATE","VALID - GENERATED"))))</f>
        <v>VALID - GENERATED</v>
      </c>
      <c r="I1423" s="10" t="s">
        <v>1686</v>
      </c>
      <c r="J1423" s="12">
        <f>'05-ISO Reference'!$B$18</f>
        <v>1000</v>
      </c>
      <c r="K1423" s="12">
        <f>'05-ISO Reference'!$C$18</f>
        <v>1414</v>
      </c>
      <c r="L1423" s="12">
        <f>'01-Process Controls'!$G$5</f>
        <v>3</v>
      </c>
      <c r="M1423" s="12">
        <f>ROUNDDOWN(J1423*'04-Variant Rules'!$D$39,0)</f>
        <v>300</v>
      </c>
      <c r="N1423" s="12">
        <f>ROUNDDOWN(K1423*'04-Variant Rules'!$E$39,0)</f>
        <v>424</v>
      </c>
      <c r="O1423" s="9">
        <v>34</v>
      </c>
    </row>
    <row r="1424" spans="1:15" ht="21" customHeight="1">
      <c r="A1424" s="9" t="s">
        <v>1721</v>
      </c>
      <c r="B1424" s="12">
        <f>IF(LEFT(H1424,5)="VALID",M1424,"")</f>
        <v>200</v>
      </c>
      <c r="C1424" s="12">
        <f>IF(LEFT(H1424,5)="VALID",N1424,"")</f>
        <v>282</v>
      </c>
      <c r="D1424" s="10" t="s">
        <v>82</v>
      </c>
      <c r="E1424" s="10" t="s">
        <v>1685</v>
      </c>
      <c r="F1424" s="10" t="s">
        <v>210</v>
      </c>
      <c r="G1424" s="10" t="s">
        <v>186</v>
      </c>
      <c r="H1424" s="11" t="str">
        <f>IF(OR(M1424&lt;=0,N1424&lt;=0),"SKIPPED - NONPOSITIVE",IF(OR(M1424&lt;L1424,N1424&lt;L1424),"SKIPPED - BELOW MIN",IF(OR(M1424&gt;J1424,N1424&gt;K1424),"SKIPPED - EXCEEDS BASE",IF(COUNTIFS($M$1389:M1423,M1424,$N$1389:N1423,N1424)&gt;0,"SKIPPED - DUPLICATE","VALID - GENERATED"))))</f>
        <v>VALID - GENERATED</v>
      </c>
      <c r="I1424" s="10" t="s">
        <v>1686</v>
      </c>
      <c r="J1424" s="12">
        <f>'05-ISO Reference'!$B$18</f>
        <v>1000</v>
      </c>
      <c r="K1424" s="12">
        <f>'05-ISO Reference'!$C$18</f>
        <v>1414</v>
      </c>
      <c r="L1424" s="12">
        <f>'01-Process Controls'!$G$5</f>
        <v>3</v>
      </c>
      <c r="M1424" s="12">
        <f>ROUNDDOWN(J1424*'04-Variant Rules'!$D$40,0)</f>
        <v>200</v>
      </c>
      <c r="N1424" s="12">
        <f>ROUNDDOWN(K1424*'04-Variant Rules'!$E$40,0)</f>
        <v>282</v>
      </c>
      <c r="O1424" s="9">
        <v>35</v>
      </c>
    </row>
    <row r="1425" spans="1:15" ht="21" customHeight="1">
      <c r="A1425" s="9" t="s">
        <v>1722</v>
      </c>
      <c r="B1425" s="12">
        <f>IF(LEFT(H1425,5)="VALID",M1425,"")</f>
        <v>150</v>
      </c>
      <c r="C1425" s="12">
        <f>IF(LEFT(H1425,5)="VALID",N1425,"")</f>
        <v>212</v>
      </c>
      <c r="D1425" s="10" t="s">
        <v>82</v>
      </c>
      <c r="E1425" s="10" t="s">
        <v>1685</v>
      </c>
      <c r="F1425" s="10" t="s">
        <v>212</v>
      </c>
      <c r="G1425" s="10" t="s">
        <v>213</v>
      </c>
      <c r="H1425" s="11" t="str">
        <f>IF(OR(M1425&lt;=0,N1425&lt;=0),"SKIPPED - NONPOSITIVE",IF(OR(M1425&lt;L1425,N1425&lt;L1425),"SKIPPED - BELOW MIN",IF(OR(M1425&gt;J1425,N1425&gt;K1425),"SKIPPED - EXCEEDS BASE",IF(COUNTIFS($M$1389:M1424,M1425,$N$1389:N1424,N1425)&gt;0,"SKIPPED - DUPLICATE","VALID - GENERATED"))))</f>
        <v>VALID - GENERATED</v>
      </c>
      <c r="I1425" s="10" t="s">
        <v>1686</v>
      </c>
      <c r="J1425" s="12">
        <f>'05-ISO Reference'!$B$18</f>
        <v>1000</v>
      </c>
      <c r="K1425" s="12">
        <f>'05-ISO Reference'!$C$18</f>
        <v>1414</v>
      </c>
      <c r="L1425" s="12">
        <f>'01-Process Controls'!$G$5</f>
        <v>3</v>
      </c>
      <c r="M1425" s="12">
        <f>ROUNDDOWN(J1425*'04-Variant Rules'!$D$41,0)</f>
        <v>150</v>
      </c>
      <c r="N1425" s="12">
        <f>ROUNDDOWN(K1425*'04-Variant Rules'!$E$41,0)</f>
        <v>212</v>
      </c>
      <c r="O1425" s="9">
        <v>36</v>
      </c>
    </row>
    <row r="1426" spans="1:15" ht="21" customHeight="1">
      <c r="A1426" s="9" t="s">
        <v>1723</v>
      </c>
      <c r="B1426" s="12">
        <f>IF(LEFT(H1426,5)="VALID",M1426,"")</f>
        <v>1000</v>
      </c>
      <c r="C1426" s="12">
        <f>IF(LEFT(H1426,5)="VALID",N1426,"")</f>
        <v>1000</v>
      </c>
      <c r="D1426" s="10" t="s">
        <v>82</v>
      </c>
      <c r="E1426" s="10" t="s">
        <v>1685</v>
      </c>
      <c r="F1426" s="10" t="s">
        <v>215</v>
      </c>
      <c r="G1426" s="10" t="s">
        <v>216</v>
      </c>
      <c r="H1426" s="11" t="str">
        <f>IF(OR(M1426&lt;=0,N1426&lt;=0),"SKIPPED - NONPOSITIVE",IF(OR(M1426&lt;L1426,N1426&lt;L1426),"SKIPPED - BELOW MIN",IF(OR(M1426&gt;J1426,N1426&gt;K1426),"SKIPPED - EXCEEDS BASE",IF(COUNTIFS($M$1389:M1425,M1426,$N$1389:N1425,N1426)&gt;0,"SKIPPED - DUPLICATE","VALID - GENERATED"))))</f>
        <v>VALID - GENERATED</v>
      </c>
      <c r="I1426" s="10" t="s">
        <v>1686</v>
      </c>
      <c r="J1426" s="12">
        <f>'05-ISO Reference'!$B$18</f>
        <v>1000</v>
      </c>
      <c r="K1426" s="12">
        <f>'05-ISO Reference'!$C$18</f>
        <v>1414</v>
      </c>
      <c r="L1426" s="12">
        <f>'01-Process Controls'!$G$5</f>
        <v>3</v>
      </c>
      <c r="M1426" s="12">
        <f>ROUNDDOWN(MIN(J1426,K1426)*'04-Variant Rules'!$D$42,0)</f>
        <v>1000</v>
      </c>
      <c r="N1426" s="12">
        <f>ROUNDDOWN(MIN(J1426,K1426)*'04-Variant Rules'!$D$42,0)</f>
        <v>1000</v>
      </c>
      <c r="O1426" s="9">
        <v>37</v>
      </c>
    </row>
    <row r="1427" spans="1:15" ht="21" customHeight="1">
      <c r="A1427" s="9" t="s">
        <v>1724</v>
      </c>
      <c r="B1427" s="12">
        <f>IF(LEFT(H1427,5)="VALID",M1427,"")</f>
        <v>900</v>
      </c>
      <c r="C1427" s="12">
        <f>IF(LEFT(H1427,5)="VALID",N1427,"")</f>
        <v>900</v>
      </c>
      <c r="D1427" s="10" t="s">
        <v>82</v>
      </c>
      <c r="E1427" s="10" t="s">
        <v>1685</v>
      </c>
      <c r="F1427" s="10" t="s">
        <v>218</v>
      </c>
      <c r="G1427" s="10" t="s">
        <v>219</v>
      </c>
      <c r="H1427" s="11" t="str">
        <f>IF(OR(M1427&lt;=0,N1427&lt;=0),"SKIPPED - NONPOSITIVE",IF(OR(M1427&lt;L1427,N1427&lt;L1427),"SKIPPED - BELOW MIN",IF(OR(M1427&gt;J1427,N1427&gt;K1427),"SKIPPED - EXCEEDS BASE",IF(COUNTIFS($M$1389:M1426,M1427,$N$1389:N1426,N1427)&gt;0,"SKIPPED - DUPLICATE","VALID - GENERATED"))))</f>
        <v>VALID - GENERATED</v>
      </c>
      <c r="I1427" s="10" t="s">
        <v>1686</v>
      </c>
      <c r="J1427" s="12">
        <f>'05-ISO Reference'!$B$18</f>
        <v>1000</v>
      </c>
      <c r="K1427" s="12">
        <f>'05-ISO Reference'!$C$18</f>
        <v>1414</v>
      </c>
      <c r="L1427" s="12">
        <f>'01-Process Controls'!$G$5</f>
        <v>3</v>
      </c>
      <c r="M1427" s="12">
        <f>ROUNDDOWN(MIN(J1427,K1427)*'04-Variant Rules'!$D$43,0)</f>
        <v>900</v>
      </c>
      <c r="N1427" s="12">
        <f>ROUNDDOWN(MIN(J1427,K1427)*'04-Variant Rules'!$D$43,0)</f>
        <v>900</v>
      </c>
      <c r="O1427" s="9">
        <v>38</v>
      </c>
    </row>
    <row r="1428" spans="1:15" ht="21" customHeight="1">
      <c r="A1428" s="9" t="s">
        <v>1725</v>
      </c>
      <c r="B1428" s="12">
        <f>IF(LEFT(H1428,5)="VALID",M1428,"")</f>
        <v>800</v>
      </c>
      <c r="C1428" s="12">
        <f>IF(LEFT(H1428,5)="VALID",N1428,"")</f>
        <v>800</v>
      </c>
      <c r="D1428" s="10" t="s">
        <v>82</v>
      </c>
      <c r="E1428" s="10" t="s">
        <v>1685</v>
      </c>
      <c r="F1428" s="10" t="s">
        <v>221</v>
      </c>
      <c r="G1428" s="10" t="s">
        <v>219</v>
      </c>
      <c r="H1428" s="11" t="str">
        <f>IF(OR(M1428&lt;=0,N1428&lt;=0),"SKIPPED - NONPOSITIVE",IF(OR(M1428&lt;L1428,N1428&lt;L1428),"SKIPPED - BELOW MIN",IF(OR(M1428&gt;J1428,N1428&gt;K1428),"SKIPPED - EXCEEDS BASE",IF(COUNTIFS($M$1389:M1427,M1428,$N$1389:N1427,N1428)&gt;0,"SKIPPED - DUPLICATE","VALID - GENERATED"))))</f>
        <v>VALID - GENERATED</v>
      </c>
      <c r="I1428" s="10" t="s">
        <v>1686</v>
      </c>
      <c r="J1428" s="12">
        <f>'05-ISO Reference'!$B$18</f>
        <v>1000</v>
      </c>
      <c r="K1428" s="12">
        <f>'05-ISO Reference'!$C$18</f>
        <v>1414</v>
      </c>
      <c r="L1428" s="12">
        <f>'01-Process Controls'!$G$5</f>
        <v>3</v>
      </c>
      <c r="M1428" s="12">
        <f>ROUNDDOWN(MIN(J1428,K1428)*'04-Variant Rules'!$D$44,0)</f>
        <v>800</v>
      </c>
      <c r="N1428" s="12">
        <f>ROUNDDOWN(MIN(J1428,K1428)*'04-Variant Rules'!$D$44,0)</f>
        <v>800</v>
      </c>
      <c r="O1428" s="9">
        <v>39</v>
      </c>
    </row>
    <row r="1429" spans="1:15" ht="21" customHeight="1">
      <c r="A1429" s="9" t="s">
        <v>1726</v>
      </c>
      <c r="B1429" s="12">
        <f>IF(LEFT(H1429,5)="VALID",M1429,"")</f>
        <v>750</v>
      </c>
      <c r="C1429" s="12">
        <f>IF(LEFT(H1429,5)="VALID",N1429,"")</f>
        <v>750</v>
      </c>
      <c r="D1429" s="10" t="s">
        <v>82</v>
      </c>
      <c r="E1429" s="10" t="s">
        <v>1685</v>
      </c>
      <c r="F1429" s="10" t="s">
        <v>223</v>
      </c>
      <c r="G1429" s="10" t="s">
        <v>219</v>
      </c>
      <c r="H1429" s="11" t="str">
        <f>IF(OR(M1429&lt;=0,N1429&lt;=0),"SKIPPED - NONPOSITIVE",IF(OR(M1429&lt;L1429,N1429&lt;L1429),"SKIPPED - BELOW MIN",IF(OR(M1429&gt;J1429,N1429&gt;K1429),"SKIPPED - EXCEEDS BASE",IF(COUNTIFS($M$1389:M1428,M1429,$N$1389:N1428,N1429)&gt;0,"SKIPPED - DUPLICATE","VALID - GENERATED"))))</f>
        <v>VALID - GENERATED</v>
      </c>
      <c r="I1429" s="10" t="s">
        <v>1686</v>
      </c>
      <c r="J1429" s="12">
        <f>'05-ISO Reference'!$B$18</f>
        <v>1000</v>
      </c>
      <c r="K1429" s="12">
        <f>'05-ISO Reference'!$C$18</f>
        <v>1414</v>
      </c>
      <c r="L1429" s="12">
        <f>'01-Process Controls'!$G$5</f>
        <v>3</v>
      </c>
      <c r="M1429" s="12">
        <f>ROUNDDOWN(MIN(J1429,K1429)*'04-Variant Rules'!$D$45,0)</f>
        <v>750</v>
      </c>
      <c r="N1429" s="12">
        <f>ROUNDDOWN(MIN(J1429,K1429)*'04-Variant Rules'!$D$45,0)</f>
        <v>750</v>
      </c>
      <c r="O1429" s="9">
        <v>40</v>
      </c>
    </row>
    <row r="1430" spans="1:15" ht="21" customHeight="1">
      <c r="A1430" s="9" t="s">
        <v>1727</v>
      </c>
      <c r="B1430" s="12">
        <f>IF(LEFT(H1430,5)="VALID",M1430,"")</f>
        <v>666</v>
      </c>
      <c r="C1430" s="12">
        <f>IF(LEFT(H1430,5)="VALID",N1430,"")</f>
        <v>666</v>
      </c>
      <c r="D1430" s="10" t="s">
        <v>82</v>
      </c>
      <c r="E1430" s="10" t="s">
        <v>1685</v>
      </c>
      <c r="F1430" s="10" t="s">
        <v>225</v>
      </c>
      <c r="G1430" s="10" t="s">
        <v>219</v>
      </c>
      <c r="H1430" s="11" t="str">
        <f>IF(OR(M1430&lt;=0,N1430&lt;=0),"SKIPPED - NONPOSITIVE",IF(OR(M1430&lt;L1430,N1430&lt;L1430),"SKIPPED - BELOW MIN",IF(OR(M1430&gt;J1430,N1430&gt;K1430),"SKIPPED - EXCEEDS BASE",IF(COUNTIFS($M$1389:M1429,M1430,$N$1389:N1429,N1430)&gt;0,"SKIPPED - DUPLICATE","VALID - GENERATED"))))</f>
        <v>VALID - GENERATED</v>
      </c>
      <c r="I1430" s="10" t="s">
        <v>1686</v>
      </c>
      <c r="J1430" s="12">
        <f>'05-ISO Reference'!$B$18</f>
        <v>1000</v>
      </c>
      <c r="K1430" s="12">
        <f>'05-ISO Reference'!$C$18</f>
        <v>1414</v>
      </c>
      <c r="L1430" s="12">
        <f>'01-Process Controls'!$G$5</f>
        <v>3</v>
      </c>
      <c r="M1430" s="12">
        <f>ROUNDDOWN(MIN(J1430,K1430)*'04-Variant Rules'!$D$46,0)</f>
        <v>666</v>
      </c>
      <c r="N1430" s="12">
        <f>ROUNDDOWN(MIN(J1430,K1430)*'04-Variant Rules'!$D$46,0)</f>
        <v>666</v>
      </c>
      <c r="O1430" s="9">
        <v>41</v>
      </c>
    </row>
    <row r="1431" spans="1:15" ht="21" customHeight="1">
      <c r="A1431" s="9" t="s">
        <v>1728</v>
      </c>
      <c r="B1431" s="12">
        <f>IF(LEFT(H1431,5)="VALID",M1431,"")</f>
        <v>600</v>
      </c>
      <c r="C1431" s="12">
        <f>IF(LEFT(H1431,5)="VALID",N1431,"")</f>
        <v>600</v>
      </c>
      <c r="D1431" s="10" t="s">
        <v>82</v>
      </c>
      <c r="E1431" s="10" t="s">
        <v>1685</v>
      </c>
      <c r="F1431" s="10" t="s">
        <v>227</v>
      </c>
      <c r="G1431" s="10" t="s">
        <v>219</v>
      </c>
      <c r="H1431" s="11" t="str">
        <f>IF(OR(M1431&lt;=0,N1431&lt;=0),"SKIPPED - NONPOSITIVE",IF(OR(M1431&lt;L1431,N1431&lt;L1431),"SKIPPED - BELOW MIN",IF(OR(M1431&gt;J1431,N1431&gt;K1431),"SKIPPED - EXCEEDS BASE",IF(COUNTIFS($M$1389:M1430,M1431,$N$1389:N1430,N1431)&gt;0,"SKIPPED - DUPLICATE","VALID - GENERATED"))))</f>
        <v>VALID - GENERATED</v>
      </c>
      <c r="I1431" s="10" t="s">
        <v>1686</v>
      </c>
      <c r="J1431" s="12">
        <f>'05-ISO Reference'!$B$18</f>
        <v>1000</v>
      </c>
      <c r="K1431" s="12">
        <f>'05-ISO Reference'!$C$18</f>
        <v>1414</v>
      </c>
      <c r="L1431" s="12">
        <f>'01-Process Controls'!$G$5</f>
        <v>3</v>
      </c>
      <c r="M1431" s="12">
        <f>ROUNDDOWN(MIN(J1431,K1431)*'04-Variant Rules'!$D$47,0)</f>
        <v>600</v>
      </c>
      <c r="N1431" s="12">
        <f>ROUNDDOWN(MIN(J1431,K1431)*'04-Variant Rules'!$D$47,0)</f>
        <v>600</v>
      </c>
      <c r="O1431" s="9">
        <v>42</v>
      </c>
    </row>
    <row r="1432" spans="1:15" ht="21" customHeight="1">
      <c r="A1432" s="9" t="s">
        <v>1729</v>
      </c>
      <c r="B1432" s="12">
        <f>IF(LEFT(H1432,5)="VALID",M1432,"")</f>
        <v>500</v>
      </c>
      <c r="C1432" s="12">
        <f>IF(LEFT(H1432,5)="VALID",N1432,"")</f>
        <v>500</v>
      </c>
      <c r="D1432" s="10" t="s">
        <v>82</v>
      </c>
      <c r="E1432" s="10" t="s">
        <v>1685</v>
      </c>
      <c r="F1432" s="10" t="s">
        <v>229</v>
      </c>
      <c r="G1432" s="10" t="s">
        <v>219</v>
      </c>
      <c r="H1432" s="11" t="str">
        <f>IF(OR(M1432&lt;=0,N1432&lt;=0),"SKIPPED - NONPOSITIVE",IF(OR(M1432&lt;L1432,N1432&lt;L1432),"SKIPPED - BELOW MIN",IF(OR(M1432&gt;J1432,N1432&gt;K1432),"SKIPPED - EXCEEDS BASE",IF(COUNTIFS($M$1389:M1431,M1432,$N$1389:N1431,N1432)&gt;0,"SKIPPED - DUPLICATE","VALID - GENERATED"))))</f>
        <v>VALID - GENERATED</v>
      </c>
      <c r="I1432" s="10" t="s">
        <v>1686</v>
      </c>
      <c r="J1432" s="12">
        <f>'05-ISO Reference'!$B$18</f>
        <v>1000</v>
      </c>
      <c r="K1432" s="12">
        <f>'05-ISO Reference'!$C$18</f>
        <v>1414</v>
      </c>
      <c r="L1432" s="12">
        <f>'01-Process Controls'!$G$5</f>
        <v>3</v>
      </c>
      <c r="M1432" s="12">
        <f>ROUNDDOWN(MIN(J1432,K1432)*'04-Variant Rules'!$D$48,0)</f>
        <v>500</v>
      </c>
      <c r="N1432" s="12">
        <f>ROUNDDOWN(MIN(J1432,K1432)*'04-Variant Rules'!$D$48,0)</f>
        <v>500</v>
      </c>
      <c r="O1432" s="9">
        <v>43</v>
      </c>
    </row>
    <row r="1433" spans="1:15" ht="21" customHeight="1">
      <c r="A1433" s="9" t="s">
        <v>1730</v>
      </c>
      <c r="B1433" s="12">
        <f>IF(LEFT(H1433,5)="VALID",M1433,"")</f>
        <v>400</v>
      </c>
      <c r="C1433" s="12">
        <f>IF(LEFT(H1433,5)="VALID",N1433,"")</f>
        <v>400</v>
      </c>
      <c r="D1433" s="10" t="s">
        <v>82</v>
      </c>
      <c r="E1433" s="10" t="s">
        <v>1685</v>
      </c>
      <c r="F1433" s="10" t="s">
        <v>231</v>
      </c>
      <c r="G1433" s="10" t="s">
        <v>219</v>
      </c>
      <c r="H1433" s="11" t="str">
        <f>IF(OR(M1433&lt;=0,N1433&lt;=0),"SKIPPED - NONPOSITIVE",IF(OR(M1433&lt;L1433,N1433&lt;L1433),"SKIPPED - BELOW MIN",IF(OR(M1433&gt;J1433,N1433&gt;K1433),"SKIPPED - EXCEEDS BASE",IF(COUNTIFS($M$1389:M1432,M1433,$N$1389:N1432,N1433)&gt;0,"SKIPPED - DUPLICATE","VALID - GENERATED"))))</f>
        <v>VALID - GENERATED</v>
      </c>
      <c r="I1433" s="10" t="s">
        <v>1686</v>
      </c>
      <c r="J1433" s="12">
        <f>'05-ISO Reference'!$B$18</f>
        <v>1000</v>
      </c>
      <c r="K1433" s="12">
        <f>'05-ISO Reference'!$C$18</f>
        <v>1414</v>
      </c>
      <c r="L1433" s="12">
        <f>'01-Process Controls'!$G$5</f>
        <v>3</v>
      </c>
      <c r="M1433" s="12">
        <f>ROUNDDOWN(MIN(J1433,K1433)*'04-Variant Rules'!$D$49,0)</f>
        <v>400</v>
      </c>
      <c r="N1433" s="12">
        <f>ROUNDDOWN(MIN(J1433,K1433)*'04-Variant Rules'!$D$49,0)</f>
        <v>400</v>
      </c>
      <c r="O1433" s="9">
        <v>44</v>
      </c>
    </row>
    <row r="1434" spans="1:15" ht="21" customHeight="1">
      <c r="A1434" s="9" t="s">
        <v>1731</v>
      </c>
      <c r="B1434" s="12">
        <f>IF(LEFT(H1434,5)="VALID",M1434,"")</f>
        <v>333</v>
      </c>
      <c r="C1434" s="12">
        <f>IF(LEFT(H1434,5)="VALID",N1434,"")</f>
        <v>333</v>
      </c>
      <c r="D1434" s="10" t="s">
        <v>82</v>
      </c>
      <c r="E1434" s="10" t="s">
        <v>1685</v>
      </c>
      <c r="F1434" s="10" t="s">
        <v>233</v>
      </c>
      <c r="G1434" s="10" t="s">
        <v>219</v>
      </c>
      <c r="H1434" s="11" t="str">
        <f>IF(OR(M1434&lt;=0,N1434&lt;=0),"SKIPPED - NONPOSITIVE",IF(OR(M1434&lt;L1434,N1434&lt;L1434),"SKIPPED - BELOW MIN",IF(OR(M1434&gt;J1434,N1434&gt;K1434),"SKIPPED - EXCEEDS BASE",IF(COUNTIFS($M$1389:M1433,M1434,$N$1389:N1433,N1434)&gt;0,"SKIPPED - DUPLICATE","VALID - GENERATED"))))</f>
        <v>VALID - GENERATED</v>
      </c>
      <c r="I1434" s="10" t="s">
        <v>1686</v>
      </c>
      <c r="J1434" s="12">
        <f>'05-ISO Reference'!$B$18</f>
        <v>1000</v>
      </c>
      <c r="K1434" s="12">
        <f>'05-ISO Reference'!$C$18</f>
        <v>1414</v>
      </c>
      <c r="L1434" s="12">
        <f>'01-Process Controls'!$G$5</f>
        <v>3</v>
      </c>
      <c r="M1434" s="12">
        <f>ROUNDDOWN(MIN(J1434,K1434)*'04-Variant Rules'!$D$50,0)</f>
        <v>333</v>
      </c>
      <c r="N1434" s="12">
        <f>ROUNDDOWN(MIN(J1434,K1434)*'04-Variant Rules'!$D$50,0)</f>
        <v>333</v>
      </c>
      <c r="O1434" s="9">
        <v>45</v>
      </c>
    </row>
    <row r="1435" spans="1:15" ht="21" customHeight="1">
      <c r="A1435" s="9" t="s">
        <v>1732</v>
      </c>
      <c r="B1435" s="12">
        <f>IF(LEFT(H1435,5)="VALID",M1435,"")</f>
        <v>250</v>
      </c>
      <c r="C1435" s="12">
        <f>IF(LEFT(H1435,5)="VALID",N1435,"")</f>
        <v>250</v>
      </c>
      <c r="D1435" s="10" t="s">
        <v>82</v>
      </c>
      <c r="E1435" s="10" t="s">
        <v>1685</v>
      </c>
      <c r="F1435" s="10" t="s">
        <v>235</v>
      </c>
      <c r="G1435" s="10" t="s">
        <v>219</v>
      </c>
      <c r="H1435" s="11" t="str">
        <f>IF(OR(M1435&lt;=0,N1435&lt;=0),"SKIPPED - NONPOSITIVE",IF(OR(M1435&lt;L1435,N1435&lt;L1435),"SKIPPED - BELOW MIN",IF(OR(M1435&gt;J1435,N1435&gt;K1435),"SKIPPED - EXCEEDS BASE",IF(COUNTIFS($M$1389:M1434,M1435,$N$1389:N1434,N1435)&gt;0,"SKIPPED - DUPLICATE","VALID - GENERATED"))))</f>
        <v>VALID - GENERATED</v>
      </c>
      <c r="I1435" s="10" t="s">
        <v>1686</v>
      </c>
      <c r="J1435" s="12">
        <f>'05-ISO Reference'!$B$18</f>
        <v>1000</v>
      </c>
      <c r="K1435" s="12">
        <f>'05-ISO Reference'!$C$18</f>
        <v>1414</v>
      </c>
      <c r="L1435" s="12">
        <f>'01-Process Controls'!$G$5</f>
        <v>3</v>
      </c>
      <c r="M1435" s="12">
        <f>ROUNDDOWN(MIN(J1435,K1435)*'04-Variant Rules'!$D$51,0)</f>
        <v>250</v>
      </c>
      <c r="N1435" s="12">
        <f>ROUNDDOWN(MIN(J1435,K1435)*'04-Variant Rules'!$D$51,0)</f>
        <v>250</v>
      </c>
      <c r="O1435" s="9">
        <v>46</v>
      </c>
    </row>
    <row r="1436" spans="1:15" ht="21" customHeight="1">
      <c r="A1436" s="9" t="s">
        <v>1733</v>
      </c>
      <c r="B1436" s="12">
        <f>IF(LEFT(H1436,5)="VALID",M1436,"")</f>
        <v>200</v>
      </c>
      <c r="C1436" s="12">
        <f>IF(LEFT(H1436,5)="VALID",N1436,"")</f>
        <v>200</v>
      </c>
      <c r="D1436" s="10" t="s">
        <v>82</v>
      </c>
      <c r="E1436" s="10" t="s">
        <v>1685</v>
      </c>
      <c r="F1436" s="10" t="s">
        <v>237</v>
      </c>
      <c r="G1436" s="10" t="s">
        <v>219</v>
      </c>
      <c r="H1436" s="11" t="str">
        <f>IF(OR(M1436&lt;=0,N1436&lt;=0),"SKIPPED - NONPOSITIVE",IF(OR(M1436&lt;L1436,N1436&lt;L1436),"SKIPPED - BELOW MIN",IF(OR(M1436&gt;J1436,N1436&gt;K1436),"SKIPPED - EXCEEDS BASE",IF(COUNTIFS($M$1389:M1435,M1436,$N$1389:N1435,N1436)&gt;0,"SKIPPED - DUPLICATE","VALID - GENERATED"))))</f>
        <v>VALID - GENERATED</v>
      </c>
      <c r="I1436" s="10" t="s">
        <v>1686</v>
      </c>
      <c r="J1436" s="12">
        <f>'05-ISO Reference'!$B$18</f>
        <v>1000</v>
      </c>
      <c r="K1436" s="12">
        <f>'05-ISO Reference'!$C$18</f>
        <v>1414</v>
      </c>
      <c r="L1436" s="12">
        <f>'01-Process Controls'!$G$5</f>
        <v>3</v>
      </c>
      <c r="M1436" s="12">
        <f>ROUNDDOWN(MIN(J1436,K1436)*'04-Variant Rules'!$D$52,0)</f>
        <v>200</v>
      </c>
      <c r="N1436" s="12">
        <f>ROUNDDOWN(MIN(J1436,K1436)*'04-Variant Rules'!$D$52,0)</f>
        <v>200</v>
      </c>
      <c r="O1436" s="9">
        <v>47</v>
      </c>
    </row>
    <row r="1437" spans="1:15" ht="21" customHeight="1">
      <c r="A1437" s="9" t="s">
        <v>1734</v>
      </c>
      <c r="B1437" s="12">
        <f>IF(LEFT(H1437,5)="VALID",M1437,"")</f>
        <v>1000</v>
      </c>
      <c r="C1437" s="12">
        <f>IF(LEFT(H1437,5)="VALID",N1437,"")</f>
        <v>750</v>
      </c>
      <c r="D1437" s="10" t="s">
        <v>82</v>
      </c>
      <c r="E1437" s="10" t="s">
        <v>1685</v>
      </c>
      <c r="F1437" s="10" t="s">
        <v>239</v>
      </c>
      <c r="G1437" s="10" t="s">
        <v>240</v>
      </c>
      <c r="H1437" s="11" t="str">
        <f>IF(OR(M1437&lt;=0,N1437&lt;=0),"SKIPPED - NONPOSITIVE",IF(OR(M1437&lt;L1437,N1437&lt;L1437),"SKIPPED - BELOW MIN",IF(OR(M1437&gt;J1437,N1437&gt;K1437),"SKIPPED - EXCEEDS BASE",IF(COUNTIFS($M$1389:M1436,M1437,$N$1389:N1436,N1437)&gt;0,"SKIPPED - DUPLICATE","VALID - GENERATED"))))</f>
        <v>VALID - GENERATED</v>
      </c>
      <c r="I1437" s="10" t="s">
        <v>1686</v>
      </c>
      <c r="J1437" s="12">
        <f>'05-ISO Reference'!$B$18</f>
        <v>1000</v>
      </c>
      <c r="K1437" s="12">
        <f>'05-ISO Reference'!$C$18</f>
        <v>1414</v>
      </c>
      <c r="L1437" s="12">
        <f>'01-Process Controls'!$G$5</f>
        <v>3</v>
      </c>
      <c r="M1437" s="12">
        <f>ROUNDDOWN(MIN(J1437,K1437*'04-Variant Rules'!$D$53),0)</f>
        <v>1000</v>
      </c>
      <c r="N1437" s="12">
        <f>ROUNDDOWN(M1437/'04-Variant Rules'!$D$53,0)</f>
        <v>750</v>
      </c>
      <c r="O1437" s="9">
        <v>48</v>
      </c>
    </row>
    <row r="1438" spans="1:15" ht="21" customHeight="1">
      <c r="A1438" s="9" t="s">
        <v>1735</v>
      </c>
      <c r="B1438" s="12">
        <f>IF(LEFT(H1438,5)="VALID",M1438,"")</f>
        <v>1000</v>
      </c>
      <c r="C1438" s="12">
        <f>IF(LEFT(H1438,5)="VALID",N1438,"")</f>
        <v>1333</v>
      </c>
      <c r="D1438" s="10" t="s">
        <v>82</v>
      </c>
      <c r="E1438" s="10" t="s">
        <v>1685</v>
      </c>
      <c r="F1438" s="10" t="s">
        <v>242</v>
      </c>
      <c r="G1438" s="10" t="s">
        <v>243</v>
      </c>
      <c r="H1438" s="11" t="str">
        <f>IF(OR(M1438&lt;=0,N1438&lt;=0),"SKIPPED - NONPOSITIVE",IF(OR(M1438&lt;L1438,N1438&lt;L1438),"SKIPPED - BELOW MIN",IF(OR(M1438&gt;J1438,N1438&gt;K1438),"SKIPPED - EXCEEDS BASE",IF(COUNTIFS($M$1389:M1437,M1438,$N$1389:N1437,N1438)&gt;0,"SKIPPED - DUPLICATE","VALID - GENERATED"))))</f>
        <v>VALID - GENERATED</v>
      </c>
      <c r="I1438" s="10" t="s">
        <v>1686</v>
      </c>
      <c r="J1438" s="12">
        <f>'05-ISO Reference'!$B$18</f>
        <v>1000</v>
      </c>
      <c r="K1438" s="12">
        <f>'05-ISO Reference'!$C$18</f>
        <v>1414</v>
      </c>
      <c r="L1438" s="12">
        <f>'01-Process Controls'!$G$5</f>
        <v>3</v>
      </c>
      <c r="M1438" s="12">
        <f>ROUNDDOWN(MIN(J1438,K1438*'04-Variant Rules'!$D$54),0)</f>
        <v>1000</v>
      </c>
      <c r="N1438" s="12">
        <f>ROUNDDOWN(M1438/'04-Variant Rules'!$D$54,0)</f>
        <v>1333</v>
      </c>
      <c r="O1438" s="9">
        <v>49</v>
      </c>
    </row>
    <row r="1439" spans="1:15" ht="21" customHeight="1">
      <c r="A1439" s="9" t="s">
        <v>1736</v>
      </c>
      <c r="B1439" s="12">
        <f>IF(LEFT(H1439,5)="VALID",M1439,"")</f>
        <v>1000</v>
      </c>
      <c r="C1439" s="12">
        <f>IF(LEFT(H1439,5)="VALID",N1439,"")</f>
        <v>666</v>
      </c>
      <c r="D1439" s="10" t="s">
        <v>82</v>
      </c>
      <c r="E1439" s="10" t="s">
        <v>1685</v>
      </c>
      <c r="F1439" s="10" t="s">
        <v>245</v>
      </c>
      <c r="G1439" s="10" t="s">
        <v>246</v>
      </c>
      <c r="H1439" s="11" t="str">
        <f>IF(OR(M1439&lt;=0,N1439&lt;=0),"SKIPPED - NONPOSITIVE",IF(OR(M1439&lt;L1439,N1439&lt;L1439),"SKIPPED - BELOW MIN",IF(OR(M1439&gt;J1439,N1439&gt;K1439),"SKIPPED - EXCEEDS BASE",IF(COUNTIFS($M$1389:M1438,M1439,$N$1389:N1438,N1439)&gt;0,"SKIPPED - DUPLICATE","VALID - GENERATED"))))</f>
        <v>VALID - GENERATED</v>
      </c>
      <c r="I1439" s="10" t="s">
        <v>1686</v>
      </c>
      <c r="J1439" s="12">
        <f>'05-ISO Reference'!$B$18</f>
        <v>1000</v>
      </c>
      <c r="K1439" s="12">
        <f>'05-ISO Reference'!$C$18</f>
        <v>1414</v>
      </c>
      <c r="L1439" s="12">
        <f>'01-Process Controls'!$G$5</f>
        <v>3</v>
      </c>
      <c r="M1439" s="12">
        <f>ROUNDDOWN(MIN(J1439,K1439*'04-Variant Rules'!$D$55),0)</f>
        <v>1000</v>
      </c>
      <c r="N1439" s="12">
        <f>ROUNDDOWN(M1439/'04-Variant Rules'!$D$55,0)</f>
        <v>666</v>
      </c>
      <c r="O1439" s="9">
        <v>50</v>
      </c>
    </row>
    <row r="1440" spans="1:15" ht="21" customHeight="1">
      <c r="A1440" s="9" t="s">
        <v>1737</v>
      </c>
      <c r="B1440" s="12">
        <f>IF(LEFT(H1440,5)="VALID",M1440,"")</f>
        <v>942</v>
      </c>
      <c r="C1440" s="12">
        <f>IF(LEFT(H1440,5)="VALID",N1440,"")</f>
        <v>1413</v>
      </c>
      <c r="D1440" s="10" t="s">
        <v>82</v>
      </c>
      <c r="E1440" s="10" t="s">
        <v>1685</v>
      </c>
      <c r="F1440" s="10" t="s">
        <v>248</v>
      </c>
      <c r="G1440" s="10" t="s">
        <v>249</v>
      </c>
      <c r="H1440" s="11" t="str">
        <f>IF(OR(M1440&lt;=0,N1440&lt;=0),"SKIPPED - NONPOSITIVE",IF(OR(M1440&lt;L1440,N1440&lt;L1440),"SKIPPED - BELOW MIN",IF(OR(M1440&gt;J1440,N1440&gt;K1440),"SKIPPED - EXCEEDS BASE",IF(COUNTIFS($M$1389:M1439,M1440,$N$1389:N1439,N1440)&gt;0,"SKIPPED - DUPLICATE","VALID - GENERATED"))))</f>
        <v>VALID - GENERATED</v>
      </c>
      <c r="I1440" s="10" t="s">
        <v>1686</v>
      </c>
      <c r="J1440" s="12">
        <f>'05-ISO Reference'!$B$18</f>
        <v>1000</v>
      </c>
      <c r="K1440" s="12">
        <f>'05-ISO Reference'!$C$18</f>
        <v>1414</v>
      </c>
      <c r="L1440" s="12">
        <f>'01-Process Controls'!$G$5</f>
        <v>3</v>
      </c>
      <c r="M1440" s="12">
        <f>ROUNDDOWN(MIN(J1440,K1440*'04-Variant Rules'!$D$56),0)</f>
        <v>942</v>
      </c>
      <c r="N1440" s="12">
        <f>ROUNDDOWN(M1440/'04-Variant Rules'!$D$56,0)</f>
        <v>1413</v>
      </c>
      <c r="O1440" s="9">
        <v>51</v>
      </c>
    </row>
    <row r="1441" spans="1:15" ht="21" customHeight="1">
      <c r="A1441" s="9" t="s">
        <v>1738</v>
      </c>
      <c r="B1441" s="12">
        <f>IF(LEFT(H1441,5)="VALID",M1441,"")</f>
        <v>1000</v>
      </c>
      <c r="C1441" s="12">
        <f>IF(LEFT(H1441,5)="VALID",N1441,"")</f>
        <v>562</v>
      </c>
      <c r="D1441" s="10" t="s">
        <v>82</v>
      </c>
      <c r="E1441" s="10" t="s">
        <v>1685</v>
      </c>
      <c r="F1441" s="10" t="s">
        <v>251</v>
      </c>
      <c r="G1441" s="10" t="s">
        <v>252</v>
      </c>
      <c r="H1441" s="11" t="str">
        <f>IF(OR(M1441&lt;=0,N1441&lt;=0),"SKIPPED - NONPOSITIVE",IF(OR(M1441&lt;L1441,N1441&lt;L1441),"SKIPPED - BELOW MIN",IF(OR(M1441&gt;J1441,N1441&gt;K1441),"SKIPPED - EXCEEDS BASE",IF(COUNTIFS($M$1389:M1440,M1441,$N$1389:N1440,N1441)&gt;0,"SKIPPED - DUPLICATE","VALID - GENERATED"))))</f>
        <v>VALID - GENERATED</v>
      </c>
      <c r="I1441" s="10" t="s">
        <v>1686</v>
      </c>
      <c r="J1441" s="12">
        <f>'05-ISO Reference'!$B$18</f>
        <v>1000</v>
      </c>
      <c r="K1441" s="12">
        <f>'05-ISO Reference'!$C$18</f>
        <v>1414</v>
      </c>
      <c r="L1441" s="12">
        <f>'01-Process Controls'!$G$5</f>
        <v>3</v>
      </c>
      <c r="M1441" s="12">
        <f>ROUNDDOWN(MIN(J1441,K1441*'04-Variant Rules'!$D$57),0)</f>
        <v>1000</v>
      </c>
      <c r="N1441" s="12">
        <f>ROUNDDOWN(M1441/'04-Variant Rules'!$D$57,0)</f>
        <v>562</v>
      </c>
      <c r="O1441" s="9">
        <v>52</v>
      </c>
    </row>
    <row r="1442" spans="1:15" ht="21" customHeight="1">
      <c r="A1442" s="9" t="s">
        <v>1739</v>
      </c>
      <c r="B1442" s="12">
        <f>IF(LEFT(H1442,5)="VALID",M1442,"")</f>
        <v>795</v>
      </c>
      <c r="C1442" s="12">
        <f>IF(LEFT(H1442,5)="VALID",N1442,"")</f>
        <v>1413</v>
      </c>
      <c r="D1442" s="10" t="s">
        <v>82</v>
      </c>
      <c r="E1442" s="10" t="s">
        <v>1685</v>
      </c>
      <c r="F1442" s="10" t="s">
        <v>254</v>
      </c>
      <c r="G1442" s="10" t="s">
        <v>255</v>
      </c>
      <c r="H1442" s="11" t="str">
        <f>IF(OR(M1442&lt;=0,N1442&lt;=0),"SKIPPED - NONPOSITIVE",IF(OR(M1442&lt;L1442,N1442&lt;L1442),"SKIPPED - BELOW MIN",IF(OR(M1442&gt;J1442,N1442&gt;K1442),"SKIPPED - EXCEEDS BASE",IF(COUNTIFS($M$1389:M1441,M1442,$N$1389:N1441,N1442)&gt;0,"SKIPPED - DUPLICATE","VALID - GENERATED"))))</f>
        <v>VALID - GENERATED</v>
      </c>
      <c r="I1442" s="10" t="s">
        <v>1686</v>
      </c>
      <c r="J1442" s="12">
        <f>'05-ISO Reference'!$B$18</f>
        <v>1000</v>
      </c>
      <c r="K1442" s="12">
        <f>'05-ISO Reference'!$C$18</f>
        <v>1414</v>
      </c>
      <c r="L1442" s="12">
        <f>'01-Process Controls'!$G$5</f>
        <v>3</v>
      </c>
      <c r="M1442" s="12">
        <f>ROUNDDOWN(MIN(J1442,K1442*'04-Variant Rules'!$D$58),0)</f>
        <v>795</v>
      </c>
      <c r="N1442" s="12">
        <f>ROUNDDOWN(M1442/'04-Variant Rules'!$D$58,0)</f>
        <v>1413</v>
      </c>
      <c r="O1442" s="9">
        <v>53</v>
      </c>
    </row>
    <row r="1443" spans="1:15" ht="21" customHeight="1">
      <c r="A1443" s="9" t="s">
        <v>1740</v>
      </c>
      <c r="B1443" s="12">
        <f>IF(LEFT(H1443,5)="VALID",M1443,"")</f>
        <v>1000</v>
      </c>
      <c r="C1443" s="12">
        <f>IF(LEFT(H1443,5)="VALID",N1443,"")</f>
        <v>500</v>
      </c>
      <c r="D1443" s="10" t="s">
        <v>82</v>
      </c>
      <c r="E1443" s="10" t="s">
        <v>1685</v>
      </c>
      <c r="F1443" s="10" t="s">
        <v>257</v>
      </c>
      <c r="G1443" s="10" t="s">
        <v>258</v>
      </c>
      <c r="H1443" s="11" t="str">
        <f>IF(OR(M1443&lt;=0,N1443&lt;=0),"SKIPPED - NONPOSITIVE",IF(OR(M1443&lt;L1443,N1443&lt;L1443),"SKIPPED - BELOW MIN",IF(OR(M1443&gt;J1443,N1443&gt;K1443),"SKIPPED - EXCEEDS BASE",IF(COUNTIFS($M$1389:M1442,M1443,$N$1389:N1442,N1443)&gt;0,"SKIPPED - DUPLICATE","VALID - GENERATED"))))</f>
        <v>VALID - GENERATED</v>
      </c>
      <c r="I1443" s="10" t="s">
        <v>1686</v>
      </c>
      <c r="J1443" s="12">
        <f>'05-ISO Reference'!$B$18</f>
        <v>1000</v>
      </c>
      <c r="K1443" s="12">
        <f>'05-ISO Reference'!$C$18</f>
        <v>1414</v>
      </c>
      <c r="L1443" s="12">
        <f>'01-Process Controls'!$G$5</f>
        <v>3</v>
      </c>
      <c r="M1443" s="12">
        <f>ROUNDDOWN(MIN(J1443,K1443*'04-Variant Rules'!$D$59),0)</f>
        <v>1000</v>
      </c>
      <c r="N1443" s="12">
        <f>ROUNDDOWN(M1443/'04-Variant Rules'!$D$59,0)</f>
        <v>500</v>
      </c>
      <c r="O1443" s="9">
        <v>54</v>
      </c>
    </row>
    <row r="1444" spans="1:15" ht="21" customHeight="1">
      <c r="A1444" s="9" t="s">
        <v>1741</v>
      </c>
      <c r="B1444" s="12">
        <f>IF(LEFT(H1444,5)="VALID",M1444,"")</f>
        <v>707</v>
      </c>
      <c r="C1444" s="12">
        <f>IF(LEFT(H1444,5)="VALID",N1444,"")</f>
        <v>1414</v>
      </c>
      <c r="D1444" s="10" t="s">
        <v>82</v>
      </c>
      <c r="E1444" s="10" t="s">
        <v>1685</v>
      </c>
      <c r="F1444" s="10" t="s">
        <v>260</v>
      </c>
      <c r="G1444" s="10" t="s">
        <v>261</v>
      </c>
      <c r="H1444" s="11" t="str">
        <f>IF(OR(M1444&lt;=0,N1444&lt;=0),"SKIPPED - NONPOSITIVE",IF(OR(M1444&lt;L1444,N1444&lt;L1444),"SKIPPED - BELOW MIN",IF(OR(M1444&gt;J1444,N1444&gt;K1444),"SKIPPED - EXCEEDS BASE",IF(COUNTIFS($M$1389:M1443,M1444,$N$1389:N1443,N1444)&gt;0,"SKIPPED - DUPLICATE","VALID - GENERATED"))))</f>
        <v>VALID - GENERATED</v>
      </c>
      <c r="I1444" s="10" t="s">
        <v>1686</v>
      </c>
      <c r="J1444" s="12">
        <f>'05-ISO Reference'!$B$18</f>
        <v>1000</v>
      </c>
      <c r="K1444" s="12">
        <f>'05-ISO Reference'!$C$18</f>
        <v>1414</v>
      </c>
      <c r="L1444" s="12">
        <f>'01-Process Controls'!$G$5</f>
        <v>3</v>
      </c>
      <c r="M1444" s="12">
        <f>ROUNDDOWN(MIN(J1444,K1444*'04-Variant Rules'!$D$60),0)</f>
        <v>707</v>
      </c>
      <c r="N1444" s="12">
        <f>ROUNDDOWN(M1444/'04-Variant Rules'!$D$60,0)</f>
        <v>1414</v>
      </c>
      <c r="O1444" s="9">
        <v>55</v>
      </c>
    </row>
    <row r="1445" spans="1:15" ht="21" customHeight="1">
      <c r="A1445" s="9" t="s">
        <v>1742</v>
      </c>
      <c r="B1445" s="48"/>
      <c r="C1445" s="48"/>
      <c r="D1445" s="10" t="s">
        <v>263</v>
      </c>
      <c r="E1445" s="10" t="s">
        <v>1743</v>
      </c>
      <c r="F1445" s="10" t="s">
        <v>265</v>
      </c>
      <c r="G1445" s="10" t="s">
        <v>266</v>
      </c>
      <c r="H1445" s="11" t="str">
        <f>IF(AND(B1445="",C1445=""),"CUSTOM BLANK",IF(OR(B1445="",C1445=""),"ERROR - ENTER BOTH",IF(OR(B1445&lt;=0,C1445&lt;=0),"ERROR - NONPOSITIVE",IF(OR(B1445&lt;L1445,C1445&lt;L1445),"ERROR - BELOW MIN",IF(OR(AND(B1445&lt;=J1445,C1445&lt;=K1445),AND(B1445&lt;=K1445,C1445&lt;=J1445)),"VALID - CUSTOM","ERROR - EXCEEDS BASE")))))</f>
        <v>CUSTOM BLANK</v>
      </c>
      <c r="I1445" s="10" t="s">
        <v>267</v>
      </c>
      <c r="J1445" s="12">
        <f>'05-ISO Reference'!$B$18</f>
        <v>1000</v>
      </c>
      <c r="K1445" s="12">
        <f>'05-ISO Reference'!$C$18</f>
        <v>1414</v>
      </c>
      <c r="L1445" s="12">
        <f>'01-Process Controls'!$G$5</f>
        <v>3</v>
      </c>
      <c r="M1445" s="8"/>
      <c r="N1445" s="8"/>
    </row>
    <row r="1446" spans="1:15" ht="21" customHeight="1">
      <c r="A1446" s="9" t="s">
        <v>1744</v>
      </c>
      <c r="B1446" s="48"/>
      <c r="C1446" s="48"/>
      <c r="D1446" s="10" t="s">
        <v>263</v>
      </c>
      <c r="E1446" s="10" t="s">
        <v>1743</v>
      </c>
      <c r="F1446" s="10" t="s">
        <v>265</v>
      </c>
      <c r="G1446" s="10" t="s">
        <v>266</v>
      </c>
      <c r="H1446" s="11" t="str">
        <f>IF(AND(B1446="",C1446=""),"CUSTOM BLANK",IF(OR(B1446="",C1446=""),"ERROR - ENTER BOTH",IF(OR(B1446&lt;=0,C1446&lt;=0),"ERROR - NONPOSITIVE",IF(OR(B1446&lt;L1446,C1446&lt;L1446),"ERROR - BELOW MIN",IF(OR(AND(B1446&lt;=J1446,C1446&lt;=K1446),AND(B1446&lt;=K1446,C1446&lt;=J1446)),"VALID - CUSTOM","ERROR - EXCEEDS BASE")))))</f>
        <v>CUSTOM BLANK</v>
      </c>
      <c r="I1446" s="10" t="s">
        <v>267</v>
      </c>
      <c r="J1446" s="12">
        <f>'05-ISO Reference'!$B$18</f>
        <v>1000</v>
      </c>
      <c r="K1446" s="12">
        <f>'05-ISO Reference'!$C$18</f>
        <v>1414</v>
      </c>
      <c r="L1446" s="12">
        <f>'01-Process Controls'!$G$5</f>
        <v>3</v>
      </c>
      <c r="M1446" s="8"/>
      <c r="N1446" s="8"/>
    </row>
    <row r="1447" spans="1:15" ht="21" customHeight="1">
      <c r="A1447" s="9" t="s">
        <v>1745</v>
      </c>
      <c r="B1447" s="48"/>
      <c r="C1447" s="48"/>
      <c r="D1447" s="10" t="s">
        <v>263</v>
      </c>
      <c r="E1447" s="10" t="s">
        <v>1743</v>
      </c>
      <c r="F1447" s="10" t="s">
        <v>265</v>
      </c>
      <c r="G1447" s="10" t="s">
        <v>266</v>
      </c>
      <c r="H1447" s="11" t="str">
        <f>IF(AND(B1447="",C1447=""),"CUSTOM BLANK",IF(OR(B1447="",C1447=""),"ERROR - ENTER BOTH",IF(OR(B1447&lt;=0,C1447&lt;=0),"ERROR - NONPOSITIVE",IF(OR(B1447&lt;L1447,C1447&lt;L1447),"ERROR - BELOW MIN",IF(OR(AND(B1447&lt;=J1447,C1447&lt;=K1447),AND(B1447&lt;=K1447,C1447&lt;=J1447)),"VALID - CUSTOM","ERROR - EXCEEDS BASE")))))</f>
        <v>CUSTOM BLANK</v>
      </c>
      <c r="I1447" s="10" t="s">
        <v>267</v>
      </c>
      <c r="J1447" s="12">
        <f>'05-ISO Reference'!$B$18</f>
        <v>1000</v>
      </c>
      <c r="K1447" s="12">
        <f>'05-ISO Reference'!$C$18</f>
        <v>1414</v>
      </c>
      <c r="L1447" s="12">
        <f>'01-Process Controls'!$G$5</f>
        <v>3</v>
      </c>
      <c r="M1447" s="8"/>
      <c r="N1447" s="8"/>
    </row>
    <row r="1448" spans="1:15" ht="21" customHeight="1">
      <c r="A1448" s="9" t="s">
        <v>1746</v>
      </c>
      <c r="B1448" s="48"/>
      <c r="C1448" s="48"/>
      <c r="D1448" s="10" t="s">
        <v>263</v>
      </c>
      <c r="E1448" s="10" t="s">
        <v>1743</v>
      </c>
      <c r="F1448" s="10" t="s">
        <v>265</v>
      </c>
      <c r="G1448" s="10" t="s">
        <v>266</v>
      </c>
      <c r="H1448" s="11" t="str">
        <f>IF(AND(B1448="",C1448=""),"CUSTOM BLANK",IF(OR(B1448="",C1448=""),"ERROR - ENTER BOTH",IF(OR(B1448&lt;=0,C1448&lt;=0),"ERROR - NONPOSITIVE",IF(OR(B1448&lt;L1448,C1448&lt;L1448),"ERROR - BELOW MIN",IF(OR(AND(B1448&lt;=J1448,C1448&lt;=K1448),AND(B1448&lt;=K1448,C1448&lt;=J1448)),"VALID - CUSTOM","ERROR - EXCEEDS BASE")))))</f>
        <v>CUSTOM BLANK</v>
      </c>
      <c r="I1448" s="10" t="s">
        <v>267</v>
      </c>
      <c r="J1448" s="12">
        <f>'05-ISO Reference'!$B$18</f>
        <v>1000</v>
      </c>
      <c r="K1448" s="12">
        <f>'05-ISO Reference'!$C$18</f>
        <v>1414</v>
      </c>
      <c r="L1448" s="12">
        <f>'01-Process Controls'!$G$5</f>
        <v>3</v>
      </c>
      <c r="M1448" s="8"/>
      <c r="N1448" s="8"/>
    </row>
    <row r="1449" spans="1:15" ht="21" customHeight="1">
      <c r="A1449" s="9" t="s">
        <v>1747</v>
      </c>
      <c r="B1449" s="48"/>
      <c r="C1449" s="48"/>
      <c r="D1449" s="10" t="s">
        <v>263</v>
      </c>
      <c r="E1449" s="10" t="s">
        <v>1743</v>
      </c>
      <c r="F1449" s="10" t="s">
        <v>265</v>
      </c>
      <c r="G1449" s="10" t="s">
        <v>266</v>
      </c>
      <c r="H1449" s="11" t="str">
        <f>IF(AND(B1449="",C1449=""),"CUSTOM BLANK",IF(OR(B1449="",C1449=""),"ERROR - ENTER BOTH",IF(OR(B1449&lt;=0,C1449&lt;=0),"ERROR - NONPOSITIVE",IF(OR(B1449&lt;L1449,C1449&lt;L1449),"ERROR - BELOW MIN",IF(OR(AND(B1449&lt;=J1449,C1449&lt;=K1449),AND(B1449&lt;=K1449,C1449&lt;=J1449)),"VALID - CUSTOM","ERROR - EXCEEDS BASE")))))</f>
        <v>CUSTOM BLANK</v>
      </c>
      <c r="I1449" s="10" t="s">
        <v>267</v>
      </c>
      <c r="J1449" s="12">
        <f>'05-ISO Reference'!$B$18</f>
        <v>1000</v>
      </c>
      <c r="K1449" s="12">
        <f>'05-ISO Reference'!$C$18</f>
        <v>1414</v>
      </c>
      <c r="L1449" s="12">
        <f>'01-Process Controls'!$G$5</f>
        <v>3</v>
      </c>
      <c r="M1449" s="8"/>
      <c r="N1449" s="8"/>
    </row>
    <row r="1450" spans="1:15" ht="21" customHeight="1">
      <c r="A1450" s="9" t="s">
        <v>1748</v>
      </c>
      <c r="B1450" s="48"/>
      <c r="C1450" s="48"/>
      <c r="D1450" s="10" t="s">
        <v>263</v>
      </c>
      <c r="E1450" s="10" t="s">
        <v>1743</v>
      </c>
      <c r="F1450" s="10" t="s">
        <v>265</v>
      </c>
      <c r="G1450" s="10" t="s">
        <v>266</v>
      </c>
      <c r="H1450" s="11" t="str">
        <f>IF(AND(B1450="",C1450=""),"CUSTOM BLANK",IF(OR(B1450="",C1450=""),"ERROR - ENTER BOTH",IF(OR(B1450&lt;=0,C1450&lt;=0),"ERROR - NONPOSITIVE",IF(OR(B1450&lt;L1450,C1450&lt;L1450),"ERROR - BELOW MIN",IF(OR(AND(B1450&lt;=J1450,C1450&lt;=K1450),AND(B1450&lt;=K1450,C1450&lt;=J1450)),"VALID - CUSTOM","ERROR - EXCEEDS BASE")))))</f>
        <v>CUSTOM BLANK</v>
      </c>
      <c r="I1450" s="10" t="s">
        <v>267</v>
      </c>
      <c r="J1450" s="12">
        <f>'05-ISO Reference'!$B$18</f>
        <v>1000</v>
      </c>
      <c r="K1450" s="12">
        <f>'05-ISO Reference'!$C$18</f>
        <v>1414</v>
      </c>
      <c r="L1450" s="12">
        <f>'01-Process Controls'!$G$5</f>
        <v>3</v>
      </c>
      <c r="M1450" s="8"/>
      <c r="N1450" s="8"/>
    </row>
    <row r="1451" spans="1:15" ht="21" customHeight="1">
      <c r="A1451" s="9" t="s">
        <v>1749</v>
      </c>
      <c r="B1451" s="48"/>
      <c r="C1451" s="48"/>
      <c r="D1451" s="10" t="s">
        <v>263</v>
      </c>
      <c r="E1451" s="10" t="s">
        <v>1743</v>
      </c>
      <c r="F1451" s="10" t="s">
        <v>265</v>
      </c>
      <c r="G1451" s="10" t="s">
        <v>266</v>
      </c>
      <c r="H1451" s="11" t="str">
        <f>IF(AND(B1451="",C1451=""),"CUSTOM BLANK",IF(OR(B1451="",C1451=""),"ERROR - ENTER BOTH",IF(OR(B1451&lt;=0,C1451&lt;=0),"ERROR - NONPOSITIVE",IF(OR(B1451&lt;L1451,C1451&lt;L1451),"ERROR - BELOW MIN",IF(OR(AND(B1451&lt;=J1451,C1451&lt;=K1451),AND(B1451&lt;=K1451,C1451&lt;=J1451)),"VALID - CUSTOM","ERROR - EXCEEDS BASE")))))</f>
        <v>CUSTOM BLANK</v>
      </c>
      <c r="I1451" s="10" t="s">
        <v>267</v>
      </c>
      <c r="J1451" s="12">
        <f>'05-ISO Reference'!$B$18</f>
        <v>1000</v>
      </c>
      <c r="K1451" s="12">
        <f>'05-ISO Reference'!$C$18</f>
        <v>1414</v>
      </c>
      <c r="L1451" s="12">
        <f>'01-Process Controls'!$G$5</f>
        <v>3</v>
      </c>
      <c r="M1451" s="8"/>
      <c r="N1451" s="8"/>
    </row>
    <row r="1452" spans="1:15" ht="21" customHeight="1">
      <c r="A1452" s="9" t="s">
        <v>1750</v>
      </c>
      <c r="B1452" s="48"/>
      <c r="C1452" s="48"/>
      <c r="D1452" s="10" t="s">
        <v>263</v>
      </c>
      <c r="E1452" s="10" t="s">
        <v>1743</v>
      </c>
      <c r="F1452" s="10" t="s">
        <v>265</v>
      </c>
      <c r="G1452" s="10" t="s">
        <v>266</v>
      </c>
      <c r="H1452" s="11" t="str">
        <f>IF(AND(B1452="",C1452=""),"CUSTOM BLANK",IF(OR(B1452="",C1452=""),"ERROR - ENTER BOTH",IF(OR(B1452&lt;=0,C1452&lt;=0),"ERROR - NONPOSITIVE",IF(OR(B1452&lt;L1452,C1452&lt;L1452),"ERROR - BELOW MIN",IF(OR(AND(B1452&lt;=J1452,C1452&lt;=K1452),AND(B1452&lt;=K1452,C1452&lt;=J1452)),"VALID - CUSTOM","ERROR - EXCEEDS BASE")))))</f>
        <v>CUSTOM BLANK</v>
      </c>
      <c r="I1452" s="10" t="s">
        <v>267</v>
      </c>
      <c r="J1452" s="12">
        <f>'05-ISO Reference'!$B$18</f>
        <v>1000</v>
      </c>
      <c r="K1452" s="12">
        <f>'05-ISO Reference'!$C$18</f>
        <v>1414</v>
      </c>
      <c r="L1452" s="12">
        <f>'01-Process Controls'!$G$5</f>
        <v>3</v>
      </c>
      <c r="M1452" s="8"/>
      <c r="N1452" s="8"/>
    </row>
    <row r="1453" spans="1:15" ht="21" customHeight="1">
      <c r="A1453" s="9" t="s">
        <v>1751</v>
      </c>
      <c r="B1453" s="48"/>
      <c r="C1453" s="48"/>
      <c r="D1453" s="10" t="s">
        <v>263</v>
      </c>
      <c r="E1453" s="10" t="s">
        <v>1743</v>
      </c>
      <c r="F1453" s="10" t="s">
        <v>265</v>
      </c>
      <c r="G1453" s="10" t="s">
        <v>266</v>
      </c>
      <c r="H1453" s="11" t="str">
        <f>IF(AND(B1453="",C1453=""),"CUSTOM BLANK",IF(OR(B1453="",C1453=""),"ERROR - ENTER BOTH",IF(OR(B1453&lt;=0,C1453&lt;=0),"ERROR - NONPOSITIVE",IF(OR(B1453&lt;L1453,C1453&lt;L1453),"ERROR - BELOW MIN",IF(OR(AND(B1453&lt;=J1453,C1453&lt;=K1453),AND(B1453&lt;=K1453,C1453&lt;=J1453)),"VALID - CUSTOM","ERROR - EXCEEDS BASE")))))</f>
        <v>CUSTOM BLANK</v>
      </c>
      <c r="I1453" s="10" t="s">
        <v>267</v>
      </c>
      <c r="J1453" s="12">
        <f>'05-ISO Reference'!$B$18</f>
        <v>1000</v>
      </c>
      <c r="K1453" s="12">
        <f>'05-ISO Reference'!$C$18</f>
        <v>1414</v>
      </c>
      <c r="L1453" s="12">
        <f>'01-Process Controls'!$G$5</f>
        <v>3</v>
      </c>
      <c r="M1453" s="8"/>
      <c r="N1453" s="8"/>
    </row>
    <row r="1454" spans="1:15" ht="21" customHeight="1">
      <c r="A1454" s="9" t="s">
        <v>1752</v>
      </c>
      <c r="B1454" s="48"/>
      <c r="C1454" s="48"/>
      <c r="D1454" s="10" t="s">
        <v>263</v>
      </c>
      <c r="E1454" s="10" t="s">
        <v>1743</v>
      </c>
      <c r="F1454" s="10" t="s">
        <v>265</v>
      </c>
      <c r="G1454" s="10" t="s">
        <v>266</v>
      </c>
      <c r="H1454" s="11" t="str">
        <f>IF(AND(B1454="",C1454=""),"CUSTOM BLANK",IF(OR(B1454="",C1454=""),"ERROR - ENTER BOTH",IF(OR(B1454&lt;=0,C1454&lt;=0),"ERROR - NONPOSITIVE",IF(OR(B1454&lt;L1454,C1454&lt;L1454),"ERROR - BELOW MIN",IF(OR(AND(B1454&lt;=J1454,C1454&lt;=K1454),AND(B1454&lt;=K1454,C1454&lt;=J1454)),"VALID - CUSTOM","ERROR - EXCEEDS BASE")))))</f>
        <v>CUSTOM BLANK</v>
      </c>
      <c r="I1454" s="10" t="s">
        <v>267</v>
      </c>
      <c r="J1454" s="12">
        <f>'05-ISO Reference'!$B$18</f>
        <v>1000</v>
      </c>
      <c r="K1454" s="12">
        <f>'05-ISO Reference'!$C$18</f>
        <v>1414</v>
      </c>
      <c r="L1454" s="12">
        <f>'01-Process Controls'!$G$5</f>
        <v>3</v>
      </c>
      <c r="M1454" s="8"/>
      <c r="N1454" s="8"/>
    </row>
    <row r="1455" spans="1:15" ht="21" customHeight="1">
      <c r="A1455" s="9" t="s">
        <v>1753</v>
      </c>
      <c r="B1455" s="48"/>
      <c r="C1455" s="48"/>
      <c r="D1455" s="10" t="s">
        <v>263</v>
      </c>
      <c r="E1455" s="10" t="s">
        <v>1743</v>
      </c>
      <c r="F1455" s="10" t="s">
        <v>265</v>
      </c>
      <c r="G1455" s="10" t="s">
        <v>266</v>
      </c>
      <c r="H1455" s="11" t="str">
        <f>IF(AND(B1455="",C1455=""),"CUSTOM BLANK",IF(OR(B1455="",C1455=""),"ERROR - ENTER BOTH",IF(OR(B1455&lt;=0,C1455&lt;=0),"ERROR - NONPOSITIVE",IF(OR(B1455&lt;L1455,C1455&lt;L1455),"ERROR - BELOW MIN",IF(OR(AND(B1455&lt;=J1455,C1455&lt;=K1455),AND(B1455&lt;=K1455,C1455&lt;=J1455)),"VALID - CUSTOM","ERROR - EXCEEDS BASE")))))</f>
        <v>CUSTOM BLANK</v>
      </c>
      <c r="I1455" s="10" t="s">
        <v>267</v>
      </c>
      <c r="J1455" s="12">
        <f>'05-ISO Reference'!$B$18</f>
        <v>1000</v>
      </c>
      <c r="K1455" s="12">
        <f>'05-ISO Reference'!$C$18</f>
        <v>1414</v>
      </c>
      <c r="L1455" s="12">
        <f>'01-Process Controls'!$G$5</f>
        <v>3</v>
      </c>
      <c r="M1455" s="8"/>
      <c r="N1455" s="8"/>
    </row>
    <row r="1456" spans="1:15" ht="21" customHeight="1">
      <c r="A1456" s="9" t="s">
        <v>1754</v>
      </c>
      <c r="B1456" s="48"/>
      <c r="C1456" s="48"/>
      <c r="D1456" s="10" t="s">
        <v>263</v>
      </c>
      <c r="E1456" s="10" t="s">
        <v>1743</v>
      </c>
      <c r="F1456" s="10" t="s">
        <v>265</v>
      </c>
      <c r="G1456" s="10" t="s">
        <v>266</v>
      </c>
      <c r="H1456" s="11" t="str">
        <f>IF(AND(B1456="",C1456=""),"CUSTOM BLANK",IF(OR(B1456="",C1456=""),"ERROR - ENTER BOTH",IF(OR(B1456&lt;=0,C1456&lt;=0),"ERROR - NONPOSITIVE",IF(OR(B1456&lt;L1456,C1456&lt;L1456),"ERROR - BELOW MIN",IF(OR(AND(B1456&lt;=J1456,C1456&lt;=K1456),AND(B1456&lt;=K1456,C1456&lt;=J1456)),"VALID - CUSTOM","ERROR - EXCEEDS BASE")))))</f>
        <v>CUSTOM BLANK</v>
      </c>
      <c r="I1456" s="10" t="s">
        <v>267</v>
      </c>
      <c r="J1456" s="12">
        <f>'05-ISO Reference'!$B$18</f>
        <v>1000</v>
      </c>
      <c r="K1456" s="12">
        <f>'05-ISO Reference'!$C$18</f>
        <v>1414</v>
      </c>
      <c r="L1456" s="12">
        <f>'01-Process Controls'!$G$5</f>
        <v>3</v>
      </c>
      <c r="M1456" s="8"/>
      <c r="N1456" s="8"/>
    </row>
    <row r="1457" spans="1:15" ht="21" customHeight="1">
      <c r="A1457" s="9" t="s">
        <v>1755</v>
      </c>
      <c r="B1457" s="48"/>
      <c r="C1457" s="48"/>
      <c r="D1457" s="10" t="s">
        <v>263</v>
      </c>
      <c r="E1457" s="10" t="s">
        <v>1743</v>
      </c>
      <c r="F1457" s="10" t="s">
        <v>265</v>
      </c>
      <c r="G1457" s="10" t="s">
        <v>266</v>
      </c>
      <c r="H1457" s="11" t="str">
        <f>IF(AND(B1457="",C1457=""),"CUSTOM BLANK",IF(OR(B1457="",C1457=""),"ERROR - ENTER BOTH",IF(OR(B1457&lt;=0,C1457&lt;=0),"ERROR - NONPOSITIVE",IF(OR(B1457&lt;L1457,C1457&lt;L1457),"ERROR - BELOW MIN",IF(OR(AND(B1457&lt;=J1457,C1457&lt;=K1457),AND(B1457&lt;=K1457,C1457&lt;=J1457)),"VALID - CUSTOM","ERROR - EXCEEDS BASE")))))</f>
        <v>CUSTOM BLANK</v>
      </c>
      <c r="I1457" s="10" t="s">
        <v>267</v>
      </c>
      <c r="J1457" s="12">
        <f>'05-ISO Reference'!$B$18</f>
        <v>1000</v>
      </c>
      <c r="K1457" s="12">
        <f>'05-ISO Reference'!$C$18</f>
        <v>1414</v>
      </c>
      <c r="L1457" s="12">
        <f>'01-Process Controls'!$G$5</f>
        <v>3</v>
      </c>
      <c r="M1457" s="8"/>
      <c r="N1457" s="8"/>
    </row>
    <row r="1458" spans="1:15" ht="21" customHeight="1">
      <c r="A1458" s="9" t="s">
        <v>1756</v>
      </c>
      <c r="B1458" s="48"/>
      <c r="C1458" s="48"/>
      <c r="D1458" s="10" t="s">
        <v>263</v>
      </c>
      <c r="E1458" s="10" t="s">
        <v>1743</v>
      </c>
      <c r="F1458" s="10" t="s">
        <v>265</v>
      </c>
      <c r="G1458" s="10" t="s">
        <v>266</v>
      </c>
      <c r="H1458" s="11" t="str">
        <f>IF(AND(B1458="",C1458=""),"CUSTOM BLANK",IF(OR(B1458="",C1458=""),"ERROR - ENTER BOTH",IF(OR(B1458&lt;=0,C1458&lt;=0),"ERROR - NONPOSITIVE",IF(OR(B1458&lt;L1458,C1458&lt;L1458),"ERROR - BELOW MIN",IF(OR(AND(B1458&lt;=J1458,C1458&lt;=K1458),AND(B1458&lt;=K1458,C1458&lt;=J1458)),"VALID - CUSTOM","ERROR - EXCEEDS BASE")))))</f>
        <v>CUSTOM BLANK</v>
      </c>
      <c r="I1458" s="10" t="s">
        <v>267</v>
      </c>
      <c r="J1458" s="12">
        <f>'05-ISO Reference'!$B$18</f>
        <v>1000</v>
      </c>
      <c r="K1458" s="12">
        <f>'05-ISO Reference'!$C$18</f>
        <v>1414</v>
      </c>
      <c r="L1458" s="12">
        <f>'01-Process Controls'!$G$5</f>
        <v>3</v>
      </c>
      <c r="M1458" s="8"/>
      <c r="N1458" s="8"/>
    </row>
    <row r="1459" spans="1:15" ht="21" customHeight="1">
      <c r="A1459" s="9" t="s">
        <v>1757</v>
      </c>
      <c r="B1459" s="48"/>
      <c r="C1459" s="48"/>
      <c r="D1459" s="10" t="s">
        <v>263</v>
      </c>
      <c r="E1459" s="10" t="s">
        <v>1743</v>
      </c>
      <c r="F1459" s="10" t="s">
        <v>265</v>
      </c>
      <c r="G1459" s="10" t="s">
        <v>266</v>
      </c>
      <c r="H1459" s="11" t="str">
        <f>IF(AND(B1459="",C1459=""),"CUSTOM BLANK",IF(OR(B1459="",C1459=""),"ERROR - ENTER BOTH",IF(OR(B1459&lt;=0,C1459&lt;=0),"ERROR - NONPOSITIVE",IF(OR(B1459&lt;L1459,C1459&lt;L1459),"ERROR - BELOW MIN",IF(OR(AND(B1459&lt;=J1459,C1459&lt;=K1459),AND(B1459&lt;=K1459,C1459&lt;=J1459)),"VALID - CUSTOM","ERROR - EXCEEDS BASE")))))</f>
        <v>CUSTOM BLANK</v>
      </c>
      <c r="I1459" s="10" t="s">
        <v>267</v>
      </c>
      <c r="J1459" s="12">
        <f>'05-ISO Reference'!$B$18</f>
        <v>1000</v>
      </c>
      <c r="K1459" s="12">
        <f>'05-ISO Reference'!$C$18</f>
        <v>1414</v>
      </c>
      <c r="L1459" s="12">
        <f>'01-Process Controls'!$G$5</f>
        <v>3</v>
      </c>
      <c r="M1459" s="8"/>
      <c r="N1459" s="8"/>
    </row>
    <row r="1460" spans="1:15" ht="21" customHeight="1">
      <c r="A1460" s="44" t="s">
        <v>1758</v>
      </c>
      <c r="B1460" s="45">
        <f>IF(LEFT(H1460,5)="VALID",M1460,"")</f>
        <v>707</v>
      </c>
      <c r="C1460" s="45">
        <f>IF(LEFT(H1460,5)="VALID",N1460,"")</f>
        <v>1000</v>
      </c>
      <c r="D1460" s="46" t="s">
        <v>82</v>
      </c>
      <c r="E1460" s="46" t="s">
        <v>1759</v>
      </c>
      <c r="F1460" s="46" t="s">
        <v>122</v>
      </c>
      <c r="G1460" s="46" t="s">
        <v>123</v>
      </c>
      <c r="H1460" s="47" t="str">
        <f>"VALID - BASE"</f>
        <v>VALID - BASE</v>
      </c>
      <c r="I1460" s="46" t="s">
        <v>1760</v>
      </c>
      <c r="J1460" s="12">
        <f>'05-ISO Reference'!$B$19</f>
        <v>707</v>
      </c>
      <c r="K1460" s="12">
        <f>'05-ISO Reference'!$C$19</f>
        <v>1000</v>
      </c>
      <c r="L1460" s="12">
        <f>'01-Process Controls'!$G$5</f>
        <v>3</v>
      </c>
      <c r="M1460" s="12">
        <f>ROUNDDOWN(J1460,0)</f>
        <v>707</v>
      </c>
      <c r="N1460" s="12">
        <f>ROUNDDOWN(K1460,0)</f>
        <v>1000</v>
      </c>
      <c r="O1460" s="9">
        <v>0</v>
      </c>
    </row>
    <row r="1461" spans="1:15" ht="21" customHeight="1">
      <c r="A1461" s="9" t="s">
        <v>1761</v>
      </c>
      <c r="B1461" s="12">
        <f>IF(LEFT(H1461,5)="VALID",M1461,"")</f>
        <v>353</v>
      </c>
      <c r="C1461" s="12">
        <f>IF(LEFT(H1461,5)="VALID",N1461,"")</f>
        <v>1000</v>
      </c>
      <c r="D1461" s="10" t="s">
        <v>82</v>
      </c>
      <c r="E1461" s="10" t="s">
        <v>1759</v>
      </c>
      <c r="F1461" s="10" t="s">
        <v>126</v>
      </c>
      <c r="G1461" s="10" t="s">
        <v>127</v>
      </c>
      <c r="H1461" s="11" t="str">
        <f>IF(OR(M1461&lt;=0,N1461&lt;=0),"SKIPPED - NONPOSITIVE",IF(OR(M1461&lt;L1461,N1461&lt;L1461),"SKIPPED - BELOW MIN",IF(OR(M1461&gt;J1461,N1461&gt;K1461),"SKIPPED - EXCEEDS BASE",IF(COUNTIFS($M$1460:M1460,M1461,$N$1460:N1460,N1461)&gt;0,"SKIPPED - DUPLICATE","VALID - GENERATED"))))</f>
        <v>VALID - GENERATED</v>
      </c>
      <c r="I1461" s="10" t="s">
        <v>1760</v>
      </c>
      <c r="J1461" s="12">
        <f>'05-ISO Reference'!$B$19</f>
        <v>707</v>
      </c>
      <c r="K1461" s="12">
        <f>'05-ISO Reference'!$C$19</f>
        <v>1000</v>
      </c>
      <c r="L1461" s="12">
        <f>'01-Process Controls'!$G$5</f>
        <v>3</v>
      </c>
      <c r="M1461" s="12">
        <f>ROUNDDOWN(J1461*'04-Variant Rules'!$D$6,0)</f>
        <v>353</v>
      </c>
      <c r="N1461" s="12">
        <f>ROUNDDOWN(K1461,0)</f>
        <v>1000</v>
      </c>
      <c r="O1461" s="9">
        <v>1</v>
      </c>
    </row>
    <row r="1462" spans="1:15" ht="21" customHeight="1">
      <c r="A1462" s="9" t="s">
        <v>1762</v>
      </c>
      <c r="B1462" s="12">
        <f>IF(LEFT(H1462,5)="VALID",M1462,"")</f>
        <v>235</v>
      </c>
      <c r="C1462" s="12">
        <f>IF(LEFT(H1462,5)="VALID",N1462,"")</f>
        <v>1000</v>
      </c>
      <c r="D1462" s="10" t="s">
        <v>82</v>
      </c>
      <c r="E1462" s="10" t="s">
        <v>1759</v>
      </c>
      <c r="F1462" s="10" t="s">
        <v>129</v>
      </c>
      <c r="G1462" s="10" t="s">
        <v>130</v>
      </c>
      <c r="H1462" s="11" t="str">
        <f>IF(OR(M1462&lt;=0,N1462&lt;=0),"SKIPPED - NONPOSITIVE",IF(OR(M1462&lt;L1462,N1462&lt;L1462),"SKIPPED - BELOW MIN",IF(OR(M1462&gt;J1462,N1462&gt;K1462),"SKIPPED - EXCEEDS BASE",IF(COUNTIFS($M$1460:M1461,M1462,$N$1460:N1461,N1462)&gt;0,"SKIPPED - DUPLICATE","VALID - GENERATED"))))</f>
        <v>VALID - GENERATED</v>
      </c>
      <c r="I1462" s="10" t="s">
        <v>1760</v>
      </c>
      <c r="J1462" s="12">
        <f>'05-ISO Reference'!$B$19</f>
        <v>707</v>
      </c>
      <c r="K1462" s="12">
        <f>'05-ISO Reference'!$C$19</f>
        <v>1000</v>
      </c>
      <c r="L1462" s="12">
        <f>'01-Process Controls'!$G$5</f>
        <v>3</v>
      </c>
      <c r="M1462" s="12">
        <f>ROUNDDOWN(J1462*'04-Variant Rules'!$D$7,0)</f>
        <v>235</v>
      </c>
      <c r="N1462" s="12">
        <f>ROUNDDOWN(K1462,0)</f>
        <v>1000</v>
      </c>
      <c r="O1462" s="9">
        <v>2</v>
      </c>
    </row>
    <row r="1463" spans="1:15" ht="21" customHeight="1">
      <c r="A1463" s="9" t="s">
        <v>1763</v>
      </c>
      <c r="B1463" s="12">
        <f>IF(LEFT(H1463,5)="VALID",M1463,"")</f>
        <v>176</v>
      </c>
      <c r="C1463" s="12">
        <f>IF(LEFT(H1463,5)="VALID",N1463,"")</f>
        <v>1000</v>
      </c>
      <c r="D1463" s="10" t="s">
        <v>82</v>
      </c>
      <c r="E1463" s="10" t="s">
        <v>1759</v>
      </c>
      <c r="F1463" s="10" t="s">
        <v>132</v>
      </c>
      <c r="G1463" s="10" t="s">
        <v>133</v>
      </c>
      <c r="H1463" s="11" t="str">
        <f>IF(OR(M1463&lt;=0,N1463&lt;=0),"SKIPPED - NONPOSITIVE",IF(OR(M1463&lt;L1463,N1463&lt;L1463),"SKIPPED - BELOW MIN",IF(OR(M1463&gt;J1463,N1463&gt;K1463),"SKIPPED - EXCEEDS BASE",IF(COUNTIFS($M$1460:M1462,M1463,$N$1460:N1462,N1463)&gt;0,"SKIPPED - DUPLICATE","VALID - GENERATED"))))</f>
        <v>VALID - GENERATED</v>
      </c>
      <c r="I1463" s="10" t="s">
        <v>1760</v>
      </c>
      <c r="J1463" s="12">
        <f>'05-ISO Reference'!$B$19</f>
        <v>707</v>
      </c>
      <c r="K1463" s="12">
        <f>'05-ISO Reference'!$C$19</f>
        <v>1000</v>
      </c>
      <c r="L1463" s="12">
        <f>'01-Process Controls'!$G$5</f>
        <v>3</v>
      </c>
      <c r="M1463" s="12">
        <f>ROUNDDOWN(J1463*'04-Variant Rules'!$D$8,0)</f>
        <v>176</v>
      </c>
      <c r="N1463" s="12">
        <f>ROUNDDOWN(K1463,0)</f>
        <v>1000</v>
      </c>
      <c r="O1463" s="9">
        <v>3</v>
      </c>
    </row>
    <row r="1464" spans="1:15" ht="21" customHeight="1">
      <c r="A1464" s="9" t="s">
        <v>1764</v>
      </c>
      <c r="B1464" s="12">
        <f>IF(LEFT(H1464,5)="VALID",M1464,"")</f>
        <v>471</v>
      </c>
      <c r="C1464" s="12">
        <f>IF(LEFT(H1464,5)="VALID",N1464,"")</f>
        <v>1000</v>
      </c>
      <c r="D1464" s="10" t="s">
        <v>82</v>
      </c>
      <c r="E1464" s="10" t="s">
        <v>1759</v>
      </c>
      <c r="F1464" s="10" t="s">
        <v>135</v>
      </c>
      <c r="G1464" s="10" t="s">
        <v>136</v>
      </c>
      <c r="H1464" s="11" t="str">
        <f>IF(OR(M1464&lt;=0,N1464&lt;=0),"SKIPPED - NONPOSITIVE",IF(OR(M1464&lt;L1464,N1464&lt;L1464),"SKIPPED - BELOW MIN",IF(OR(M1464&gt;J1464,N1464&gt;K1464),"SKIPPED - EXCEEDS BASE",IF(COUNTIFS($M$1460:M1463,M1464,$N$1460:N1463,N1464)&gt;0,"SKIPPED - DUPLICATE","VALID - GENERATED"))))</f>
        <v>VALID - GENERATED</v>
      </c>
      <c r="I1464" s="10" t="s">
        <v>1760</v>
      </c>
      <c r="J1464" s="12">
        <f>'05-ISO Reference'!$B$19</f>
        <v>707</v>
      </c>
      <c r="K1464" s="12">
        <f>'05-ISO Reference'!$C$19</f>
        <v>1000</v>
      </c>
      <c r="L1464" s="12">
        <f>'01-Process Controls'!$G$5</f>
        <v>3</v>
      </c>
      <c r="M1464" s="12">
        <f>ROUNDDOWN(J1464*'04-Variant Rules'!$D$9,0)</f>
        <v>471</v>
      </c>
      <c r="N1464" s="12">
        <f>ROUNDDOWN(K1464,0)</f>
        <v>1000</v>
      </c>
      <c r="O1464" s="9">
        <v>4</v>
      </c>
    </row>
    <row r="1465" spans="1:15" ht="21" customHeight="1">
      <c r="A1465" s="9" t="s">
        <v>1765</v>
      </c>
      <c r="B1465" s="12">
        <f>IF(LEFT(H1465,5)="VALID",M1465,"")</f>
        <v>530</v>
      </c>
      <c r="C1465" s="12">
        <f>IF(LEFT(H1465,5)="VALID",N1465,"")</f>
        <v>1000</v>
      </c>
      <c r="D1465" s="10" t="s">
        <v>82</v>
      </c>
      <c r="E1465" s="10" t="s">
        <v>1759</v>
      </c>
      <c r="F1465" s="10" t="s">
        <v>138</v>
      </c>
      <c r="G1465" s="10" t="s">
        <v>139</v>
      </c>
      <c r="H1465" s="11" t="str">
        <f>IF(OR(M1465&lt;=0,N1465&lt;=0),"SKIPPED - NONPOSITIVE",IF(OR(M1465&lt;L1465,N1465&lt;L1465),"SKIPPED - BELOW MIN",IF(OR(M1465&gt;J1465,N1465&gt;K1465),"SKIPPED - EXCEEDS BASE",IF(COUNTIFS($M$1460:M1464,M1465,$N$1460:N1464,N1465)&gt;0,"SKIPPED - DUPLICATE","VALID - GENERATED"))))</f>
        <v>VALID - GENERATED</v>
      </c>
      <c r="I1465" s="10" t="s">
        <v>1760</v>
      </c>
      <c r="J1465" s="12">
        <f>'05-ISO Reference'!$B$19</f>
        <v>707</v>
      </c>
      <c r="K1465" s="12">
        <f>'05-ISO Reference'!$C$19</f>
        <v>1000</v>
      </c>
      <c r="L1465" s="12">
        <f>'01-Process Controls'!$G$5</f>
        <v>3</v>
      </c>
      <c r="M1465" s="12">
        <f>ROUNDDOWN(J1465*'04-Variant Rules'!$D$10,0)</f>
        <v>530</v>
      </c>
      <c r="N1465" s="12">
        <f>ROUNDDOWN(K1465,0)</f>
        <v>1000</v>
      </c>
      <c r="O1465" s="9">
        <v>5</v>
      </c>
    </row>
    <row r="1466" spans="1:15" ht="21" customHeight="1">
      <c r="A1466" s="9" t="s">
        <v>1766</v>
      </c>
      <c r="B1466" s="12">
        <f>IF(LEFT(H1466,5)="VALID",M1466,"")</f>
        <v>707</v>
      </c>
      <c r="C1466" s="12">
        <f>IF(LEFT(H1466,5)="VALID",N1466,"")</f>
        <v>500</v>
      </c>
      <c r="D1466" s="10" t="s">
        <v>82</v>
      </c>
      <c r="E1466" s="10" t="s">
        <v>1759</v>
      </c>
      <c r="F1466" s="10" t="s">
        <v>141</v>
      </c>
      <c r="G1466" s="10" t="s">
        <v>142</v>
      </c>
      <c r="H1466" s="11" t="str">
        <f>IF(OR(M1466&lt;=0,N1466&lt;=0),"SKIPPED - NONPOSITIVE",IF(OR(M1466&lt;L1466,N1466&lt;L1466),"SKIPPED - BELOW MIN",IF(OR(M1466&gt;J1466,N1466&gt;K1466),"SKIPPED - EXCEEDS BASE",IF(COUNTIFS($M$1460:M1465,M1466,$N$1460:N1465,N1466)&gt;0,"SKIPPED - DUPLICATE","VALID - GENERATED"))))</f>
        <v>VALID - GENERATED</v>
      </c>
      <c r="I1466" s="10" t="s">
        <v>1760</v>
      </c>
      <c r="J1466" s="12">
        <f>'05-ISO Reference'!$B$19</f>
        <v>707</v>
      </c>
      <c r="K1466" s="12">
        <f>'05-ISO Reference'!$C$19</f>
        <v>1000</v>
      </c>
      <c r="L1466" s="12">
        <f>'01-Process Controls'!$G$5</f>
        <v>3</v>
      </c>
      <c r="M1466" s="12">
        <f>ROUNDDOWN(J1466,0)</f>
        <v>707</v>
      </c>
      <c r="N1466" s="12">
        <f>ROUNDDOWN(K1466*'04-Variant Rules'!$D$11,0)</f>
        <v>500</v>
      </c>
      <c r="O1466" s="9">
        <v>6</v>
      </c>
    </row>
    <row r="1467" spans="1:15" ht="21" customHeight="1">
      <c r="A1467" s="9" t="s">
        <v>1767</v>
      </c>
      <c r="B1467" s="12">
        <f>IF(LEFT(H1467,5)="VALID",M1467,"")</f>
        <v>707</v>
      </c>
      <c r="C1467" s="12">
        <f>IF(LEFT(H1467,5)="VALID",N1467,"")</f>
        <v>333</v>
      </c>
      <c r="D1467" s="10" t="s">
        <v>82</v>
      </c>
      <c r="E1467" s="10" t="s">
        <v>1759</v>
      </c>
      <c r="F1467" s="10" t="s">
        <v>144</v>
      </c>
      <c r="G1467" s="10" t="s">
        <v>145</v>
      </c>
      <c r="H1467" s="11" t="str">
        <f>IF(OR(M1467&lt;=0,N1467&lt;=0),"SKIPPED - NONPOSITIVE",IF(OR(M1467&lt;L1467,N1467&lt;L1467),"SKIPPED - BELOW MIN",IF(OR(M1467&gt;J1467,N1467&gt;K1467),"SKIPPED - EXCEEDS BASE",IF(COUNTIFS($M$1460:M1466,M1467,$N$1460:N1466,N1467)&gt;0,"SKIPPED - DUPLICATE","VALID - GENERATED"))))</f>
        <v>VALID - GENERATED</v>
      </c>
      <c r="I1467" s="10" t="s">
        <v>1760</v>
      </c>
      <c r="J1467" s="12">
        <f>'05-ISO Reference'!$B$19</f>
        <v>707</v>
      </c>
      <c r="K1467" s="12">
        <f>'05-ISO Reference'!$C$19</f>
        <v>1000</v>
      </c>
      <c r="L1467" s="12">
        <f>'01-Process Controls'!$G$5</f>
        <v>3</v>
      </c>
      <c r="M1467" s="12">
        <f>ROUNDDOWN(J1467,0)</f>
        <v>707</v>
      </c>
      <c r="N1467" s="12">
        <f>ROUNDDOWN(K1467*'04-Variant Rules'!$D$12,0)</f>
        <v>333</v>
      </c>
      <c r="O1467" s="9">
        <v>7</v>
      </c>
    </row>
    <row r="1468" spans="1:15" ht="21" customHeight="1">
      <c r="A1468" s="9" t="s">
        <v>1768</v>
      </c>
      <c r="B1468" s="12">
        <f>IF(LEFT(H1468,5)="VALID",M1468,"")</f>
        <v>707</v>
      </c>
      <c r="C1468" s="12">
        <f>IF(LEFT(H1468,5)="VALID",N1468,"")</f>
        <v>250</v>
      </c>
      <c r="D1468" s="10" t="s">
        <v>82</v>
      </c>
      <c r="E1468" s="10" t="s">
        <v>1759</v>
      </c>
      <c r="F1468" s="10" t="s">
        <v>147</v>
      </c>
      <c r="G1468" s="10" t="s">
        <v>148</v>
      </c>
      <c r="H1468" s="11" t="str">
        <f>IF(OR(M1468&lt;=0,N1468&lt;=0),"SKIPPED - NONPOSITIVE",IF(OR(M1468&lt;L1468,N1468&lt;L1468),"SKIPPED - BELOW MIN",IF(OR(M1468&gt;J1468,N1468&gt;K1468),"SKIPPED - EXCEEDS BASE",IF(COUNTIFS($M$1460:M1467,M1468,$N$1460:N1467,N1468)&gt;0,"SKIPPED - DUPLICATE","VALID - GENERATED"))))</f>
        <v>VALID - GENERATED</v>
      </c>
      <c r="I1468" s="10" t="s">
        <v>1760</v>
      </c>
      <c r="J1468" s="12">
        <f>'05-ISO Reference'!$B$19</f>
        <v>707</v>
      </c>
      <c r="K1468" s="12">
        <f>'05-ISO Reference'!$C$19</f>
        <v>1000</v>
      </c>
      <c r="L1468" s="12">
        <f>'01-Process Controls'!$G$5</f>
        <v>3</v>
      </c>
      <c r="M1468" s="12">
        <f>ROUNDDOWN(J1468,0)</f>
        <v>707</v>
      </c>
      <c r="N1468" s="12">
        <f>ROUNDDOWN(K1468*'04-Variant Rules'!$D$13,0)</f>
        <v>250</v>
      </c>
      <c r="O1468" s="9">
        <v>8</v>
      </c>
    </row>
    <row r="1469" spans="1:15" ht="21" customHeight="1">
      <c r="A1469" s="9" t="s">
        <v>1769</v>
      </c>
      <c r="B1469" s="12">
        <f>IF(LEFT(H1469,5)="VALID",M1469,"")</f>
        <v>707</v>
      </c>
      <c r="C1469" s="12">
        <f>IF(LEFT(H1469,5)="VALID",N1469,"")</f>
        <v>666</v>
      </c>
      <c r="D1469" s="10" t="s">
        <v>82</v>
      </c>
      <c r="E1469" s="10" t="s">
        <v>1759</v>
      </c>
      <c r="F1469" s="10" t="s">
        <v>150</v>
      </c>
      <c r="G1469" s="10" t="s">
        <v>151</v>
      </c>
      <c r="H1469" s="11" t="str">
        <f>IF(OR(M1469&lt;=0,N1469&lt;=0),"SKIPPED - NONPOSITIVE",IF(OR(M1469&lt;L1469,N1469&lt;L1469),"SKIPPED - BELOW MIN",IF(OR(M1469&gt;J1469,N1469&gt;K1469),"SKIPPED - EXCEEDS BASE",IF(COUNTIFS($M$1460:M1468,M1469,$N$1460:N1468,N1469)&gt;0,"SKIPPED - DUPLICATE","VALID - GENERATED"))))</f>
        <v>VALID - GENERATED</v>
      </c>
      <c r="I1469" s="10" t="s">
        <v>1760</v>
      </c>
      <c r="J1469" s="12">
        <f>'05-ISO Reference'!$B$19</f>
        <v>707</v>
      </c>
      <c r="K1469" s="12">
        <f>'05-ISO Reference'!$C$19</f>
        <v>1000</v>
      </c>
      <c r="L1469" s="12">
        <f>'01-Process Controls'!$G$5</f>
        <v>3</v>
      </c>
      <c r="M1469" s="12">
        <f>ROUNDDOWN(J1469,0)</f>
        <v>707</v>
      </c>
      <c r="N1469" s="12">
        <f>ROUNDDOWN(K1469*'04-Variant Rules'!$D$14,0)</f>
        <v>666</v>
      </c>
      <c r="O1469" s="9">
        <v>9</v>
      </c>
    </row>
    <row r="1470" spans="1:15" ht="21" customHeight="1">
      <c r="A1470" s="9" t="s">
        <v>1770</v>
      </c>
      <c r="B1470" s="12">
        <f>IF(LEFT(H1470,5)="VALID",M1470,"")</f>
        <v>707</v>
      </c>
      <c r="C1470" s="12">
        <f>IF(LEFT(H1470,5)="VALID",N1470,"")</f>
        <v>750</v>
      </c>
      <c r="D1470" s="10" t="s">
        <v>82</v>
      </c>
      <c r="E1470" s="10" t="s">
        <v>1759</v>
      </c>
      <c r="F1470" s="10" t="s">
        <v>153</v>
      </c>
      <c r="G1470" s="10" t="s">
        <v>154</v>
      </c>
      <c r="H1470" s="11" t="str">
        <f>IF(OR(M1470&lt;=0,N1470&lt;=0),"SKIPPED - NONPOSITIVE",IF(OR(M1470&lt;L1470,N1470&lt;L1470),"SKIPPED - BELOW MIN",IF(OR(M1470&gt;J1470,N1470&gt;K1470),"SKIPPED - EXCEEDS BASE",IF(COUNTIFS($M$1460:M1469,M1470,$N$1460:N1469,N1470)&gt;0,"SKIPPED - DUPLICATE","VALID - GENERATED"))))</f>
        <v>VALID - GENERATED</v>
      </c>
      <c r="I1470" s="10" t="s">
        <v>1760</v>
      </c>
      <c r="J1470" s="12">
        <f>'05-ISO Reference'!$B$19</f>
        <v>707</v>
      </c>
      <c r="K1470" s="12">
        <f>'05-ISO Reference'!$C$19</f>
        <v>1000</v>
      </c>
      <c r="L1470" s="12">
        <f>'01-Process Controls'!$G$5</f>
        <v>3</v>
      </c>
      <c r="M1470" s="12">
        <f>ROUNDDOWN(J1470,0)</f>
        <v>707</v>
      </c>
      <c r="N1470" s="12">
        <f>ROUNDDOWN(K1470*'04-Variant Rules'!$D$15,0)</f>
        <v>750</v>
      </c>
      <c r="O1470" s="9">
        <v>10</v>
      </c>
    </row>
    <row r="1471" spans="1:15" ht="21" customHeight="1">
      <c r="A1471" s="9" t="s">
        <v>1771</v>
      </c>
      <c r="B1471" s="12">
        <f>IF(LEFT(H1471,5)="VALID",M1471,"")</f>
        <v>353</v>
      </c>
      <c r="C1471" s="12">
        <f>IF(LEFT(H1471,5)="VALID",N1471,"")</f>
        <v>500</v>
      </c>
      <c r="D1471" s="10" t="s">
        <v>82</v>
      </c>
      <c r="E1471" s="10" t="s">
        <v>1759</v>
      </c>
      <c r="F1471" s="10" t="s">
        <v>156</v>
      </c>
      <c r="G1471" s="10" t="s">
        <v>157</v>
      </c>
      <c r="H1471" s="11" t="str">
        <f>IF(OR(M1471&lt;=0,N1471&lt;=0),"SKIPPED - NONPOSITIVE",IF(OR(M1471&lt;L1471,N1471&lt;L1471),"SKIPPED - BELOW MIN",IF(OR(M1471&gt;J1471,N1471&gt;K1471),"SKIPPED - EXCEEDS BASE",IF(COUNTIFS($M$1460:M1470,M1471,$N$1460:N1470,N1471)&gt;0,"SKIPPED - DUPLICATE","VALID - GENERATED"))))</f>
        <v>VALID - GENERATED</v>
      </c>
      <c r="I1471" s="10" t="s">
        <v>1760</v>
      </c>
      <c r="J1471" s="12">
        <f>'05-ISO Reference'!$B$19</f>
        <v>707</v>
      </c>
      <c r="K1471" s="12">
        <f>'05-ISO Reference'!$C$19</f>
        <v>1000</v>
      </c>
      <c r="L1471" s="12">
        <f>'01-Process Controls'!$G$5</f>
        <v>3</v>
      </c>
      <c r="M1471" s="12">
        <f>ROUNDDOWN(J1471*'04-Variant Rules'!$D$16,0)</f>
        <v>353</v>
      </c>
      <c r="N1471" s="12">
        <f>ROUNDDOWN(K1471*'04-Variant Rules'!$E$16,0)</f>
        <v>500</v>
      </c>
      <c r="O1471" s="9">
        <v>11</v>
      </c>
    </row>
    <row r="1472" spans="1:15" ht="21" customHeight="1">
      <c r="A1472" s="9" t="s">
        <v>1772</v>
      </c>
      <c r="B1472" s="12">
        <f>IF(LEFT(H1472,5)="VALID",M1472,"")</f>
        <v>235</v>
      </c>
      <c r="C1472" s="12">
        <f>IF(LEFT(H1472,5)="VALID",N1472,"")</f>
        <v>333</v>
      </c>
      <c r="D1472" s="10" t="s">
        <v>82</v>
      </c>
      <c r="E1472" s="10" t="s">
        <v>1759</v>
      </c>
      <c r="F1472" s="10" t="s">
        <v>159</v>
      </c>
      <c r="G1472" s="10" t="s">
        <v>160</v>
      </c>
      <c r="H1472" s="11" t="str">
        <f>IF(OR(M1472&lt;=0,N1472&lt;=0),"SKIPPED - NONPOSITIVE",IF(OR(M1472&lt;L1472,N1472&lt;L1472),"SKIPPED - BELOW MIN",IF(OR(M1472&gt;J1472,N1472&gt;K1472),"SKIPPED - EXCEEDS BASE",IF(COUNTIFS($M$1460:M1471,M1472,$N$1460:N1471,N1472)&gt;0,"SKIPPED - DUPLICATE","VALID - GENERATED"))))</f>
        <v>VALID - GENERATED</v>
      </c>
      <c r="I1472" s="10" t="s">
        <v>1760</v>
      </c>
      <c r="J1472" s="12">
        <f>'05-ISO Reference'!$B$19</f>
        <v>707</v>
      </c>
      <c r="K1472" s="12">
        <f>'05-ISO Reference'!$C$19</f>
        <v>1000</v>
      </c>
      <c r="L1472" s="12">
        <f>'01-Process Controls'!$G$5</f>
        <v>3</v>
      </c>
      <c r="M1472" s="12">
        <f>ROUNDDOWN(J1472*'04-Variant Rules'!$D$17,0)</f>
        <v>235</v>
      </c>
      <c r="N1472" s="12">
        <f>ROUNDDOWN(K1472*'04-Variant Rules'!$E$17,0)</f>
        <v>333</v>
      </c>
      <c r="O1472" s="9">
        <v>12</v>
      </c>
    </row>
    <row r="1473" spans="1:15" ht="21" customHeight="1">
      <c r="A1473" s="9" t="s">
        <v>1773</v>
      </c>
      <c r="B1473" s="12">
        <f>IF(LEFT(H1473,5)="VALID",M1473,"")</f>
        <v>176</v>
      </c>
      <c r="C1473" s="12">
        <f>IF(LEFT(H1473,5)="VALID",N1473,"")</f>
        <v>250</v>
      </c>
      <c r="D1473" s="10" t="s">
        <v>82</v>
      </c>
      <c r="E1473" s="10" t="s">
        <v>1759</v>
      </c>
      <c r="F1473" s="10" t="s">
        <v>162</v>
      </c>
      <c r="G1473" s="10" t="s">
        <v>163</v>
      </c>
      <c r="H1473" s="11" t="str">
        <f>IF(OR(M1473&lt;=0,N1473&lt;=0),"SKIPPED - NONPOSITIVE",IF(OR(M1473&lt;L1473,N1473&lt;L1473),"SKIPPED - BELOW MIN",IF(OR(M1473&gt;J1473,N1473&gt;K1473),"SKIPPED - EXCEEDS BASE",IF(COUNTIFS($M$1460:M1472,M1473,$N$1460:N1472,N1473)&gt;0,"SKIPPED - DUPLICATE","VALID - GENERATED"))))</f>
        <v>VALID - GENERATED</v>
      </c>
      <c r="I1473" s="10" t="s">
        <v>1760</v>
      </c>
      <c r="J1473" s="12">
        <f>'05-ISO Reference'!$B$19</f>
        <v>707</v>
      </c>
      <c r="K1473" s="12">
        <f>'05-ISO Reference'!$C$19</f>
        <v>1000</v>
      </c>
      <c r="L1473" s="12">
        <f>'01-Process Controls'!$G$5</f>
        <v>3</v>
      </c>
      <c r="M1473" s="12">
        <f>ROUNDDOWN(J1473*'04-Variant Rules'!$D$18,0)</f>
        <v>176</v>
      </c>
      <c r="N1473" s="12">
        <f>ROUNDDOWN(K1473*'04-Variant Rules'!$E$18,0)</f>
        <v>250</v>
      </c>
      <c r="O1473" s="9">
        <v>13</v>
      </c>
    </row>
    <row r="1474" spans="1:15" ht="21" customHeight="1">
      <c r="A1474" s="9" t="s">
        <v>1774</v>
      </c>
      <c r="B1474" s="12">
        <f>IF(LEFT(H1474,5)="VALID",M1474,"")</f>
        <v>353</v>
      </c>
      <c r="C1474" s="12">
        <f>IF(LEFT(H1474,5)="VALID",N1474,"")</f>
        <v>333</v>
      </c>
      <c r="D1474" s="10" t="s">
        <v>82</v>
      </c>
      <c r="E1474" s="10" t="s">
        <v>1759</v>
      </c>
      <c r="F1474" s="10" t="s">
        <v>165</v>
      </c>
      <c r="G1474" s="10" t="s">
        <v>166</v>
      </c>
      <c r="H1474" s="11" t="str">
        <f>IF(OR(M1474&lt;=0,N1474&lt;=0),"SKIPPED - NONPOSITIVE",IF(OR(M1474&lt;L1474,N1474&lt;L1474),"SKIPPED - BELOW MIN",IF(OR(M1474&gt;J1474,N1474&gt;K1474),"SKIPPED - EXCEEDS BASE",IF(COUNTIFS($M$1460:M1473,M1474,$N$1460:N1473,N1474)&gt;0,"SKIPPED - DUPLICATE","VALID - GENERATED"))))</f>
        <v>VALID - GENERATED</v>
      </c>
      <c r="I1474" s="10" t="s">
        <v>1760</v>
      </c>
      <c r="J1474" s="12">
        <f>'05-ISO Reference'!$B$19</f>
        <v>707</v>
      </c>
      <c r="K1474" s="12">
        <f>'05-ISO Reference'!$C$19</f>
        <v>1000</v>
      </c>
      <c r="L1474" s="12">
        <f>'01-Process Controls'!$G$5</f>
        <v>3</v>
      </c>
      <c r="M1474" s="12">
        <f>ROUNDDOWN(J1474*'04-Variant Rules'!$D$19,0)</f>
        <v>353</v>
      </c>
      <c r="N1474" s="12">
        <f>ROUNDDOWN(K1474*'04-Variant Rules'!$E$19,0)</f>
        <v>333</v>
      </c>
      <c r="O1474" s="9">
        <v>14</v>
      </c>
    </row>
    <row r="1475" spans="1:15" ht="21" customHeight="1">
      <c r="A1475" s="9" t="s">
        <v>1775</v>
      </c>
      <c r="B1475" s="12">
        <f>IF(LEFT(H1475,5)="VALID",M1475,"")</f>
        <v>235</v>
      </c>
      <c r="C1475" s="12">
        <f>IF(LEFT(H1475,5)="VALID",N1475,"")</f>
        <v>500</v>
      </c>
      <c r="D1475" s="10" t="s">
        <v>82</v>
      </c>
      <c r="E1475" s="10" t="s">
        <v>1759</v>
      </c>
      <c r="F1475" s="10" t="s">
        <v>168</v>
      </c>
      <c r="G1475" s="10" t="s">
        <v>166</v>
      </c>
      <c r="H1475" s="11" t="str">
        <f>IF(OR(M1475&lt;=0,N1475&lt;=0),"SKIPPED - NONPOSITIVE",IF(OR(M1475&lt;L1475,N1475&lt;L1475),"SKIPPED - BELOW MIN",IF(OR(M1475&gt;J1475,N1475&gt;K1475),"SKIPPED - EXCEEDS BASE",IF(COUNTIFS($M$1460:M1474,M1475,$N$1460:N1474,N1475)&gt;0,"SKIPPED - DUPLICATE","VALID - GENERATED"))))</f>
        <v>VALID - GENERATED</v>
      </c>
      <c r="I1475" s="10" t="s">
        <v>1760</v>
      </c>
      <c r="J1475" s="12">
        <f>'05-ISO Reference'!$B$19</f>
        <v>707</v>
      </c>
      <c r="K1475" s="12">
        <f>'05-ISO Reference'!$C$19</f>
        <v>1000</v>
      </c>
      <c r="L1475" s="12">
        <f>'01-Process Controls'!$G$5</f>
        <v>3</v>
      </c>
      <c r="M1475" s="12">
        <f>ROUNDDOWN(J1475*'04-Variant Rules'!$D$20,0)</f>
        <v>235</v>
      </c>
      <c r="N1475" s="12">
        <f>ROUNDDOWN(K1475*'04-Variant Rules'!$E$20,0)</f>
        <v>500</v>
      </c>
      <c r="O1475" s="9">
        <v>15</v>
      </c>
    </row>
    <row r="1476" spans="1:15" ht="21" customHeight="1">
      <c r="A1476" s="9" t="s">
        <v>1776</v>
      </c>
      <c r="B1476" s="12">
        <f>IF(LEFT(H1476,5)="VALID",M1476,"")</f>
        <v>353</v>
      </c>
      <c r="C1476" s="12">
        <f>IF(LEFT(H1476,5)="VALID",N1476,"")</f>
        <v>250</v>
      </c>
      <c r="D1476" s="10" t="s">
        <v>82</v>
      </c>
      <c r="E1476" s="10" t="s">
        <v>1759</v>
      </c>
      <c r="F1476" s="10" t="s">
        <v>170</v>
      </c>
      <c r="G1476" s="10" t="s">
        <v>166</v>
      </c>
      <c r="H1476" s="11" t="str">
        <f>IF(OR(M1476&lt;=0,N1476&lt;=0),"SKIPPED - NONPOSITIVE",IF(OR(M1476&lt;L1476,N1476&lt;L1476),"SKIPPED - BELOW MIN",IF(OR(M1476&gt;J1476,N1476&gt;K1476),"SKIPPED - EXCEEDS BASE",IF(COUNTIFS($M$1460:M1475,M1476,$N$1460:N1475,N1476)&gt;0,"SKIPPED - DUPLICATE","VALID - GENERATED"))))</f>
        <v>VALID - GENERATED</v>
      </c>
      <c r="I1476" s="10" t="s">
        <v>1760</v>
      </c>
      <c r="J1476" s="12">
        <f>'05-ISO Reference'!$B$19</f>
        <v>707</v>
      </c>
      <c r="K1476" s="12">
        <f>'05-ISO Reference'!$C$19</f>
        <v>1000</v>
      </c>
      <c r="L1476" s="12">
        <f>'01-Process Controls'!$G$5</f>
        <v>3</v>
      </c>
      <c r="M1476" s="12">
        <f>ROUNDDOWN(J1476*'04-Variant Rules'!$D$21,0)</f>
        <v>353</v>
      </c>
      <c r="N1476" s="12">
        <f>ROUNDDOWN(K1476*'04-Variant Rules'!$E$21,0)</f>
        <v>250</v>
      </c>
      <c r="O1476" s="9">
        <v>16</v>
      </c>
    </row>
    <row r="1477" spans="1:15" ht="21" customHeight="1">
      <c r="A1477" s="9" t="s">
        <v>1777</v>
      </c>
      <c r="B1477" s="12">
        <f>IF(LEFT(H1477,5)="VALID",M1477,"")</f>
        <v>176</v>
      </c>
      <c r="C1477" s="12">
        <f>IF(LEFT(H1477,5)="VALID",N1477,"")</f>
        <v>500</v>
      </c>
      <c r="D1477" s="10" t="s">
        <v>82</v>
      </c>
      <c r="E1477" s="10" t="s">
        <v>1759</v>
      </c>
      <c r="F1477" s="10" t="s">
        <v>172</v>
      </c>
      <c r="G1477" s="10" t="s">
        <v>166</v>
      </c>
      <c r="H1477" s="11" t="str">
        <f>IF(OR(M1477&lt;=0,N1477&lt;=0),"SKIPPED - NONPOSITIVE",IF(OR(M1477&lt;L1477,N1477&lt;L1477),"SKIPPED - BELOW MIN",IF(OR(M1477&gt;J1477,N1477&gt;K1477),"SKIPPED - EXCEEDS BASE",IF(COUNTIFS($M$1460:M1476,M1477,$N$1460:N1476,N1477)&gt;0,"SKIPPED - DUPLICATE","VALID - GENERATED"))))</f>
        <v>VALID - GENERATED</v>
      </c>
      <c r="I1477" s="10" t="s">
        <v>1760</v>
      </c>
      <c r="J1477" s="12">
        <f>'05-ISO Reference'!$B$19</f>
        <v>707</v>
      </c>
      <c r="K1477" s="12">
        <f>'05-ISO Reference'!$C$19</f>
        <v>1000</v>
      </c>
      <c r="L1477" s="12">
        <f>'01-Process Controls'!$G$5</f>
        <v>3</v>
      </c>
      <c r="M1477" s="12">
        <f>ROUNDDOWN(J1477*'04-Variant Rules'!$D$22,0)</f>
        <v>176</v>
      </c>
      <c r="N1477" s="12">
        <f>ROUNDDOWN(K1477*'04-Variant Rules'!$E$22,0)</f>
        <v>500</v>
      </c>
      <c r="O1477" s="9">
        <v>17</v>
      </c>
    </row>
    <row r="1478" spans="1:15" ht="21" customHeight="1">
      <c r="A1478" s="9" t="s">
        <v>1778</v>
      </c>
      <c r="B1478" s="12">
        <f>IF(LEFT(H1478,5)="VALID",M1478,"")</f>
        <v>471</v>
      </c>
      <c r="C1478" s="12">
        <f>IF(LEFT(H1478,5)="VALID",N1478,"")</f>
        <v>500</v>
      </c>
      <c r="D1478" s="10" t="s">
        <v>82</v>
      </c>
      <c r="E1478" s="10" t="s">
        <v>1759</v>
      </c>
      <c r="F1478" s="10" t="s">
        <v>174</v>
      </c>
      <c r="G1478" s="10" t="s">
        <v>166</v>
      </c>
      <c r="H1478" s="11" t="str">
        <f>IF(OR(M1478&lt;=0,N1478&lt;=0),"SKIPPED - NONPOSITIVE",IF(OR(M1478&lt;L1478,N1478&lt;L1478),"SKIPPED - BELOW MIN",IF(OR(M1478&gt;J1478,N1478&gt;K1478),"SKIPPED - EXCEEDS BASE",IF(COUNTIFS($M$1460:M1477,M1478,$N$1460:N1477,N1478)&gt;0,"SKIPPED - DUPLICATE","VALID - GENERATED"))))</f>
        <v>VALID - GENERATED</v>
      </c>
      <c r="I1478" s="10" t="s">
        <v>1760</v>
      </c>
      <c r="J1478" s="12">
        <f>'05-ISO Reference'!$B$19</f>
        <v>707</v>
      </c>
      <c r="K1478" s="12">
        <f>'05-ISO Reference'!$C$19</f>
        <v>1000</v>
      </c>
      <c r="L1478" s="12">
        <f>'01-Process Controls'!$G$5</f>
        <v>3</v>
      </c>
      <c r="M1478" s="12">
        <f>ROUNDDOWN(J1478*'04-Variant Rules'!$D$23,0)</f>
        <v>471</v>
      </c>
      <c r="N1478" s="12">
        <f>ROUNDDOWN(K1478*'04-Variant Rules'!$E$23,0)</f>
        <v>500</v>
      </c>
      <c r="O1478" s="9">
        <v>18</v>
      </c>
    </row>
    <row r="1479" spans="1:15" ht="21" customHeight="1">
      <c r="A1479" s="9" t="s">
        <v>1779</v>
      </c>
      <c r="B1479" s="12">
        <f>IF(LEFT(H1479,5)="VALID",M1479,"")</f>
        <v>353</v>
      </c>
      <c r="C1479" s="12">
        <f>IF(LEFT(H1479,5)="VALID",N1479,"")</f>
        <v>666</v>
      </c>
      <c r="D1479" s="10" t="s">
        <v>82</v>
      </c>
      <c r="E1479" s="10" t="s">
        <v>1759</v>
      </c>
      <c r="F1479" s="10" t="s">
        <v>176</v>
      </c>
      <c r="G1479" s="10" t="s">
        <v>166</v>
      </c>
      <c r="H1479" s="11" t="str">
        <f>IF(OR(M1479&lt;=0,N1479&lt;=0),"SKIPPED - NONPOSITIVE",IF(OR(M1479&lt;L1479,N1479&lt;L1479),"SKIPPED - BELOW MIN",IF(OR(M1479&gt;J1479,N1479&gt;K1479),"SKIPPED - EXCEEDS BASE",IF(COUNTIFS($M$1460:M1478,M1479,$N$1460:N1478,N1479)&gt;0,"SKIPPED - DUPLICATE","VALID - GENERATED"))))</f>
        <v>VALID - GENERATED</v>
      </c>
      <c r="I1479" s="10" t="s">
        <v>1760</v>
      </c>
      <c r="J1479" s="12">
        <f>'05-ISO Reference'!$B$19</f>
        <v>707</v>
      </c>
      <c r="K1479" s="12">
        <f>'05-ISO Reference'!$C$19</f>
        <v>1000</v>
      </c>
      <c r="L1479" s="12">
        <f>'01-Process Controls'!$G$5</f>
        <v>3</v>
      </c>
      <c r="M1479" s="12">
        <f>ROUNDDOWN(J1479*'04-Variant Rules'!$D$24,0)</f>
        <v>353</v>
      </c>
      <c r="N1479" s="12">
        <f>ROUNDDOWN(K1479*'04-Variant Rules'!$E$24,0)</f>
        <v>666</v>
      </c>
      <c r="O1479" s="9">
        <v>19</v>
      </c>
    </row>
    <row r="1480" spans="1:15" ht="21" customHeight="1">
      <c r="A1480" s="9" t="s">
        <v>1780</v>
      </c>
      <c r="B1480" s="12">
        <f>IF(LEFT(H1480,5)="VALID",M1480,"")</f>
        <v>530</v>
      </c>
      <c r="C1480" s="12">
        <f>IF(LEFT(H1480,5)="VALID",N1480,"")</f>
        <v>500</v>
      </c>
      <c r="D1480" s="10" t="s">
        <v>82</v>
      </c>
      <c r="E1480" s="10" t="s">
        <v>1759</v>
      </c>
      <c r="F1480" s="10" t="s">
        <v>178</v>
      </c>
      <c r="G1480" s="10" t="s">
        <v>166</v>
      </c>
      <c r="H1480" s="11" t="str">
        <f>IF(OR(M1480&lt;=0,N1480&lt;=0),"SKIPPED - NONPOSITIVE",IF(OR(M1480&lt;L1480,N1480&lt;L1480),"SKIPPED - BELOW MIN",IF(OR(M1480&gt;J1480,N1480&gt;K1480),"SKIPPED - EXCEEDS BASE",IF(COUNTIFS($M$1460:M1479,M1480,$N$1460:N1479,N1480)&gt;0,"SKIPPED - DUPLICATE","VALID - GENERATED"))))</f>
        <v>VALID - GENERATED</v>
      </c>
      <c r="I1480" s="10" t="s">
        <v>1760</v>
      </c>
      <c r="J1480" s="12">
        <f>'05-ISO Reference'!$B$19</f>
        <v>707</v>
      </c>
      <c r="K1480" s="12">
        <f>'05-ISO Reference'!$C$19</f>
        <v>1000</v>
      </c>
      <c r="L1480" s="12">
        <f>'01-Process Controls'!$G$5</f>
        <v>3</v>
      </c>
      <c r="M1480" s="12">
        <f>ROUNDDOWN(J1480*'04-Variant Rules'!$D$25,0)</f>
        <v>530</v>
      </c>
      <c r="N1480" s="12">
        <f>ROUNDDOWN(K1480*'04-Variant Rules'!$E$25,0)</f>
        <v>500</v>
      </c>
      <c r="O1480" s="9">
        <v>20</v>
      </c>
    </row>
    <row r="1481" spans="1:15" ht="21" customHeight="1">
      <c r="A1481" s="9" t="s">
        <v>1781</v>
      </c>
      <c r="B1481" s="12">
        <f>IF(LEFT(H1481,5)="VALID",M1481,"")</f>
        <v>353</v>
      </c>
      <c r="C1481" s="12">
        <f>IF(LEFT(H1481,5)="VALID",N1481,"")</f>
        <v>750</v>
      </c>
      <c r="D1481" s="10" t="s">
        <v>82</v>
      </c>
      <c r="E1481" s="10" t="s">
        <v>1759</v>
      </c>
      <c r="F1481" s="10" t="s">
        <v>180</v>
      </c>
      <c r="G1481" s="10" t="s">
        <v>166</v>
      </c>
      <c r="H1481" s="11" t="str">
        <f>IF(OR(M1481&lt;=0,N1481&lt;=0),"SKIPPED - NONPOSITIVE",IF(OR(M1481&lt;L1481,N1481&lt;L1481),"SKIPPED - BELOW MIN",IF(OR(M1481&gt;J1481,N1481&gt;K1481),"SKIPPED - EXCEEDS BASE",IF(COUNTIFS($M$1460:M1480,M1481,$N$1460:N1480,N1481)&gt;0,"SKIPPED - DUPLICATE","VALID - GENERATED"))))</f>
        <v>VALID - GENERATED</v>
      </c>
      <c r="I1481" s="10" t="s">
        <v>1760</v>
      </c>
      <c r="J1481" s="12">
        <f>'05-ISO Reference'!$B$19</f>
        <v>707</v>
      </c>
      <c r="K1481" s="12">
        <f>'05-ISO Reference'!$C$19</f>
        <v>1000</v>
      </c>
      <c r="L1481" s="12">
        <f>'01-Process Controls'!$G$5</f>
        <v>3</v>
      </c>
      <c r="M1481" s="12">
        <f>ROUNDDOWN(J1481*'04-Variant Rules'!$D$26,0)</f>
        <v>353</v>
      </c>
      <c r="N1481" s="12">
        <f>ROUNDDOWN(K1481*'04-Variant Rules'!$E$26,0)</f>
        <v>750</v>
      </c>
      <c r="O1481" s="9">
        <v>21</v>
      </c>
    </row>
    <row r="1482" spans="1:15" ht="21" customHeight="1">
      <c r="A1482" s="9" t="s">
        <v>1782</v>
      </c>
      <c r="B1482" s="12">
        <f>IF(LEFT(H1482,5)="VALID",M1482,"")</f>
        <v>671</v>
      </c>
      <c r="C1482" s="12">
        <f>IF(LEFT(H1482,5)="VALID",N1482,"")</f>
        <v>950</v>
      </c>
      <c r="D1482" s="10" t="s">
        <v>82</v>
      </c>
      <c r="E1482" s="10" t="s">
        <v>1759</v>
      </c>
      <c r="F1482" s="10" t="s">
        <v>182</v>
      </c>
      <c r="G1482" s="10" t="s">
        <v>183</v>
      </c>
      <c r="H1482" s="11" t="str">
        <f>IF(OR(M1482&lt;=0,N1482&lt;=0),"SKIPPED - NONPOSITIVE",IF(OR(M1482&lt;L1482,N1482&lt;L1482),"SKIPPED - BELOW MIN",IF(OR(M1482&gt;J1482,N1482&gt;K1482),"SKIPPED - EXCEEDS BASE",IF(COUNTIFS($M$1460:M1481,M1482,$N$1460:N1481,N1482)&gt;0,"SKIPPED - DUPLICATE","VALID - GENERATED"))))</f>
        <v>VALID - GENERATED</v>
      </c>
      <c r="I1482" s="10" t="s">
        <v>1760</v>
      </c>
      <c r="J1482" s="12">
        <f>'05-ISO Reference'!$B$19</f>
        <v>707</v>
      </c>
      <c r="K1482" s="12">
        <f>'05-ISO Reference'!$C$19</f>
        <v>1000</v>
      </c>
      <c r="L1482" s="12">
        <f>'01-Process Controls'!$G$5</f>
        <v>3</v>
      </c>
      <c r="M1482" s="12">
        <f>ROUNDDOWN(J1482*'04-Variant Rules'!$D$27,0)</f>
        <v>671</v>
      </c>
      <c r="N1482" s="12">
        <f>ROUNDDOWN(K1482*'04-Variant Rules'!$E$27,0)</f>
        <v>950</v>
      </c>
      <c r="O1482" s="9">
        <v>22</v>
      </c>
    </row>
    <row r="1483" spans="1:15" ht="21" customHeight="1">
      <c r="A1483" s="9" t="s">
        <v>1783</v>
      </c>
      <c r="B1483" s="12">
        <f>IF(LEFT(H1483,5)="VALID",M1483,"")</f>
        <v>636</v>
      </c>
      <c r="C1483" s="12">
        <f>IF(LEFT(H1483,5)="VALID",N1483,"")</f>
        <v>900</v>
      </c>
      <c r="D1483" s="10" t="s">
        <v>82</v>
      </c>
      <c r="E1483" s="10" t="s">
        <v>1759</v>
      </c>
      <c r="F1483" s="10" t="s">
        <v>185</v>
      </c>
      <c r="G1483" s="10" t="s">
        <v>186</v>
      </c>
      <c r="H1483" s="11" t="str">
        <f>IF(OR(M1483&lt;=0,N1483&lt;=0),"SKIPPED - NONPOSITIVE",IF(OR(M1483&lt;L1483,N1483&lt;L1483),"SKIPPED - BELOW MIN",IF(OR(M1483&gt;J1483,N1483&gt;K1483),"SKIPPED - EXCEEDS BASE",IF(COUNTIFS($M$1460:M1482,M1483,$N$1460:N1482,N1483)&gt;0,"SKIPPED - DUPLICATE","VALID - GENERATED"))))</f>
        <v>VALID - GENERATED</v>
      </c>
      <c r="I1483" s="10" t="s">
        <v>1760</v>
      </c>
      <c r="J1483" s="12">
        <f>'05-ISO Reference'!$B$19</f>
        <v>707</v>
      </c>
      <c r="K1483" s="12">
        <f>'05-ISO Reference'!$C$19</f>
        <v>1000</v>
      </c>
      <c r="L1483" s="12">
        <f>'01-Process Controls'!$G$5</f>
        <v>3</v>
      </c>
      <c r="M1483" s="12">
        <f>ROUNDDOWN(J1483*'04-Variant Rules'!$D$28,0)</f>
        <v>636</v>
      </c>
      <c r="N1483" s="12">
        <f>ROUNDDOWN(K1483*'04-Variant Rules'!$E$28,0)</f>
        <v>900</v>
      </c>
      <c r="O1483" s="9">
        <v>23</v>
      </c>
    </row>
    <row r="1484" spans="1:15" ht="21" customHeight="1">
      <c r="A1484" s="9" t="s">
        <v>1784</v>
      </c>
      <c r="B1484" s="12">
        <f>IF(LEFT(H1484,5)="VALID",M1484,"")</f>
        <v>600</v>
      </c>
      <c r="C1484" s="12">
        <f>IF(LEFT(H1484,5)="VALID",N1484,"")</f>
        <v>850</v>
      </c>
      <c r="D1484" s="10" t="s">
        <v>82</v>
      </c>
      <c r="E1484" s="10" t="s">
        <v>1759</v>
      </c>
      <c r="F1484" s="10" t="s">
        <v>188</v>
      </c>
      <c r="G1484" s="10" t="s">
        <v>186</v>
      </c>
      <c r="H1484" s="11" t="str">
        <f>IF(OR(M1484&lt;=0,N1484&lt;=0),"SKIPPED - NONPOSITIVE",IF(OR(M1484&lt;L1484,N1484&lt;L1484),"SKIPPED - BELOW MIN",IF(OR(M1484&gt;J1484,N1484&gt;K1484),"SKIPPED - EXCEEDS BASE",IF(COUNTIFS($M$1460:M1483,M1484,$N$1460:N1483,N1484)&gt;0,"SKIPPED - DUPLICATE","VALID - GENERATED"))))</f>
        <v>VALID - GENERATED</v>
      </c>
      <c r="I1484" s="10" t="s">
        <v>1760</v>
      </c>
      <c r="J1484" s="12">
        <f>'05-ISO Reference'!$B$19</f>
        <v>707</v>
      </c>
      <c r="K1484" s="12">
        <f>'05-ISO Reference'!$C$19</f>
        <v>1000</v>
      </c>
      <c r="L1484" s="12">
        <f>'01-Process Controls'!$G$5</f>
        <v>3</v>
      </c>
      <c r="M1484" s="12">
        <f>ROUNDDOWN(J1484*'04-Variant Rules'!$D$29,0)</f>
        <v>600</v>
      </c>
      <c r="N1484" s="12">
        <f>ROUNDDOWN(K1484*'04-Variant Rules'!$E$29,0)</f>
        <v>850</v>
      </c>
      <c r="O1484" s="9">
        <v>24</v>
      </c>
    </row>
    <row r="1485" spans="1:15" ht="21" customHeight="1">
      <c r="A1485" s="9" t="s">
        <v>1785</v>
      </c>
      <c r="B1485" s="12">
        <f>IF(LEFT(H1485,5)="VALID",M1485,"")</f>
        <v>565</v>
      </c>
      <c r="C1485" s="12">
        <f>IF(LEFT(H1485,5)="VALID",N1485,"")</f>
        <v>800</v>
      </c>
      <c r="D1485" s="10" t="s">
        <v>82</v>
      </c>
      <c r="E1485" s="10" t="s">
        <v>1759</v>
      </c>
      <c r="F1485" s="10" t="s">
        <v>190</v>
      </c>
      <c r="G1485" s="10" t="s">
        <v>186</v>
      </c>
      <c r="H1485" s="11" t="str">
        <f>IF(OR(M1485&lt;=0,N1485&lt;=0),"SKIPPED - NONPOSITIVE",IF(OR(M1485&lt;L1485,N1485&lt;L1485),"SKIPPED - BELOW MIN",IF(OR(M1485&gt;J1485,N1485&gt;K1485),"SKIPPED - EXCEEDS BASE",IF(COUNTIFS($M$1460:M1484,M1485,$N$1460:N1484,N1485)&gt;0,"SKIPPED - DUPLICATE","VALID - GENERATED"))))</f>
        <v>VALID - GENERATED</v>
      </c>
      <c r="I1485" s="10" t="s">
        <v>1760</v>
      </c>
      <c r="J1485" s="12">
        <f>'05-ISO Reference'!$B$19</f>
        <v>707</v>
      </c>
      <c r="K1485" s="12">
        <f>'05-ISO Reference'!$C$19</f>
        <v>1000</v>
      </c>
      <c r="L1485" s="12">
        <f>'01-Process Controls'!$G$5</f>
        <v>3</v>
      </c>
      <c r="M1485" s="12">
        <f>ROUNDDOWN(J1485*'04-Variant Rules'!$D$30,0)</f>
        <v>565</v>
      </c>
      <c r="N1485" s="12">
        <f>ROUNDDOWN(K1485*'04-Variant Rules'!$E$30,0)</f>
        <v>800</v>
      </c>
      <c r="O1485" s="9">
        <v>25</v>
      </c>
    </row>
    <row r="1486" spans="1:15" ht="21" customHeight="1">
      <c r="A1486" s="9" t="s">
        <v>1786</v>
      </c>
      <c r="B1486" s="12">
        <f>IF(LEFT(H1486,5)="VALID",M1486,"")</f>
        <v>530</v>
      </c>
      <c r="C1486" s="12">
        <f>IF(LEFT(H1486,5)="VALID",N1486,"")</f>
        <v>750</v>
      </c>
      <c r="D1486" s="10" t="s">
        <v>82</v>
      </c>
      <c r="E1486" s="10" t="s">
        <v>1759</v>
      </c>
      <c r="F1486" s="10" t="s">
        <v>192</v>
      </c>
      <c r="G1486" s="10" t="s">
        <v>186</v>
      </c>
      <c r="H1486" s="11" t="str">
        <f>IF(OR(M1486&lt;=0,N1486&lt;=0),"SKIPPED - NONPOSITIVE",IF(OR(M1486&lt;L1486,N1486&lt;L1486),"SKIPPED - BELOW MIN",IF(OR(M1486&gt;J1486,N1486&gt;K1486),"SKIPPED - EXCEEDS BASE",IF(COUNTIFS($M$1460:M1485,M1486,$N$1460:N1485,N1486)&gt;0,"SKIPPED - DUPLICATE","VALID - GENERATED"))))</f>
        <v>VALID - GENERATED</v>
      </c>
      <c r="I1486" s="10" t="s">
        <v>1760</v>
      </c>
      <c r="J1486" s="12">
        <f>'05-ISO Reference'!$B$19</f>
        <v>707</v>
      </c>
      <c r="K1486" s="12">
        <f>'05-ISO Reference'!$C$19</f>
        <v>1000</v>
      </c>
      <c r="L1486" s="12">
        <f>'01-Process Controls'!$G$5</f>
        <v>3</v>
      </c>
      <c r="M1486" s="12">
        <f>ROUNDDOWN(J1486*'04-Variant Rules'!$D$31,0)</f>
        <v>530</v>
      </c>
      <c r="N1486" s="12">
        <f>ROUNDDOWN(K1486*'04-Variant Rules'!$E$31,0)</f>
        <v>750</v>
      </c>
      <c r="O1486" s="9">
        <v>26</v>
      </c>
    </row>
    <row r="1487" spans="1:15" ht="21" customHeight="1">
      <c r="A1487" s="9" t="s">
        <v>1787</v>
      </c>
      <c r="B1487" s="12">
        <f>IF(LEFT(H1487,5)="VALID",M1487,"")</f>
        <v>494</v>
      </c>
      <c r="C1487" s="12">
        <f>IF(LEFT(H1487,5)="VALID",N1487,"")</f>
        <v>700</v>
      </c>
      <c r="D1487" s="10" t="s">
        <v>82</v>
      </c>
      <c r="E1487" s="10" t="s">
        <v>1759</v>
      </c>
      <c r="F1487" s="10" t="s">
        <v>194</v>
      </c>
      <c r="G1487" s="10" t="s">
        <v>186</v>
      </c>
      <c r="H1487" s="11" t="str">
        <f>IF(OR(M1487&lt;=0,N1487&lt;=0),"SKIPPED - NONPOSITIVE",IF(OR(M1487&lt;L1487,N1487&lt;L1487),"SKIPPED - BELOW MIN",IF(OR(M1487&gt;J1487,N1487&gt;K1487),"SKIPPED - EXCEEDS BASE",IF(COUNTIFS($M$1460:M1486,M1487,$N$1460:N1486,N1487)&gt;0,"SKIPPED - DUPLICATE","VALID - GENERATED"))))</f>
        <v>VALID - GENERATED</v>
      </c>
      <c r="I1487" s="10" t="s">
        <v>1760</v>
      </c>
      <c r="J1487" s="12">
        <f>'05-ISO Reference'!$B$19</f>
        <v>707</v>
      </c>
      <c r="K1487" s="12">
        <f>'05-ISO Reference'!$C$19</f>
        <v>1000</v>
      </c>
      <c r="L1487" s="12">
        <f>'01-Process Controls'!$G$5</f>
        <v>3</v>
      </c>
      <c r="M1487" s="12">
        <f>ROUNDDOWN(J1487*'04-Variant Rules'!$D$32,0)</f>
        <v>494</v>
      </c>
      <c r="N1487" s="12">
        <f>ROUNDDOWN(K1487*'04-Variant Rules'!$E$32,0)</f>
        <v>700</v>
      </c>
      <c r="O1487" s="9">
        <v>27</v>
      </c>
    </row>
    <row r="1488" spans="1:15" ht="21" customHeight="1">
      <c r="A1488" s="9" t="s">
        <v>1788</v>
      </c>
      <c r="B1488" s="12">
        <f>IF(LEFT(H1488,5)="VALID",M1488,"")</f>
        <v>471</v>
      </c>
      <c r="C1488" s="12">
        <f>IF(LEFT(H1488,5)="VALID",N1488,"")</f>
        <v>666</v>
      </c>
      <c r="D1488" s="10" t="s">
        <v>82</v>
      </c>
      <c r="E1488" s="10" t="s">
        <v>1759</v>
      </c>
      <c r="F1488" s="10" t="s">
        <v>196</v>
      </c>
      <c r="G1488" s="10" t="s">
        <v>186</v>
      </c>
      <c r="H1488" s="11" t="str">
        <f>IF(OR(M1488&lt;=0,N1488&lt;=0),"SKIPPED - NONPOSITIVE",IF(OR(M1488&lt;L1488,N1488&lt;L1488),"SKIPPED - BELOW MIN",IF(OR(M1488&gt;J1488,N1488&gt;K1488),"SKIPPED - EXCEEDS BASE",IF(COUNTIFS($M$1460:M1487,M1488,$N$1460:N1487,N1488)&gt;0,"SKIPPED - DUPLICATE","VALID - GENERATED"))))</f>
        <v>VALID - GENERATED</v>
      </c>
      <c r="I1488" s="10" t="s">
        <v>1760</v>
      </c>
      <c r="J1488" s="12">
        <f>'05-ISO Reference'!$B$19</f>
        <v>707</v>
      </c>
      <c r="K1488" s="12">
        <f>'05-ISO Reference'!$C$19</f>
        <v>1000</v>
      </c>
      <c r="L1488" s="12">
        <f>'01-Process Controls'!$G$5</f>
        <v>3</v>
      </c>
      <c r="M1488" s="12">
        <f>ROUNDDOWN(J1488*'04-Variant Rules'!$D$33,0)</f>
        <v>471</v>
      </c>
      <c r="N1488" s="12">
        <f>ROUNDDOWN(K1488*'04-Variant Rules'!$E$33,0)</f>
        <v>666</v>
      </c>
      <c r="O1488" s="9">
        <v>28</v>
      </c>
    </row>
    <row r="1489" spans="1:15" ht="21" customHeight="1">
      <c r="A1489" s="9" t="s">
        <v>1789</v>
      </c>
      <c r="B1489" s="12">
        <f>IF(LEFT(H1489,5)="VALID",M1489,"")</f>
        <v>424</v>
      </c>
      <c r="C1489" s="12">
        <f>IF(LEFT(H1489,5)="VALID",N1489,"")</f>
        <v>600</v>
      </c>
      <c r="D1489" s="10" t="s">
        <v>82</v>
      </c>
      <c r="E1489" s="10" t="s">
        <v>1759</v>
      </c>
      <c r="F1489" s="10" t="s">
        <v>198</v>
      </c>
      <c r="G1489" s="10" t="s">
        <v>186</v>
      </c>
      <c r="H1489" s="11" t="str">
        <f>IF(OR(M1489&lt;=0,N1489&lt;=0),"SKIPPED - NONPOSITIVE",IF(OR(M1489&lt;L1489,N1489&lt;L1489),"SKIPPED - BELOW MIN",IF(OR(M1489&gt;J1489,N1489&gt;K1489),"SKIPPED - EXCEEDS BASE",IF(COUNTIFS($M$1460:M1488,M1489,$N$1460:N1488,N1489)&gt;0,"SKIPPED - DUPLICATE","VALID - GENERATED"))))</f>
        <v>VALID - GENERATED</v>
      </c>
      <c r="I1489" s="10" t="s">
        <v>1760</v>
      </c>
      <c r="J1489" s="12">
        <f>'05-ISO Reference'!$B$19</f>
        <v>707</v>
      </c>
      <c r="K1489" s="12">
        <f>'05-ISO Reference'!$C$19</f>
        <v>1000</v>
      </c>
      <c r="L1489" s="12">
        <f>'01-Process Controls'!$G$5</f>
        <v>3</v>
      </c>
      <c r="M1489" s="12">
        <f>ROUNDDOWN(J1489*'04-Variant Rules'!$D$34,0)</f>
        <v>424</v>
      </c>
      <c r="N1489" s="12">
        <f>ROUNDDOWN(K1489*'04-Variant Rules'!$E$34,0)</f>
        <v>600</v>
      </c>
      <c r="O1489" s="9">
        <v>29</v>
      </c>
    </row>
    <row r="1490" spans="1:15" ht="21" customHeight="1">
      <c r="A1490" s="9" t="s">
        <v>1790</v>
      </c>
      <c r="B1490" s="12">
        <f>IF(LEFT(H1490,5)="VALID",M1490,"")</f>
        <v>388</v>
      </c>
      <c r="C1490" s="12">
        <f>IF(LEFT(H1490,5)="VALID",N1490,"")</f>
        <v>550</v>
      </c>
      <c r="D1490" s="10" t="s">
        <v>82</v>
      </c>
      <c r="E1490" s="10" t="s">
        <v>1759</v>
      </c>
      <c r="F1490" s="10" t="s">
        <v>200</v>
      </c>
      <c r="G1490" s="10" t="s">
        <v>186</v>
      </c>
      <c r="H1490" s="11" t="str">
        <f>IF(OR(M1490&lt;=0,N1490&lt;=0),"SKIPPED - NONPOSITIVE",IF(OR(M1490&lt;L1490,N1490&lt;L1490),"SKIPPED - BELOW MIN",IF(OR(M1490&gt;J1490,N1490&gt;K1490),"SKIPPED - EXCEEDS BASE",IF(COUNTIFS($M$1460:M1489,M1490,$N$1460:N1489,N1490)&gt;0,"SKIPPED - DUPLICATE","VALID - GENERATED"))))</f>
        <v>VALID - GENERATED</v>
      </c>
      <c r="I1490" s="10" t="s">
        <v>1760</v>
      </c>
      <c r="J1490" s="12">
        <f>'05-ISO Reference'!$B$19</f>
        <v>707</v>
      </c>
      <c r="K1490" s="12">
        <f>'05-ISO Reference'!$C$19</f>
        <v>1000</v>
      </c>
      <c r="L1490" s="12">
        <f>'01-Process Controls'!$G$5</f>
        <v>3</v>
      </c>
      <c r="M1490" s="12">
        <f>ROUNDDOWN(J1490*'04-Variant Rules'!$D$35,0)</f>
        <v>388</v>
      </c>
      <c r="N1490" s="12">
        <f>ROUNDDOWN(K1490*'04-Variant Rules'!$E$35,0)</f>
        <v>550</v>
      </c>
      <c r="O1490" s="9">
        <v>30</v>
      </c>
    </row>
    <row r="1491" spans="1:15" ht="21" customHeight="1">
      <c r="A1491" s="9" t="s">
        <v>1791</v>
      </c>
      <c r="B1491" s="12">
        <f>IF(LEFT(H1491,5)="VALID",M1491,"")</f>
        <v>318</v>
      </c>
      <c r="C1491" s="12">
        <f>IF(LEFT(H1491,5)="VALID",N1491,"")</f>
        <v>450</v>
      </c>
      <c r="D1491" s="10" t="s">
        <v>82</v>
      </c>
      <c r="E1491" s="10" t="s">
        <v>1759</v>
      </c>
      <c r="F1491" s="10" t="s">
        <v>202</v>
      </c>
      <c r="G1491" s="10" t="s">
        <v>186</v>
      </c>
      <c r="H1491" s="11" t="str">
        <f>IF(OR(M1491&lt;=0,N1491&lt;=0),"SKIPPED - NONPOSITIVE",IF(OR(M1491&lt;L1491,N1491&lt;L1491),"SKIPPED - BELOW MIN",IF(OR(M1491&gt;J1491,N1491&gt;K1491),"SKIPPED - EXCEEDS BASE",IF(COUNTIFS($M$1460:M1490,M1491,$N$1460:N1490,N1491)&gt;0,"SKIPPED - DUPLICATE","VALID - GENERATED"))))</f>
        <v>VALID - GENERATED</v>
      </c>
      <c r="I1491" s="10" t="s">
        <v>1760</v>
      </c>
      <c r="J1491" s="12">
        <f>'05-ISO Reference'!$B$19</f>
        <v>707</v>
      </c>
      <c r="K1491" s="12">
        <f>'05-ISO Reference'!$C$19</f>
        <v>1000</v>
      </c>
      <c r="L1491" s="12">
        <f>'01-Process Controls'!$G$5</f>
        <v>3</v>
      </c>
      <c r="M1491" s="12">
        <f>ROUNDDOWN(J1491*'04-Variant Rules'!$D$36,0)</f>
        <v>318</v>
      </c>
      <c r="N1491" s="12">
        <f>ROUNDDOWN(K1491*'04-Variant Rules'!$E$36,0)</f>
        <v>450</v>
      </c>
      <c r="O1491" s="9">
        <v>31</v>
      </c>
    </row>
    <row r="1492" spans="1:15" ht="21" customHeight="1">
      <c r="A1492" s="9" t="s">
        <v>1792</v>
      </c>
      <c r="B1492" s="12">
        <f>IF(LEFT(H1492,5)="VALID",M1492,"")</f>
        <v>282</v>
      </c>
      <c r="C1492" s="12">
        <f>IF(LEFT(H1492,5)="VALID",N1492,"")</f>
        <v>400</v>
      </c>
      <c r="D1492" s="10" t="s">
        <v>82</v>
      </c>
      <c r="E1492" s="10" t="s">
        <v>1759</v>
      </c>
      <c r="F1492" s="10" t="s">
        <v>204</v>
      </c>
      <c r="G1492" s="10" t="s">
        <v>186</v>
      </c>
      <c r="H1492" s="11" t="str">
        <f>IF(OR(M1492&lt;=0,N1492&lt;=0),"SKIPPED - NONPOSITIVE",IF(OR(M1492&lt;L1492,N1492&lt;L1492),"SKIPPED - BELOW MIN",IF(OR(M1492&gt;J1492,N1492&gt;K1492),"SKIPPED - EXCEEDS BASE",IF(COUNTIFS($M$1460:M1491,M1492,$N$1460:N1491,N1492)&gt;0,"SKIPPED - DUPLICATE","VALID - GENERATED"))))</f>
        <v>VALID - GENERATED</v>
      </c>
      <c r="I1492" s="10" t="s">
        <v>1760</v>
      </c>
      <c r="J1492" s="12">
        <f>'05-ISO Reference'!$B$19</f>
        <v>707</v>
      </c>
      <c r="K1492" s="12">
        <f>'05-ISO Reference'!$C$19</f>
        <v>1000</v>
      </c>
      <c r="L1492" s="12">
        <f>'01-Process Controls'!$G$5</f>
        <v>3</v>
      </c>
      <c r="M1492" s="12">
        <f>ROUNDDOWN(J1492*'04-Variant Rules'!$D$37,0)</f>
        <v>282</v>
      </c>
      <c r="N1492" s="12">
        <f>ROUNDDOWN(K1492*'04-Variant Rules'!$E$37,0)</f>
        <v>400</v>
      </c>
      <c r="O1492" s="9">
        <v>32</v>
      </c>
    </row>
    <row r="1493" spans="1:15" ht="21" customHeight="1">
      <c r="A1493" s="9" t="s">
        <v>1793</v>
      </c>
      <c r="B1493" s="12">
        <f>IF(LEFT(H1493,5)="VALID",M1493,"")</f>
        <v>247</v>
      </c>
      <c r="C1493" s="12">
        <f>IF(LEFT(H1493,5)="VALID",N1493,"")</f>
        <v>350</v>
      </c>
      <c r="D1493" s="10" t="s">
        <v>82</v>
      </c>
      <c r="E1493" s="10" t="s">
        <v>1759</v>
      </c>
      <c r="F1493" s="10" t="s">
        <v>206</v>
      </c>
      <c r="G1493" s="10" t="s">
        <v>186</v>
      </c>
      <c r="H1493" s="11" t="str">
        <f>IF(OR(M1493&lt;=0,N1493&lt;=0),"SKIPPED - NONPOSITIVE",IF(OR(M1493&lt;L1493,N1493&lt;L1493),"SKIPPED - BELOW MIN",IF(OR(M1493&gt;J1493,N1493&gt;K1493),"SKIPPED - EXCEEDS BASE",IF(COUNTIFS($M$1460:M1492,M1493,$N$1460:N1492,N1493)&gt;0,"SKIPPED - DUPLICATE","VALID - GENERATED"))))</f>
        <v>VALID - GENERATED</v>
      </c>
      <c r="I1493" s="10" t="s">
        <v>1760</v>
      </c>
      <c r="J1493" s="12">
        <f>'05-ISO Reference'!$B$19</f>
        <v>707</v>
      </c>
      <c r="K1493" s="12">
        <f>'05-ISO Reference'!$C$19</f>
        <v>1000</v>
      </c>
      <c r="L1493" s="12">
        <f>'01-Process Controls'!$G$5</f>
        <v>3</v>
      </c>
      <c r="M1493" s="12">
        <f>ROUNDDOWN(J1493*'04-Variant Rules'!$D$38,0)</f>
        <v>247</v>
      </c>
      <c r="N1493" s="12">
        <f>ROUNDDOWN(K1493*'04-Variant Rules'!$E$38,0)</f>
        <v>350</v>
      </c>
      <c r="O1493" s="9">
        <v>33</v>
      </c>
    </row>
    <row r="1494" spans="1:15" ht="21" customHeight="1">
      <c r="A1494" s="9" t="s">
        <v>1794</v>
      </c>
      <c r="B1494" s="12">
        <f>IF(LEFT(H1494,5)="VALID",M1494,"")</f>
        <v>212</v>
      </c>
      <c r="C1494" s="12">
        <f>IF(LEFT(H1494,5)="VALID",N1494,"")</f>
        <v>300</v>
      </c>
      <c r="D1494" s="10" t="s">
        <v>82</v>
      </c>
      <c r="E1494" s="10" t="s">
        <v>1759</v>
      </c>
      <c r="F1494" s="10" t="s">
        <v>208</v>
      </c>
      <c r="G1494" s="10" t="s">
        <v>186</v>
      </c>
      <c r="H1494" s="11" t="str">
        <f>IF(OR(M1494&lt;=0,N1494&lt;=0),"SKIPPED - NONPOSITIVE",IF(OR(M1494&lt;L1494,N1494&lt;L1494),"SKIPPED - BELOW MIN",IF(OR(M1494&gt;J1494,N1494&gt;K1494),"SKIPPED - EXCEEDS BASE",IF(COUNTIFS($M$1460:M1493,M1494,$N$1460:N1493,N1494)&gt;0,"SKIPPED - DUPLICATE","VALID - GENERATED"))))</f>
        <v>VALID - GENERATED</v>
      </c>
      <c r="I1494" s="10" t="s">
        <v>1760</v>
      </c>
      <c r="J1494" s="12">
        <f>'05-ISO Reference'!$B$19</f>
        <v>707</v>
      </c>
      <c r="K1494" s="12">
        <f>'05-ISO Reference'!$C$19</f>
        <v>1000</v>
      </c>
      <c r="L1494" s="12">
        <f>'01-Process Controls'!$G$5</f>
        <v>3</v>
      </c>
      <c r="M1494" s="12">
        <f>ROUNDDOWN(J1494*'04-Variant Rules'!$D$39,0)</f>
        <v>212</v>
      </c>
      <c r="N1494" s="12">
        <f>ROUNDDOWN(K1494*'04-Variant Rules'!$E$39,0)</f>
        <v>300</v>
      </c>
      <c r="O1494" s="9">
        <v>34</v>
      </c>
    </row>
    <row r="1495" spans="1:15" ht="21" customHeight="1">
      <c r="A1495" s="9" t="s">
        <v>1795</v>
      </c>
      <c r="B1495" s="12">
        <f>IF(LEFT(H1495,5)="VALID",M1495,"")</f>
        <v>141</v>
      </c>
      <c r="C1495" s="12">
        <f>IF(LEFT(H1495,5)="VALID",N1495,"")</f>
        <v>200</v>
      </c>
      <c r="D1495" s="10" t="s">
        <v>82</v>
      </c>
      <c r="E1495" s="10" t="s">
        <v>1759</v>
      </c>
      <c r="F1495" s="10" t="s">
        <v>210</v>
      </c>
      <c r="G1495" s="10" t="s">
        <v>186</v>
      </c>
      <c r="H1495" s="11" t="str">
        <f>IF(OR(M1495&lt;=0,N1495&lt;=0),"SKIPPED - NONPOSITIVE",IF(OR(M1495&lt;L1495,N1495&lt;L1495),"SKIPPED - BELOW MIN",IF(OR(M1495&gt;J1495,N1495&gt;K1495),"SKIPPED - EXCEEDS BASE",IF(COUNTIFS($M$1460:M1494,M1495,$N$1460:N1494,N1495)&gt;0,"SKIPPED - DUPLICATE","VALID - GENERATED"))))</f>
        <v>VALID - GENERATED</v>
      </c>
      <c r="I1495" s="10" t="s">
        <v>1760</v>
      </c>
      <c r="J1495" s="12">
        <f>'05-ISO Reference'!$B$19</f>
        <v>707</v>
      </c>
      <c r="K1495" s="12">
        <f>'05-ISO Reference'!$C$19</f>
        <v>1000</v>
      </c>
      <c r="L1495" s="12">
        <f>'01-Process Controls'!$G$5</f>
        <v>3</v>
      </c>
      <c r="M1495" s="12">
        <f>ROUNDDOWN(J1495*'04-Variant Rules'!$D$40,0)</f>
        <v>141</v>
      </c>
      <c r="N1495" s="12">
        <f>ROUNDDOWN(K1495*'04-Variant Rules'!$E$40,0)</f>
        <v>200</v>
      </c>
      <c r="O1495" s="9">
        <v>35</v>
      </c>
    </row>
    <row r="1496" spans="1:15" ht="21" customHeight="1">
      <c r="A1496" s="9" t="s">
        <v>1796</v>
      </c>
      <c r="B1496" s="12">
        <f>IF(LEFT(H1496,5)="VALID",M1496,"")</f>
        <v>106</v>
      </c>
      <c r="C1496" s="12">
        <f>IF(LEFT(H1496,5)="VALID",N1496,"")</f>
        <v>150</v>
      </c>
      <c r="D1496" s="10" t="s">
        <v>82</v>
      </c>
      <c r="E1496" s="10" t="s">
        <v>1759</v>
      </c>
      <c r="F1496" s="10" t="s">
        <v>212</v>
      </c>
      <c r="G1496" s="10" t="s">
        <v>213</v>
      </c>
      <c r="H1496" s="11" t="str">
        <f>IF(OR(M1496&lt;=0,N1496&lt;=0),"SKIPPED - NONPOSITIVE",IF(OR(M1496&lt;L1496,N1496&lt;L1496),"SKIPPED - BELOW MIN",IF(OR(M1496&gt;J1496,N1496&gt;K1496),"SKIPPED - EXCEEDS BASE",IF(COUNTIFS($M$1460:M1495,M1496,$N$1460:N1495,N1496)&gt;0,"SKIPPED - DUPLICATE","VALID - GENERATED"))))</f>
        <v>VALID - GENERATED</v>
      </c>
      <c r="I1496" s="10" t="s">
        <v>1760</v>
      </c>
      <c r="J1496" s="12">
        <f>'05-ISO Reference'!$B$19</f>
        <v>707</v>
      </c>
      <c r="K1496" s="12">
        <f>'05-ISO Reference'!$C$19</f>
        <v>1000</v>
      </c>
      <c r="L1496" s="12">
        <f>'01-Process Controls'!$G$5</f>
        <v>3</v>
      </c>
      <c r="M1496" s="12">
        <f>ROUNDDOWN(J1496*'04-Variant Rules'!$D$41,0)</f>
        <v>106</v>
      </c>
      <c r="N1496" s="12">
        <f>ROUNDDOWN(K1496*'04-Variant Rules'!$E$41,0)</f>
        <v>150</v>
      </c>
      <c r="O1496" s="9">
        <v>36</v>
      </c>
    </row>
    <row r="1497" spans="1:15" ht="21" customHeight="1">
      <c r="A1497" s="9" t="s">
        <v>1797</v>
      </c>
      <c r="B1497" s="12">
        <f>IF(LEFT(H1497,5)="VALID",M1497,"")</f>
        <v>707</v>
      </c>
      <c r="C1497" s="12">
        <f>IF(LEFT(H1497,5)="VALID",N1497,"")</f>
        <v>707</v>
      </c>
      <c r="D1497" s="10" t="s">
        <v>82</v>
      </c>
      <c r="E1497" s="10" t="s">
        <v>1759</v>
      </c>
      <c r="F1497" s="10" t="s">
        <v>215</v>
      </c>
      <c r="G1497" s="10" t="s">
        <v>216</v>
      </c>
      <c r="H1497" s="11" t="str">
        <f>IF(OR(M1497&lt;=0,N1497&lt;=0),"SKIPPED - NONPOSITIVE",IF(OR(M1497&lt;L1497,N1497&lt;L1497),"SKIPPED - BELOW MIN",IF(OR(M1497&gt;J1497,N1497&gt;K1497),"SKIPPED - EXCEEDS BASE",IF(COUNTIFS($M$1460:M1496,M1497,$N$1460:N1496,N1497)&gt;0,"SKIPPED - DUPLICATE","VALID - GENERATED"))))</f>
        <v>VALID - GENERATED</v>
      </c>
      <c r="I1497" s="10" t="s">
        <v>1760</v>
      </c>
      <c r="J1497" s="12">
        <f>'05-ISO Reference'!$B$19</f>
        <v>707</v>
      </c>
      <c r="K1497" s="12">
        <f>'05-ISO Reference'!$C$19</f>
        <v>1000</v>
      </c>
      <c r="L1497" s="12">
        <f>'01-Process Controls'!$G$5</f>
        <v>3</v>
      </c>
      <c r="M1497" s="12">
        <f>ROUNDDOWN(MIN(J1497,K1497)*'04-Variant Rules'!$D$42,0)</f>
        <v>707</v>
      </c>
      <c r="N1497" s="12">
        <f>ROUNDDOWN(MIN(J1497,K1497)*'04-Variant Rules'!$D$42,0)</f>
        <v>707</v>
      </c>
      <c r="O1497" s="9">
        <v>37</v>
      </c>
    </row>
    <row r="1498" spans="1:15" ht="21" customHeight="1">
      <c r="A1498" s="9" t="s">
        <v>1798</v>
      </c>
      <c r="B1498" s="12">
        <f>IF(LEFT(H1498,5)="VALID",M1498,"")</f>
        <v>636</v>
      </c>
      <c r="C1498" s="12">
        <f>IF(LEFT(H1498,5)="VALID",N1498,"")</f>
        <v>636</v>
      </c>
      <c r="D1498" s="10" t="s">
        <v>82</v>
      </c>
      <c r="E1498" s="10" t="s">
        <v>1759</v>
      </c>
      <c r="F1498" s="10" t="s">
        <v>218</v>
      </c>
      <c r="G1498" s="10" t="s">
        <v>219</v>
      </c>
      <c r="H1498" s="11" t="str">
        <f>IF(OR(M1498&lt;=0,N1498&lt;=0),"SKIPPED - NONPOSITIVE",IF(OR(M1498&lt;L1498,N1498&lt;L1498),"SKIPPED - BELOW MIN",IF(OR(M1498&gt;J1498,N1498&gt;K1498),"SKIPPED - EXCEEDS BASE",IF(COUNTIFS($M$1460:M1497,M1498,$N$1460:N1497,N1498)&gt;0,"SKIPPED - DUPLICATE","VALID - GENERATED"))))</f>
        <v>VALID - GENERATED</v>
      </c>
      <c r="I1498" s="10" t="s">
        <v>1760</v>
      </c>
      <c r="J1498" s="12">
        <f>'05-ISO Reference'!$B$19</f>
        <v>707</v>
      </c>
      <c r="K1498" s="12">
        <f>'05-ISO Reference'!$C$19</f>
        <v>1000</v>
      </c>
      <c r="L1498" s="12">
        <f>'01-Process Controls'!$G$5</f>
        <v>3</v>
      </c>
      <c r="M1498" s="12">
        <f>ROUNDDOWN(MIN(J1498,K1498)*'04-Variant Rules'!$D$43,0)</f>
        <v>636</v>
      </c>
      <c r="N1498" s="12">
        <f>ROUNDDOWN(MIN(J1498,K1498)*'04-Variant Rules'!$D$43,0)</f>
        <v>636</v>
      </c>
      <c r="O1498" s="9">
        <v>38</v>
      </c>
    </row>
    <row r="1499" spans="1:15" ht="21" customHeight="1">
      <c r="A1499" s="9" t="s">
        <v>1799</v>
      </c>
      <c r="B1499" s="12">
        <f>IF(LEFT(H1499,5)="VALID",M1499,"")</f>
        <v>565</v>
      </c>
      <c r="C1499" s="12">
        <f>IF(LEFT(H1499,5)="VALID",N1499,"")</f>
        <v>565</v>
      </c>
      <c r="D1499" s="10" t="s">
        <v>82</v>
      </c>
      <c r="E1499" s="10" t="s">
        <v>1759</v>
      </c>
      <c r="F1499" s="10" t="s">
        <v>221</v>
      </c>
      <c r="G1499" s="10" t="s">
        <v>219</v>
      </c>
      <c r="H1499" s="11" t="str">
        <f>IF(OR(M1499&lt;=0,N1499&lt;=0),"SKIPPED - NONPOSITIVE",IF(OR(M1499&lt;L1499,N1499&lt;L1499),"SKIPPED - BELOW MIN",IF(OR(M1499&gt;J1499,N1499&gt;K1499),"SKIPPED - EXCEEDS BASE",IF(COUNTIFS($M$1460:M1498,M1499,$N$1460:N1498,N1499)&gt;0,"SKIPPED - DUPLICATE","VALID - GENERATED"))))</f>
        <v>VALID - GENERATED</v>
      </c>
      <c r="I1499" s="10" t="s">
        <v>1760</v>
      </c>
      <c r="J1499" s="12">
        <f>'05-ISO Reference'!$B$19</f>
        <v>707</v>
      </c>
      <c r="K1499" s="12">
        <f>'05-ISO Reference'!$C$19</f>
        <v>1000</v>
      </c>
      <c r="L1499" s="12">
        <f>'01-Process Controls'!$G$5</f>
        <v>3</v>
      </c>
      <c r="M1499" s="12">
        <f>ROUNDDOWN(MIN(J1499,K1499)*'04-Variant Rules'!$D$44,0)</f>
        <v>565</v>
      </c>
      <c r="N1499" s="12">
        <f>ROUNDDOWN(MIN(J1499,K1499)*'04-Variant Rules'!$D$44,0)</f>
        <v>565</v>
      </c>
      <c r="O1499" s="9">
        <v>39</v>
      </c>
    </row>
    <row r="1500" spans="1:15" ht="21" customHeight="1">
      <c r="A1500" s="9" t="s">
        <v>1800</v>
      </c>
      <c r="B1500" s="12">
        <f>IF(LEFT(H1500,5)="VALID",M1500,"")</f>
        <v>530</v>
      </c>
      <c r="C1500" s="12">
        <f>IF(LEFT(H1500,5)="VALID",N1500,"")</f>
        <v>530</v>
      </c>
      <c r="D1500" s="10" t="s">
        <v>82</v>
      </c>
      <c r="E1500" s="10" t="s">
        <v>1759</v>
      </c>
      <c r="F1500" s="10" t="s">
        <v>223</v>
      </c>
      <c r="G1500" s="10" t="s">
        <v>219</v>
      </c>
      <c r="H1500" s="11" t="str">
        <f>IF(OR(M1500&lt;=0,N1500&lt;=0),"SKIPPED - NONPOSITIVE",IF(OR(M1500&lt;L1500,N1500&lt;L1500),"SKIPPED - BELOW MIN",IF(OR(M1500&gt;J1500,N1500&gt;K1500),"SKIPPED - EXCEEDS BASE",IF(COUNTIFS($M$1460:M1499,M1500,$N$1460:N1499,N1500)&gt;0,"SKIPPED - DUPLICATE","VALID - GENERATED"))))</f>
        <v>VALID - GENERATED</v>
      </c>
      <c r="I1500" s="10" t="s">
        <v>1760</v>
      </c>
      <c r="J1500" s="12">
        <f>'05-ISO Reference'!$B$19</f>
        <v>707</v>
      </c>
      <c r="K1500" s="12">
        <f>'05-ISO Reference'!$C$19</f>
        <v>1000</v>
      </c>
      <c r="L1500" s="12">
        <f>'01-Process Controls'!$G$5</f>
        <v>3</v>
      </c>
      <c r="M1500" s="12">
        <f>ROUNDDOWN(MIN(J1500,K1500)*'04-Variant Rules'!$D$45,0)</f>
        <v>530</v>
      </c>
      <c r="N1500" s="12">
        <f>ROUNDDOWN(MIN(J1500,K1500)*'04-Variant Rules'!$D$45,0)</f>
        <v>530</v>
      </c>
      <c r="O1500" s="9">
        <v>40</v>
      </c>
    </row>
    <row r="1501" spans="1:15" ht="21" customHeight="1">
      <c r="A1501" s="9" t="s">
        <v>1801</v>
      </c>
      <c r="B1501" s="12">
        <f>IF(LEFT(H1501,5)="VALID",M1501,"")</f>
        <v>471</v>
      </c>
      <c r="C1501" s="12">
        <f>IF(LEFT(H1501,5)="VALID",N1501,"")</f>
        <v>471</v>
      </c>
      <c r="D1501" s="10" t="s">
        <v>82</v>
      </c>
      <c r="E1501" s="10" t="s">
        <v>1759</v>
      </c>
      <c r="F1501" s="10" t="s">
        <v>225</v>
      </c>
      <c r="G1501" s="10" t="s">
        <v>219</v>
      </c>
      <c r="H1501" s="11" t="str">
        <f>IF(OR(M1501&lt;=0,N1501&lt;=0),"SKIPPED - NONPOSITIVE",IF(OR(M1501&lt;L1501,N1501&lt;L1501),"SKIPPED - BELOW MIN",IF(OR(M1501&gt;J1501,N1501&gt;K1501),"SKIPPED - EXCEEDS BASE",IF(COUNTIFS($M$1460:M1500,M1501,$N$1460:N1500,N1501)&gt;0,"SKIPPED - DUPLICATE","VALID - GENERATED"))))</f>
        <v>VALID - GENERATED</v>
      </c>
      <c r="I1501" s="10" t="s">
        <v>1760</v>
      </c>
      <c r="J1501" s="12">
        <f>'05-ISO Reference'!$B$19</f>
        <v>707</v>
      </c>
      <c r="K1501" s="12">
        <f>'05-ISO Reference'!$C$19</f>
        <v>1000</v>
      </c>
      <c r="L1501" s="12">
        <f>'01-Process Controls'!$G$5</f>
        <v>3</v>
      </c>
      <c r="M1501" s="12">
        <f>ROUNDDOWN(MIN(J1501,K1501)*'04-Variant Rules'!$D$46,0)</f>
        <v>471</v>
      </c>
      <c r="N1501" s="12">
        <f>ROUNDDOWN(MIN(J1501,K1501)*'04-Variant Rules'!$D$46,0)</f>
        <v>471</v>
      </c>
      <c r="O1501" s="9">
        <v>41</v>
      </c>
    </row>
    <row r="1502" spans="1:15" ht="21" customHeight="1">
      <c r="A1502" s="9" t="s">
        <v>1802</v>
      </c>
      <c r="B1502" s="12">
        <f>IF(LEFT(H1502,5)="VALID",M1502,"")</f>
        <v>424</v>
      </c>
      <c r="C1502" s="12">
        <f>IF(LEFT(H1502,5)="VALID",N1502,"")</f>
        <v>424</v>
      </c>
      <c r="D1502" s="10" t="s">
        <v>82</v>
      </c>
      <c r="E1502" s="10" t="s">
        <v>1759</v>
      </c>
      <c r="F1502" s="10" t="s">
        <v>227</v>
      </c>
      <c r="G1502" s="10" t="s">
        <v>219</v>
      </c>
      <c r="H1502" s="11" t="str">
        <f>IF(OR(M1502&lt;=0,N1502&lt;=0),"SKIPPED - NONPOSITIVE",IF(OR(M1502&lt;L1502,N1502&lt;L1502),"SKIPPED - BELOW MIN",IF(OR(M1502&gt;J1502,N1502&gt;K1502),"SKIPPED - EXCEEDS BASE",IF(COUNTIFS($M$1460:M1501,M1502,$N$1460:N1501,N1502)&gt;0,"SKIPPED - DUPLICATE","VALID - GENERATED"))))</f>
        <v>VALID - GENERATED</v>
      </c>
      <c r="I1502" s="10" t="s">
        <v>1760</v>
      </c>
      <c r="J1502" s="12">
        <f>'05-ISO Reference'!$B$19</f>
        <v>707</v>
      </c>
      <c r="K1502" s="12">
        <f>'05-ISO Reference'!$C$19</f>
        <v>1000</v>
      </c>
      <c r="L1502" s="12">
        <f>'01-Process Controls'!$G$5</f>
        <v>3</v>
      </c>
      <c r="M1502" s="12">
        <f>ROUNDDOWN(MIN(J1502,K1502)*'04-Variant Rules'!$D$47,0)</f>
        <v>424</v>
      </c>
      <c r="N1502" s="12">
        <f>ROUNDDOWN(MIN(J1502,K1502)*'04-Variant Rules'!$D$47,0)</f>
        <v>424</v>
      </c>
      <c r="O1502" s="9">
        <v>42</v>
      </c>
    </row>
    <row r="1503" spans="1:15" ht="21" customHeight="1">
      <c r="A1503" s="9" t="s">
        <v>1803</v>
      </c>
      <c r="B1503" s="12">
        <f>IF(LEFT(H1503,5)="VALID",M1503,"")</f>
        <v>353</v>
      </c>
      <c r="C1503" s="12">
        <f>IF(LEFT(H1503,5)="VALID",N1503,"")</f>
        <v>353</v>
      </c>
      <c r="D1503" s="10" t="s">
        <v>82</v>
      </c>
      <c r="E1503" s="10" t="s">
        <v>1759</v>
      </c>
      <c r="F1503" s="10" t="s">
        <v>229</v>
      </c>
      <c r="G1503" s="10" t="s">
        <v>219</v>
      </c>
      <c r="H1503" s="11" t="str">
        <f>IF(OR(M1503&lt;=0,N1503&lt;=0),"SKIPPED - NONPOSITIVE",IF(OR(M1503&lt;L1503,N1503&lt;L1503),"SKIPPED - BELOW MIN",IF(OR(M1503&gt;J1503,N1503&gt;K1503),"SKIPPED - EXCEEDS BASE",IF(COUNTIFS($M$1460:M1502,M1503,$N$1460:N1502,N1503)&gt;0,"SKIPPED - DUPLICATE","VALID - GENERATED"))))</f>
        <v>VALID - GENERATED</v>
      </c>
      <c r="I1503" s="10" t="s">
        <v>1760</v>
      </c>
      <c r="J1503" s="12">
        <f>'05-ISO Reference'!$B$19</f>
        <v>707</v>
      </c>
      <c r="K1503" s="12">
        <f>'05-ISO Reference'!$C$19</f>
        <v>1000</v>
      </c>
      <c r="L1503" s="12">
        <f>'01-Process Controls'!$G$5</f>
        <v>3</v>
      </c>
      <c r="M1503" s="12">
        <f>ROUNDDOWN(MIN(J1503,K1503)*'04-Variant Rules'!$D$48,0)</f>
        <v>353</v>
      </c>
      <c r="N1503" s="12">
        <f>ROUNDDOWN(MIN(J1503,K1503)*'04-Variant Rules'!$D$48,0)</f>
        <v>353</v>
      </c>
      <c r="O1503" s="9">
        <v>43</v>
      </c>
    </row>
    <row r="1504" spans="1:15" ht="21" customHeight="1">
      <c r="A1504" s="9" t="s">
        <v>1804</v>
      </c>
      <c r="B1504" s="12">
        <f>IF(LEFT(H1504,5)="VALID",M1504,"")</f>
        <v>282</v>
      </c>
      <c r="C1504" s="12">
        <f>IF(LEFT(H1504,5)="VALID",N1504,"")</f>
        <v>282</v>
      </c>
      <c r="D1504" s="10" t="s">
        <v>82</v>
      </c>
      <c r="E1504" s="10" t="s">
        <v>1759</v>
      </c>
      <c r="F1504" s="10" t="s">
        <v>231</v>
      </c>
      <c r="G1504" s="10" t="s">
        <v>219</v>
      </c>
      <c r="H1504" s="11" t="str">
        <f>IF(OR(M1504&lt;=0,N1504&lt;=0),"SKIPPED - NONPOSITIVE",IF(OR(M1504&lt;L1504,N1504&lt;L1504),"SKIPPED - BELOW MIN",IF(OR(M1504&gt;J1504,N1504&gt;K1504),"SKIPPED - EXCEEDS BASE",IF(COUNTIFS($M$1460:M1503,M1504,$N$1460:N1503,N1504)&gt;0,"SKIPPED - DUPLICATE","VALID - GENERATED"))))</f>
        <v>VALID - GENERATED</v>
      </c>
      <c r="I1504" s="10" t="s">
        <v>1760</v>
      </c>
      <c r="J1504" s="12">
        <f>'05-ISO Reference'!$B$19</f>
        <v>707</v>
      </c>
      <c r="K1504" s="12">
        <f>'05-ISO Reference'!$C$19</f>
        <v>1000</v>
      </c>
      <c r="L1504" s="12">
        <f>'01-Process Controls'!$G$5</f>
        <v>3</v>
      </c>
      <c r="M1504" s="12">
        <f>ROUNDDOWN(MIN(J1504,K1504)*'04-Variant Rules'!$D$49,0)</f>
        <v>282</v>
      </c>
      <c r="N1504" s="12">
        <f>ROUNDDOWN(MIN(J1504,K1504)*'04-Variant Rules'!$D$49,0)</f>
        <v>282</v>
      </c>
      <c r="O1504" s="9">
        <v>44</v>
      </c>
    </row>
    <row r="1505" spans="1:15" ht="21" customHeight="1">
      <c r="A1505" s="9" t="s">
        <v>1805</v>
      </c>
      <c r="B1505" s="12">
        <f>IF(LEFT(H1505,5)="VALID",M1505,"")</f>
        <v>235</v>
      </c>
      <c r="C1505" s="12">
        <f>IF(LEFT(H1505,5)="VALID",N1505,"")</f>
        <v>235</v>
      </c>
      <c r="D1505" s="10" t="s">
        <v>82</v>
      </c>
      <c r="E1505" s="10" t="s">
        <v>1759</v>
      </c>
      <c r="F1505" s="10" t="s">
        <v>233</v>
      </c>
      <c r="G1505" s="10" t="s">
        <v>219</v>
      </c>
      <c r="H1505" s="11" t="str">
        <f>IF(OR(M1505&lt;=0,N1505&lt;=0),"SKIPPED - NONPOSITIVE",IF(OR(M1505&lt;L1505,N1505&lt;L1505),"SKIPPED - BELOW MIN",IF(OR(M1505&gt;J1505,N1505&gt;K1505),"SKIPPED - EXCEEDS BASE",IF(COUNTIFS($M$1460:M1504,M1505,$N$1460:N1504,N1505)&gt;0,"SKIPPED - DUPLICATE","VALID - GENERATED"))))</f>
        <v>VALID - GENERATED</v>
      </c>
      <c r="I1505" s="10" t="s">
        <v>1760</v>
      </c>
      <c r="J1505" s="12">
        <f>'05-ISO Reference'!$B$19</f>
        <v>707</v>
      </c>
      <c r="K1505" s="12">
        <f>'05-ISO Reference'!$C$19</f>
        <v>1000</v>
      </c>
      <c r="L1505" s="12">
        <f>'01-Process Controls'!$G$5</f>
        <v>3</v>
      </c>
      <c r="M1505" s="12">
        <f>ROUNDDOWN(MIN(J1505,K1505)*'04-Variant Rules'!$D$50,0)</f>
        <v>235</v>
      </c>
      <c r="N1505" s="12">
        <f>ROUNDDOWN(MIN(J1505,K1505)*'04-Variant Rules'!$D$50,0)</f>
        <v>235</v>
      </c>
      <c r="O1505" s="9">
        <v>45</v>
      </c>
    </row>
    <row r="1506" spans="1:15" ht="21" customHeight="1">
      <c r="A1506" s="9" t="s">
        <v>1806</v>
      </c>
      <c r="B1506" s="12">
        <f>IF(LEFT(H1506,5)="VALID",M1506,"")</f>
        <v>176</v>
      </c>
      <c r="C1506" s="12">
        <f>IF(LEFT(H1506,5)="VALID",N1506,"")</f>
        <v>176</v>
      </c>
      <c r="D1506" s="10" t="s">
        <v>82</v>
      </c>
      <c r="E1506" s="10" t="s">
        <v>1759</v>
      </c>
      <c r="F1506" s="10" t="s">
        <v>235</v>
      </c>
      <c r="G1506" s="10" t="s">
        <v>219</v>
      </c>
      <c r="H1506" s="11" t="str">
        <f>IF(OR(M1506&lt;=0,N1506&lt;=0),"SKIPPED - NONPOSITIVE",IF(OR(M1506&lt;L1506,N1506&lt;L1506),"SKIPPED - BELOW MIN",IF(OR(M1506&gt;J1506,N1506&gt;K1506),"SKIPPED - EXCEEDS BASE",IF(COUNTIFS($M$1460:M1505,M1506,$N$1460:N1505,N1506)&gt;0,"SKIPPED - DUPLICATE","VALID - GENERATED"))))</f>
        <v>VALID - GENERATED</v>
      </c>
      <c r="I1506" s="10" t="s">
        <v>1760</v>
      </c>
      <c r="J1506" s="12">
        <f>'05-ISO Reference'!$B$19</f>
        <v>707</v>
      </c>
      <c r="K1506" s="12">
        <f>'05-ISO Reference'!$C$19</f>
        <v>1000</v>
      </c>
      <c r="L1506" s="12">
        <f>'01-Process Controls'!$G$5</f>
        <v>3</v>
      </c>
      <c r="M1506" s="12">
        <f>ROUNDDOWN(MIN(J1506,K1506)*'04-Variant Rules'!$D$51,0)</f>
        <v>176</v>
      </c>
      <c r="N1506" s="12">
        <f>ROUNDDOWN(MIN(J1506,K1506)*'04-Variant Rules'!$D$51,0)</f>
        <v>176</v>
      </c>
      <c r="O1506" s="9">
        <v>46</v>
      </c>
    </row>
    <row r="1507" spans="1:15" ht="21" customHeight="1">
      <c r="A1507" s="9" t="s">
        <v>1807</v>
      </c>
      <c r="B1507" s="12">
        <f>IF(LEFT(H1507,5)="VALID",M1507,"")</f>
        <v>141</v>
      </c>
      <c r="C1507" s="12">
        <f>IF(LEFT(H1507,5)="VALID",N1507,"")</f>
        <v>141</v>
      </c>
      <c r="D1507" s="10" t="s">
        <v>82</v>
      </c>
      <c r="E1507" s="10" t="s">
        <v>1759</v>
      </c>
      <c r="F1507" s="10" t="s">
        <v>237</v>
      </c>
      <c r="G1507" s="10" t="s">
        <v>219</v>
      </c>
      <c r="H1507" s="11" t="str">
        <f>IF(OR(M1507&lt;=0,N1507&lt;=0),"SKIPPED - NONPOSITIVE",IF(OR(M1507&lt;L1507,N1507&lt;L1507),"SKIPPED - BELOW MIN",IF(OR(M1507&gt;J1507,N1507&gt;K1507),"SKIPPED - EXCEEDS BASE",IF(COUNTIFS($M$1460:M1506,M1507,$N$1460:N1506,N1507)&gt;0,"SKIPPED - DUPLICATE","VALID - GENERATED"))))</f>
        <v>VALID - GENERATED</v>
      </c>
      <c r="I1507" s="10" t="s">
        <v>1760</v>
      </c>
      <c r="J1507" s="12">
        <f>'05-ISO Reference'!$B$19</f>
        <v>707</v>
      </c>
      <c r="K1507" s="12">
        <f>'05-ISO Reference'!$C$19</f>
        <v>1000</v>
      </c>
      <c r="L1507" s="12">
        <f>'01-Process Controls'!$G$5</f>
        <v>3</v>
      </c>
      <c r="M1507" s="12">
        <f>ROUNDDOWN(MIN(J1507,K1507)*'04-Variant Rules'!$D$52,0)</f>
        <v>141</v>
      </c>
      <c r="N1507" s="12">
        <f>ROUNDDOWN(MIN(J1507,K1507)*'04-Variant Rules'!$D$52,0)</f>
        <v>141</v>
      </c>
      <c r="O1507" s="9">
        <v>47</v>
      </c>
    </row>
    <row r="1508" spans="1:15" ht="21" customHeight="1">
      <c r="A1508" s="9" t="s">
        <v>1808</v>
      </c>
      <c r="B1508" s="12">
        <f>IF(LEFT(H1508,5)="VALID",M1508,"")</f>
        <v>707</v>
      </c>
      <c r="C1508" s="12">
        <f>IF(LEFT(H1508,5)="VALID",N1508,"")</f>
        <v>530</v>
      </c>
      <c r="D1508" s="10" t="s">
        <v>82</v>
      </c>
      <c r="E1508" s="10" t="s">
        <v>1759</v>
      </c>
      <c r="F1508" s="10" t="s">
        <v>239</v>
      </c>
      <c r="G1508" s="10" t="s">
        <v>240</v>
      </c>
      <c r="H1508" s="11" t="str">
        <f>IF(OR(M1508&lt;=0,N1508&lt;=0),"SKIPPED - NONPOSITIVE",IF(OR(M1508&lt;L1508,N1508&lt;L1508),"SKIPPED - BELOW MIN",IF(OR(M1508&gt;J1508,N1508&gt;K1508),"SKIPPED - EXCEEDS BASE",IF(COUNTIFS($M$1460:M1507,M1508,$N$1460:N1507,N1508)&gt;0,"SKIPPED - DUPLICATE","VALID - GENERATED"))))</f>
        <v>VALID - GENERATED</v>
      </c>
      <c r="I1508" s="10" t="s">
        <v>1760</v>
      </c>
      <c r="J1508" s="12">
        <f>'05-ISO Reference'!$B$19</f>
        <v>707</v>
      </c>
      <c r="K1508" s="12">
        <f>'05-ISO Reference'!$C$19</f>
        <v>1000</v>
      </c>
      <c r="L1508" s="12">
        <f>'01-Process Controls'!$G$5</f>
        <v>3</v>
      </c>
      <c r="M1508" s="12">
        <f>ROUNDDOWN(MIN(J1508,K1508*'04-Variant Rules'!$D$53),0)</f>
        <v>707</v>
      </c>
      <c r="N1508" s="12">
        <f>ROUNDDOWN(M1508/'04-Variant Rules'!$D$53,0)</f>
        <v>530</v>
      </c>
      <c r="O1508" s="9">
        <v>48</v>
      </c>
    </row>
    <row r="1509" spans="1:15" ht="21" customHeight="1">
      <c r="A1509" s="9" t="s">
        <v>1809</v>
      </c>
      <c r="B1509" s="12">
        <f>IF(LEFT(H1509,5)="VALID",M1509,"")</f>
        <v>707</v>
      </c>
      <c r="C1509" s="12">
        <f>IF(LEFT(H1509,5)="VALID",N1509,"")</f>
        <v>942</v>
      </c>
      <c r="D1509" s="10" t="s">
        <v>82</v>
      </c>
      <c r="E1509" s="10" t="s">
        <v>1759</v>
      </c>
      <c r="F1509" s="10" t="s">
        <v>242</v>
      </c>
      <c r="G1509" s="10" t="s">
        <v>243</v>
      </c>
      <c r="H1509" s="11" t="str">
        <f>IF(OR(M1509&lt;=0,N1509&lt;=0),"SKIPPED - NONPOSITIVE",IF(OR(M1509&lt;L1509,N1509&lt;L1509),"SKIPPED - BELOW MIN",IF(OR(M1509&gt;J1509,N1509&gt;K1509),"SKIPPED - EXCEEDS BASE",IF(COUNTIFS($M$1460:M1508,M1509,$N$1460:N1508,N1509)&gt;0,"SKIPPED - DUPLICATE","VALID - GENERATED"))))</f>
        <v>VALID - GENERATED</v>
      </c>
      <c r="I1509" s="10" t="s">
        <v>1760</v>
      </c>
      <c r="J1509" s="12">
        <f>'05-ISO Reference'!$B$19</f>
        <v>707</v>
      </c>
      <c r="K1509" s="12">
        <f>'05-ISO Reference'!$C$19</f>
        <v>1000</v>
      </c>
      <c r="L1509" s="12">
        <f>'01-Process Controls'!$G$5</f>
        <v>3</v>
      </c>
      <c r="M1509" s="12">
        <f>ROUNDDOWN(MIN(J1509,K1509*'04-Variant Rules'!$D$54),0)</f>
        <v>707</v>
      </c>
      <c r="N1509" s="12">
        <f>ROUNDDOWN(M1509/'04-Variant Rules'!$D$54,0)</f>
        <v>942</v>
      </c>
      <c r="O1509" s="9">
        <v>49</v>
      </c>
    </row>
    <row r="1510" spans="1:15" ht="21" customHeight="1">
      <c r="A1510" s="9" t="s">
        <v>1810</v>
      </c>
      <c r="B1510" s="12">
        <f>IF(LEFT(H1510,5)="VALID",M1510,"")</f>
        <v>707</v>
      </c>
      <c r="C1510" s="12">
        <f>IF(LEFT(H1510,5)="VALID",N1510,"")</f>
        <v>471</v>
      </c>
      <c r="D1510" s="10" t="s">
        <v>82</v>
      </c>
      <c r="E1510" s="10" t="s">
        <v>1759</v>
      </c>
      <c r="F1510" s="10" t="s">
        <v>245</v>
      </c>
      <c r="G1510" s="10" t="s">
        <v>246</v>
      </c>
      <c r="H1510" s="11" t="str">
        <f>IF(OR(M1510&lt;=0,N1510&lt;=0),"SKIPPED - NONPOSITIVE",IF(OR(M1510&lt;L1510,N1510&lt;L1510),"SKIPPED - BELOW MIN",IF(OR(M1510&gt;J1510,N1510&gt;K1510),"SKIPPED - EXCEEDS BASE",IF(COUNTIFS($M$1460:M1509,M1510,$N$1460:N1509,N1510)&gt;0,"SKIPPED - DUPLICATE","VALID - GENERATED"))))</f>
        <v>VALID - GENERATED</v>
      </c>
      <c r="I1510" s="10" t="s">
        <v>1760</v>
      </c>
      <c r="J1510" s="12">
        <f>'05-ISO Reference'!$B$19</f>
        <v>707</v>
      </c>
      <c r="K1510" s="12">
        <f>'05-ISO Reference'!$C$19</f>
        <v>1000</v>
      </c>
      <c r="L1510" s="12">
        <f>'01-Process Controls'!$G$5</f>
        <v>3</v>
      </c>
      <c r="M1510" s="12">
        <f>ROUNDDOWN(MIN(J1510,K1510*'04-Variant Rules'!$D$55),0)</f>
        <v>707</v>
      </c>
      <c r="N1510" s="12">
        <f>ROUNDDOWN(M1510/'04-Variant Rules'!$D$55,0)</f>
        <v>471</v>
      </c>
      <c r="O1510" s="9">
        <v>50</v>
      </c>
    </row>
    <row r="1511" spans="1:15" ht="21" customHeight="1">
      <c r="A1511" s="9" t="s">
        <v>1811</v>
      </c>
      <c r="B1511" s="12">
        <f>IF(LEFT(H1511,5)="VALID",M1511,"")</f>
        <v>666</v>
      </c>
      <c r="C1511" s="12">
        <f>IF(LEFT(H1511,5)="VALID",N1511,"")</f>
        <v>999</v>
      </c>
      <c r="D1511" s="10" t="s">
        <v>82</v>
      </c>
      <c r="E1511" s="10" t="s">
        <v>1759</v>
      </c>
      <c r="F1511" s="10" t="s">
        <v>248</v>
      </c>
      <c r="G1511" s="10" t="s">
        <v>249</v>
      </c>
      <c r="H1511" s="11" t="str">
        <f>IF(OR(M1511&lt;=0,N1511&lt;=0),"SKIPPED - NONPOSITIVE",IF(OR(M1511&lt;L1511,N1511&lt;L1511),"SKIPPED - BELOW MIN",IF(OR(M1511&gt;J1511,N1511&gt;K1511),"SKIPPED - EXCEEDS BASE",IF(COUNTIFS($M$1460:M1510,M1511,$N$1460:N1510,N1511)&gt;0,"SKIPPED - DUPLICATE","VALID - GENERATED"))))</f>
        <v>VALID - GENERATED</v>
      </c>
      <c r="I1511" s="10" t="s">
        <v>1760</v>
      </c>
      <c r="J1511" s="12">
        <f>'05-ISO Reference'!$B$19</f>
        <v>707</v>
      </c>
      <c r="K1511" s="12">
        <f>'05-ISO Reference'!$C$19</f>
        <v>1000</v>
      </c>
      <c r="L1511" s="12">
        <f>'01-Process Controls'!$G$5</f>
        <v>3</v>
      </c>
      <c r="M1511" s="12">
        <f>ROUNDDOWN(MIN(J1511,K1511*'04-Variant Rules'!$D$56),0)</f>
        <v>666</v>
      </c>
      <c r="N1511" s="12">
        <f>ROUNDDOWN(M1511/'04-Variant Rules'!$D$56,0)</f>
        <v>999</v>
      </c>
      <c r="O1511" s="9">
        <v>51</v>
      </c>
    </row>
    <row r="1512" spans="1:15" ht="21" customHeight="1">
      <c r="A1512" s="9" t="s">
        <v>1812</v>
      </c>
      <c r="B1512" s="12">
        <f>IF(LEFT(H1512,5)="VALID",M1512,"")</f>
        <v>707</v>
      </c>
      <c r="C1512" s="12">
        <f>IF(LEFT(H1512,5)="VALID",N1512,"")</f>
        <v>397</v>
      </c>
      <c r="D1512" s="10" t="s">
        <v>82</v>
      </c>
      <c r="E1512" s="10" t="s">
        <v>1759</v>
      </c>
      <c r="F1512" s="10" t="s">
        <v>251</v>
      </c>
      <c r="G1512" s="10" t="s">
        <v>252</v>
      </c>
      <c r="H1512" s="11" t="str">
        <f>IF(OR(M1512&lt;=0,N1512&lt;=0),"SKIPPED - NONPOSITIVE",IF(OR(M1512&lt;L1512,N1512&lt;L1512),"SKIPPED - BELOW MIN",IF(OR(M1512&gt;J1512,N1512&gt;K1512),"SKIPPED - EXCEEDS BASE",IF(COUNTIFS($M$1460:M1511,M1512,$N$1460:N1511,N1512)&gt;0,"SKIPPED - DUPLICATE","VALID - GENERATED"))))</f>
        <v>VALID - GENERATED</v>
      </c>
      <c r="I1512" s="10" t="s">
        <v>1760</v>
      </c>
      <c r="J1512" s="12">
        <f>'05-ISO Reference'!$B$19</f>
        <v>707</v>
      </c>
      <c r="K1512" s="12">
        <f>'05-ISO Reference'!$C$19</f>
        <v>1000</v>
      </c>
      <c r="L1512" s="12">
        <f>'01-Process Controls'!$G$5</f>
        <v>3</v>
      </c>
      <c r="M1512" s="12">
        <f>ROUNDDOWN(MIN(J1512,K1512*'04-Variant Rules'!$D$57),0)</f>
        <v>707</v>
      </c>
      <c r="N1512" s="12">
        <f>ROUNDDOWN(M1512/'04-Variant Rules'!$D$57,0)</f>
        <v>397</v>
      </c>
      <c r="O1512" s="9">
        <v>52</v>
      </c>
    </row>
    <row r="1513" spans="1:15" ht="21" customHeight="1">
      <c r="A1513" s="9" t="s">
        <v>1813</v>
      </c>
      <c r="B1513" s="12">
        <f>IF(LEFT(H1513,5)="VALID",M1513,"")</f>
        <v>562</v>
      </c>
      <c r="C1513" s="12">
        <f>IF(LEFT(H1513,5)="VALID",N1513,"")</f>
        <v>999</v>
      </c>
      <c r="D1513" s="10" t="s">
        <v>82</v>
      </c>
      <c r="E1513" s="10" t="s">
        <v>1759</v>
      </c>
      <c r="F1513" s="10" t="s">
        <v>254</v>
      </c>
      <c r="G1513" s="10" t="s">
        <v>255</v>
      </c>
      <c r="H1513" s="11" t="str">
        <f>IF(OR(M1513&lt;=0,N1513&lt;=0),"SKIPPED - NONPOSITIVE",IF(OR(M1513&lt;L1513,N1513&lt;L1513),"SKIPPED - BELOW MIN",IF(OR(M1513&gt;J1513,N1513&gt;K1513),"SKIPPED - EXCEEDS BASE",IF(COUNTIFS($M$1460:M1512,M1513,$N$1460:N1512,N1513)&gt;0,"SKIPPED - DUPLICATE","VALID - GENERATED"))))</f>
        <v>VALID - GENERATED</v>
      </c>
      <c r="I1513" s="10" t="s">
        <v>1760</v>
      </c>
      <c r="J1513" s="12">
        <f>'05-ISO Reference'!$B$19</f>
        <v>707</v>
      </c>
      <c r="K1513" s="12">
        <f>'05-ISO Reference'!$C$19</f>
        <v>1000</v>
      </c>
      <c r="L1513" s="12">
        <f>'01-Process Controls'!$G$5</f>
        <v>3</v>
      </c>
      <c r="M1513" s="12">
        <f>ROUNDDOWN(MIN(J1513,K1513*'04-Variant Rules'!$D$58),0)</f>
        <v>562</v>
      </c>
      <c r="N1513" s="12">
        <f>ROUNDDOWN(M1513/'04-Variant Rules'!$D$58,0)</f>
        <v>999</v>
      </c>
      <c r="O1513" s="9">
        <v>53</v>
      </c>
    </row>
    <row r="1514" spans="1:15" ht="21" customHeight="1">
      <c r="A1514" s="9" t="s">
        <v>1814</v>
      </c>
      <c r="B1514" s="12">
        <f>IF(LEFT(H1514,5)="VALID",M1514,"")</f>
        <v>707</v>
      </c>
      <c r="C1514" s="12">
        <f>IF(LEFT(H1514,5)="VALID",N1514,"")</f>
        <v>353</v>
      </c>
      <c r="D1514" s="10" t="s">
        <v>82</v>
      </c>
      <c r="E1514" s="10" t="s">
        <v>1759</v>
      </c>
      <c r="F1514" s="10" t="s">
        <v>257</v>
      </c>
      <c r="G1514" s="10" t="s">
        <v>258</v>
      </c>
      <c r="H1514" s="11" t="str">
        <f>IF(OR(M1514&lt;=0,N1514&lt;=0),"SKIPPED - NONPOSITIVE",IF(OR(M1514&lt;L1514,N1514&lt;L1514),"SKIPPED - BELOW MIN",IF(OR(M1514&gt;J1514,N1514&gt;K1514),"SKIPPED - EXCEEDS BASE",IF(COUNTIFS($M$1460:M1513,M1514,$N$1460:N1513,N1514)&gt;0,"SKIPPED - DUPLICATE","VALID - GENERATED"))))</f>
        <v>VALID - GENERATED</v>
      </c>
      <c r="I1514" s="10" t="s">
        <v>1760</v>
      </c>
      <c r="J1514" s="12">
        <f>'05-ISO Reference'!$B$19</f>
        <v>707</v>
      </c>
      <c r="K1514" s="12">
        <f>'05-ISO Reference'!$C$19</f>
        <v>1000</v>
      </c>
      <c r="L1514" s="12">
        <f>'01-Process Controls'!$G$5</f>
        <v>3</v>
      </c>
      <c r="M1514" s="12">
        <f>ROUNDDOWN(MIN(J1514,K1514*'04-Variant Rules'!$D$59),0)</f>
        <v>707</v>
      </c>
      <c r="N1514" s="12">
        <f>ROUNDDOWN(M1514/'04-Variant Rules'!$D$59,0)</f>
        <v>353</v>
      </c>
      <c r="O1514" s="9">
        <v>54</v>
      </c>
    </row>
    <row r="1515" spans="1:15" ht="21" customHeight="1">
      <c r="A1515" s="9" t="s">
        <v>1815</v>
      </c>
      <c r="B1515" s="12">
        <f>IF(LEFT(H1515,5)="VALID",M1515,"")</f>
        <v>500</v>
      </c>
      <c r="C1515" s="12">
        <f>IF(LEFT(H1515,5)="VALID",N1515,"")</f>
        <v>1000</v>
      </c>
      <c r="D1515" s="10" t="s">
        <v>82</v>
      </c>
      <c r="E1515" s="10" t="s">
        <v>1759</v>
      </c>
      <c r="F1515" s="10" t="s">
        <v>260</v>
      </c>
      <c r="G1515" s="10" t="s">
        <v>261</v>
      </c>
      <c r="H1515" s="11" t="str">
        <f>IF(OR(M1515&lt;=0,N1515&lt;=0),"SKIPPED - NONPOSITIVE",IF(OR(M1515&lt;L1515,N1515&lt;L1515),"SKIPPED - BELOW MIN",IF(OR(M1515&gt;J1515,N1515&gt;K1515),"SKIPPED - EXCEEDS BASE",IF(COUNTIFS($M$1460:M1514,M1515,$N$1460:N1514,N1515)&gt;0,"SKIPPED - DUPLICATE","VALID - GENERATED"))))</f>
        <v>VALID - GENERATED</v>
      </c>
      <c r="I1515" s="10" t="s">
        <v>1760</v>
      </c>
      <c r="J1515" s="12">
        <f>'05-ISO Reference'!$B$19</f>
        <v>707</v>
      </c>
      <c r="K1515" s="12">
        <f>'05-ISO Reference'!$C$19</f>
        <v>1000</v>
      </c>
      <c r="L1515" s="12">
        <f>'01-Process Controls'!$G$5</f>
        <v>3</v>
      </c>
      <c r="M1515" s="12">
        <f>ROUNDDOWN(MIN(J1515,K1515*'04-Variant Rules'!$D$60),0)</f>
        <v>500</v>
      </c>
      <c r="N1515" s="12">
        <f>ROUNDDOWN(M1515/'04-Variant Rules'!$D$60,0)</f>
        <v>1000</v>
      </c>
      <c r="O1515" s="9">
        <v>55</v>
      </c>
    </row>
    <row r="1516" spans="1:15" ht="21" customHeight="1">
      <c r="A1516" s="9" t="s">
        <v>1816</v>
      </c>
      <c r="B1516" s="48"/>
      <c r="C1516" s="48"/>
      <c r="D1516" s="10" t="s">
        <v>263</v>
      </c>
      <c r="E1516" s="10" t="s">
        <v>1817</v>
      </c>
      <c r="F1516" s="10" t="s">
        <v>265</v>
      </c>
      <c r="G1516" s="10" t="s">
        <v>266</v>
      </c>
      <c r="H1516" s="11" t="str">
        <f>IF(AND(B1516="",C1516=""),"CUSTOM BLANK",IF(OR(B1516="",C1516=""),"ERROR - ENTER BOTH",IF(OR(B1516&lt;=0,C1516&lt;=0),"ERROR - NONPOSITIVE",IF(OR(B1516&lt;L1516,C1516&lt;L1516),"ERROR - BELOW MIN",IF(OR(AND(B1516&lt;=J1516,C1516&lt;=K1516),AND(B1516&lt;=K1516,C1516&lt;=J1516)),"VALID - CUSTOM","ERROR - EXCEEDS BASE")))))</f>
        <v>CUSTOM BLANK</v>
      </c>
      <c r="I1516" s="10" t="s">
        <v>267</v>
      </c>
      <c r="J1516" s="12">
        <f>'05-ISO Reference'!$B$19</f>
        <v>707</v>
      </c>
      <c r="K1516" s="12">
        <f>'05-ISO Reference'!$C$19</f>
        <v>1000</v>
      </c>
      <c r="L1516" s="12">
        <f>'01-Process Controls'!$G$5</f>
        <v>3</v>
      </c>
      <c r="M1516" s="8"/>
      <c r="N1516" s="8"/>
    </row>
    <row r="1517" spans="1:15" ht="21" customHeight="1">
      <c r="A1517" s="9" t="s">
        <v>1818</v>
      </c>
      <c r="B1517" s="48"/>
      <c r="C1517" s="48"/>
      <c r="D1517" s="10" t="s">
        <v>263</v>
      </c>
      <c r="E1517" s="10" t="s">
        <v>1817</v>
      </c>
      <c r="F1517" s="10" t="s">
        <v>265</v>
      </c>
      <c r="G1517" s="10" t="s">
        <v>266</v>
      </c>
      <c r="H1517" s="11" t="str">
        <f>IF(AND(B1517="",C1517=""),"CUSTOM BLANK",IF(OR(B1517="",C1517=""),"ERROR - ENTER BOTH",IF(OR(B1517&lt;=0,C1517&lt;=0),"ERROR - NONPOSITIVE",IF(OR(B1517&lt;L1517,C1517&lt;L1517),"ERROR - BELOW MIN",IF(OR(AND(B1517&lt;=J1517,C1517&lt;=K1517),AND(B1517&lt;=K1517,C1517&lt;=J1517)),"VALID - CUSTOM","ERROR - EXCEEDS BASE")))))</f>
        <v>CUSTOM BLANK</v>
      </c>
      <c r="I1517" s="10" t="s">
        <v>267</v>
      </c>
      <c r="J1517" s="12">
        <f>'05-ISO Reference'!$B$19</f>
        <v>707</v>
      </c>
      <c r="K1517" s="12">
        <f>'05-ISO Reference'!$C$19</f>
        <v>1000</v>
      </c>
      <c r="L1517" s="12">
        <f>'01-Process Controls'!$G$5</f>
        <v>3</v>
      </c>
      <c r="M1517" s="8"/>
      <c r="N1517" s="8"/>
    </row>
    <row r="1518" spans="1:15" ht="21" customHeight="1">
      <c r="A1518" s="9" t="s">
        <v>1819</v>
      </c>
      <c r="B1518" s="48"/>
      <c r="C1518" s="48"/>
      <c r="D1518" s="10" t="s">
        <v>263</v>
      </c>
      <c r="E1518" s="10" t="s">
        <v>1817</v>
      </c>
      <c r="F1518" s="10" t="s">
        <v>265</v>
      </c>
      <c r="G1518" s="10" t="s">
        <v>266</v>
      </c>
      <c r="H1518" s="11" t="str">
        <f>IF(AND(B1518="",C1518=""),"CUSTOM BLANK",IF(OR(B1518="",C1518=""),"ERROR - ENTER BOTH",IF(OR(B1518&lt;=0,C1518&lt;=0),"ERROR - NONPOSITIVE",IF(OR(B1518&lt;L1518,C1518&lt;L1518),"ERROR - BELOW MIN",IF(OR(AND(B1518&lt;=J1518,C1518&lt;=K1518),AND(B1518&lt;=K1518,C1518&lt;=J1518)),"VALID - CUSTOM","ERROR - EXCEEDS BASE")))))</f>
        <v>CUSTOM BLANK</v>
      </c>
      <c r="I1518" s="10" t="s">
        <v>267</v>
      </c>
      <c r="J1518" s="12">
        <f>'05-ISO Reference'!$B$19</f>
        <v>707</v>
      </c>
      <c r="K1518" s="12">
        <f>'05-ISO Reference'!$C$19</f>
        <v>1000</v>
      </c>
      <c r="L1518" s="12">
        <f>'01-Process Controls'!$G$5</f>
        <v>3</v>
      </c>
      <c r="M1518" s="8"/>
      <c r="N1518" s="8"/>
    </row>
    <row r="1519" spans="1:15" ht="21" customHeight="1">
      <c r="A1519" s="9" t="s">
        <v>1820</v>
      </c>
      <c r="B1519" s="48"/>
      <c r="C1519" s="48"/>
      <c r="D1519" s="10" t="s">
        <v>263</v>
      </c>
      <c r="E1519" s="10" t="s">
        <v>1817</v>
      </c>
      <c r="F1519" s="10" t="s">
        <v>265</v>
      </c>
      <c r="G1519" s="10" t="s">
        <v>266</v>
      </c>
      <c r="H1519" s="11" t="str">
        <f>IF(AND(B1519="",C1519=""),"CUSTOM BLANK",IF(OR(B1519="",C1519=""),"ERROR - ENTER BOTH",IF(OR(B1519&lt;=0,C1519&lt;=0),"ERROR - NONPOSITIVE",IF(OR(B1519&lt;L1519,C1519&lt;L1519),"ERROR - BELOW MIN",IF(OR(AND(B1519&lt;=J1519,C1519&lt;=K1519),AND(B1519&lt;=K1519,C1519&lt;=J1519)),"VALID - CUSTOM","ERROR - EXCEEDS BASE")))))</f>
        <v>CUSTOM BLANK</v>
      </c>
      <c r="I1519" s="10" t="s">
        <v>267</v>
      </c>
      <c r="J1519" s="12">
        <f>'05-ISO Reference'!$B$19</f>
        <v>707</v>
      </c>
      <c r="K1519" s="12">
        <f>'05-ISO Reference'!$C$19</f>
        <v>1000</v>
      </c>
      <c r="L1519" s="12">
        <f>'01-Process Controls'!$G$5</f>
        <v>3</v>
      </c>
      <c r="M1519" s="8"/>
      <c r="N1519" s="8"/>
    </row>
    <row r="1520" spans="1:15" ht="21" customHeight="1">
      <c r="A1520" s="9" t="s">
        <v>1821</v>
      </c>
      <c r="B1520" s="48"/>
      <c r="C1520" s="48"/>
      <c r="D1520" s="10" t="s">
        <v>263</v>
      </c>
      <c r="E1520" s="10" t="s">
        <v>1817</v>
      </c>
      <c r="F1520" s="10" t="s">
        <v>265</v>
      </c>
      <c r="G1520" s="10" t="s">
        <v>266</v>
      </c>
      <c r="H1520" s="11" t="str">
        <f>IF(AND(B1520="",C1520=""),"CUSTOM BLANK",IF(OR(B1520="",C1520=""),"ERROR - ENTER BOTH",IF(OR(B1520&lt;=0,C1520&lt;=0),"ERROR - NONPOSITIVE",IF(OR(B1520&lt;L1520,C1520&lt;L1520),"ERROR - BELOW MIN",IF(OR(AND(B1520&lt;=J1520,C1520&lt;=K1520),AND(B1520&lt;=K1520,C1520&lt;=J1520)),"VALID - CUSTOM","ERROR - EXCEEDS BASE")))))</f>
        <v>CUSTOM BLANK</v>
      </c>
      <c r="I1520" s="10" t="s">
        <v>267</v>
      </c>
      <c r="J1520" s="12">
        <f>'05-ISO Reference'!$B$19</f>
        <v>707</v>
      </c>
      <c r="K1520" s="12">
        <f>'05-ISO Reference'!$C$19</f>
        <v>1000</v>
      </c>
      <c r="L1520" s="12">
        <f>'01-Process Controls'!$G$5</f>
        <v>3</v>
      </c>
      <c r="M1520" s="8"/>
      <c r="N1520" s="8"/>
    </row>
    <row r="1521" spans="1:15" ht="21" customHeight="1">
      <c r="A1521" s="9" t="s">
        <v>1822</v>
      </c>
      <c r="B1521" s="48"/>
      <c r="C1521" s="48"/>
      <c r="D1521" s="10" t="s">
        <v>263</v>
      </c>
      <c r="E1521" s="10" t="s">
        <v>1817</v>
      </c>
      <c r="F1521" s="10" t="s">
        <v>265</v>
      </c>
      <c r="G1521" s="10" t="s">
        <v>266</v>
      </c>
      <c r="H1521" s="11" t="str">
        <f>IF(AND(B1521="",C1521=""),"CUSTOM BLANK",IF(OR(B1521="",C1521=""),"ERROR - ENTER BOTH",IF(OR(B1521&lt;=0,C1521&lt;=0),"ERROR - NONPOSITIVE",IF(OR(B1521&lt;L1521,C1521&lt;L1521),"ERROR - BELOW MIN",IF(OR(AND(B1521&lt;=J1521,C1521&lt;=K1521),AND(B1521&lt;=K1521,C1521&lt;=J1521)),"VALID - CUSTOM","ERROR - EXCEEDS BASE")))))</f>
        <v>CUSTOM BLANK</v>
      </c>
      <c r="I1521" s="10" t="s">
        <v>267</v>
      </c>
      <c r="J1521" s="12">
        <f>'05-ISO Reference'!$B$19</f>
        <v>707</v>
      </c>
      <c r="K1521" s="12">
        <f>'05-ISO Reference'!$C$19</f>
        <v>1000</v>
      </c>
      <c r="L1521" s="12">
        <f>'01-Process Controls'!$G$5</f>
        <v>3</v>
      </c>
      <c r="M1521" s="8"/>
      <c r="N1521" s="8"/>
    </row>
    <row r="1522" spans="1:15" ht="21" customHeight="1">
      <c r="A1522" s="9" t="s">
        <v>1823</v>
      </c>
      <c r="B1522" s="48"/>
      <c r="C1522" s="48"/>
      <c r="D1522" s="10" t="s">
        <v>263</v>
      </c>
      <c r="E1522" s="10" t="s">
        <v>1817</v>
      </c>
      <c r="F1522" s="10" t="s">
        <v>265</v>
      </c>
      <c r="G1522" s="10" t="s">
        <v>266</v>
      </c>
      <c r="H1522" s="11" t="str">
        <f>IF(AND(B1522="",C1522=""),"CUSTOM BLANK",IF(OR(B1522="",C1522=""),"ERROR - ENTER BOTH",IF(OR(B1522&lt;=0,C1522&lt;=0),"ERROR - NONPOSITIVE",IF(OR(B1522&lt;L1522,C1522&lt;L1522),"ERROR - BELOW MIN",IF(OR(AND(B1522&lt;=J1522,C1522&lt;=K1522),AND(B1522&lt;=K1522,C1522&lt;=J1522)),"VALID - CUSTOM","ERROR - EXCEEDS BASE")))))</f>
        <v>CUSTOM BLANK</v>
      </c>
      <c r="I1522" s="10" t="s">
        <v>267</v>
      </c>
      <c r="J1522" s="12">
        <f>'05-ISO Reference'!$B$19</f>
        <v>707</v>
      </c>
      <c r="K1522" s="12">
        <f>'05-ISO Reference'!$C$19</f>
        <v>1000</v>
      </c>
      <c r="L1522" s="12">
        <f>'01-Process Controls'!$G$5</f>
        <v>3</v>
      </c>
      <c r="M1522" s="8"/>
      <c r="N1522" s="8"/>
    </row>
    <row r="1523" spans="1:15" ht="21" customHeight="1">
      <c r="A1523" s="9" t="s">
        <v>1824</v>
      </c>
      <c r="B1523" s="48"/>
      <c r="C1523" s="48"/>
      <c r="D1523" s="10" t="s">
        <v>263</v>
      </c>
      <c r="E1523" s="10" t="s">
        <v>1817</v>
      </c>
      <c r="F1523" s="10" t="s">
        <v>265</v>
      </c>
      <c r="G1523" s="10" t="s">
        <v>266</v>
      </c>
      <c r="H1523" s="11" t="str">
        <f>IF(AND(B1523="",C1523=""),"CUSTOM BLANK",IF(OR(B1523="",C1523=""),"ERROR - ENTER BOTH",IF(OR(B1523&lt;=0,C1523&lt;=0),"ERROR - NONPOSITIVE",IF(OR(B1523&lt;L1523,C1523&lt;L1523),"ERROR - BELOW MIN",IF(OR(AND(B1523&lt;=J1523,C1523&lt;=K1523),AND(B1523&lt;=K1523,C1523&lt;=J1523)),"VALID - CUSTOM","ERROR - EXCEEDS BASE")))))</f>
        <v>CUSTOM BLANK</v>
      </c>
      <c r="I1523" s="10" t="s">
        <v>267</v>
      </c>
      <c r="J1523" s="12">
        <f>'05-ISO Reference'!$B$19</f>
        <v>707</v>
      </c>
      <c r="K1523" s="12">
        <f>'05-ISO Reference'!$C$19</f>
        <v>1000</v>
      </c>
      <c r="L1523" s="12">
        <f>'01-Process Controls'!$G$5</f>
        <v>3</v>
      </c>
      <c r="M1523" s="8"/>
      <c r="N1523" s="8"/>
    </row>
    <row r="1524" spans="1:15" ht="21" customHeight="1">
      <c r="A1524" s="9" t="s">
        <v>1825</v>
      </c>
      <c r="B1524" s="48"/>
      <c r="C1524" s="48"/>
      <c r="D1524" s="10" t="s">
        <v>263</v>
      </c>
      <c r="E1524" s="10" t="s">
        <v>1817</v>
      </c>
      <c r="F1524" s="10" t="s">
        <v>265</v>
      </c>
      <c r="G1524" s="10" t="s">
        <v>266</v>
      </c>
      <c r="H1524" s="11" t="str">
        <f>IF(AND(B1524="",C1524=""),"CUSTOM BLANK",IF(OR(B1524="",C1524=""),"ERROR - ENTER BOTH",IF(OR(B1524&lt;=0,C1524&lt;=0),"ERROR - NONPOSITIVE",IF(OR(B1524&lt;L1524,C1524&lt;L1524),"ERROR - BELOW MIN",IF(OR(AND(B1524&lt;=J1524,C1524&lt;=K1524),AND(B1524&lt;=K1524,C1524&lt;=J1524)),"VALID - CUSTOM","ERROR - EXCEEDS BASE")))))</f>
        <v>CUSTOM BLANK</v>
      </c>
      <c r="I1524" s="10" t="s">
        <v>267</v>
      </c>
      <c r="J1524" s="12">
        <f>'05-ISO Reference'!$B$19</f>
        <v>707</v>
      </c>
      <c r="K1524" s="12">
        <f>'05-ISO Reference'!$C$19</f>
        <v>1000</v>
      </c>
      <c r="L1524" s="12">
        <f>'01-Process Controls'!$G$5</f>
        <v>3</v>
      </c>
      <c r="M1524" s="8"/>
      <c r="N1524" s="8"/>
    </row>
    <row r="1525" spans="1:15" ht="21" customHeight="1">
      <c r="A1525" s="9" t="s">
        <v>1826</v>
      </c>
      <c r="B1525" s="48"/>
      <c r="C1525" s="48"/>
      <c r="D1525" s="10" t="s">
        <v>263</v>
      </c>
      <c r="E1525" s="10" t="s">
        <v>1817</v>
      </c>
      <c r="F1525" s="10" t="s">
        <v>265</v>
      </c>
      <c r="G1525" s="10" t="s">
        <v>266</v>
      </c>
      <c r="H1525" s="11" t="str">
        <f>IF(AND(B1525="",C1525=""),"CUSTOM BLANK",IF(OR(B1525="",C1525=""),"ERROR - ENTER BOTH",IF(OR(B1525&lt;=0,C1525&lt;=0),"ERROR - NONPOSITIVE",IF(OR(B1525&lt;L1525,C1525&lt;L1525),"ERROR - BELOW MIN",IF(OR(AND(B1525&lt;=J1525,C1525&lt;=K1525),AND(B1525&lt;=K1525,C1525&lt;=J1525)),"VALID - CUSTOM","ERROR - EXCEEDS BASE")))))</f>
        <v>CUSTOM BLANK</v>
      </c>
      <c r="I1525" s="10" t="s">
        <v>267</v>
      </c>
      <c r="J1525" s="12">
        <f>'05-ISO Reference'!$B$19</f>
        <v>707</v>
      </c>
      <c r="K1525" s="12">
        <f>'05-ISO Reference'!$C$19</f>
        <v>1000</v>
      </c>
      <c r="L1525" s="12">
        <f>'01-Process Controls'!$G$5</f>
        <v>3</v>
      </c>
      <c r="M1525" s="8"/>
      <c r="N1525" s="8"/>
    </row>
    <row r="1526" spans="1:15" ht="21" customHeight="1">
      <c r="A1526" s="9" t="s">
        <v>1827</v>
      </c>
      <c r="B1526" s="48"/>
      <c r="C1526" s="48"/>
      <c r="D1526" s="10" t="s">
        <v>263</v>
      </c>
      <c r="E1526" s="10" t="s">
        <v>1817</v>
      </c>
      <c r="F1526" s="10" t="s">
        <v>265</v>
      </c>
      <c r="G1526" s="10" t="s">
        <v>266</v>
      </c>
      <c r="H1526" s="11" t="str">
        <f>IF(AND(B1526="",C1526=""),"CUSTOM BLANK",IF(OR(B1526="",C1526=""),"ERROR - ENTER BOTH",IF(OR(B1526&lt;=0,C1526&lt;=0),"ERROR - NONPOSITIVE",IF(OR(B1526&lt;L1526,C1526&lt;L1526),"ERROR - BELOW MIN",IF(OR(AND(B1526&lt;=J1526,C1526&lt;=K1526),AND(B1526&lt;=K1526,C1526&lt;=J1526)),"VALID - CUSTOM","ERROR - EXCEEDS BASE")))))</f>
        <v>CUSTOM BLANK</v>
      </c>
      <c r="I1526" s="10" t="s">
        <v>267</v>
      </c>
      <c r="J1526" s="12">
        <f>'05-ISO Reference'!$B$19</f>
        <v>707</v>
      </c>
      <c r="K1526" s="12">
        <f>'05-ISO Reference'!$C$19</f>
        <v>1000</v>
      </c>
      <c r="L1526" s="12">
        <f>'01-Process Controls'!$G$5</f>
        <v>3</v>
      </c>
      <c r="M1526" s="8"/>
      <c r="N1526" s="8"/>
    </row>
    <row r="1527" spans="1:15" ht="21" customHeight="1">
      <c r="A1527" s="9" t="s">
        <v>1828</v>
      </c>
      <c r="B1527" s="48"/>
      <c r="C1527" s="48"/>
      <c r="D1527" s="10" t="s">
        <v>263</v>
      </c>
      <c r="E1527" s="10" t="s">
        <v>1817</v>
      </c>
      <c r="F1527" s="10" t="s">
        <v>265</v>
      </c>
      <c r="G1527" s="10" t="s">
        <v>266</v>
      </c>
      <c r="H1527" s="11" t="str">
        <f>IF(AND(B1527="",C1527=""),"CUSTOM BLANK",IF(OR(B1527="",C1527=""),"ERROR - ENTER BOTH",IF(OR(B1527&lt;=0,C1527&lt;=0),"ERROR - NONPOSITIVE",IF(OR(B1527&lt;L1527,C1527&lt;L1527),"ERROR - BELOW MIN",IF(OR(AND(B1527&lt;=J1527,C1527&lt;=K1527),AND(B1527&lt;=K1527,C1527&lt;=J1527)),"VALID - CUSTOM","ERROR - EXCEEDS BASE")))))</f>
        <v>CUSTOM BLANK</v>
      </c>
      <c r="I1527" s="10" t="s">
        <v>267</v>
      </c>
      <c r="J1527" s="12">
        <f>'05-ISO Reference'!$B$19</f>
        <v>707</v>
      </c>
      <c r="K1527" s="12">
        <f>'05-ISO Reference'!$C$19</f>
        <v>1000</v>
      </c>
      <c r="L1527" s="12">
        <f>'01-Process Controls'!$G$5</f>
        <v>3</v>
      </c>
      <c r="M1527" s="8"/>
      <c r="N1527" s="8"/>
    </row>
    <row r="1528" spans="1:15" ht="21" customHeight="1">
      <c r="A1528" s="9" t="s">
        <v>1829</v>
      </c>
      <c r="B1528" s="48"/>
      <c r="C1528" s="48"/>
      <c r="D1528" s="10" t="s">
        <v>263</v>
      </c>
      <c r="E1528" s="10" t="s">
        <v>1817</v>
      </c>
      <c r="F1528" s="10" t="s">
        <v>265</v>
      </c>
      <c r="G1528" s="10" t="s">
        <v>266</v>
      </c>
      <c r="H1528" s="11" t="str">
        <f>IF(AND(B1528="",C1528=""),"CUSTOM BLANK",IF(OR(B1528="",C1528=""),"ERROR - ENTER BOTH",IF(OR(B1528&lt;=0,C1528&lt;=0),"ERROR - NONPOSITIVE",IF(OR(B1528&lt;L1528,C1528&lt;L1528),"ERROR - BELOW MIN",IF(OR(AND(B1528&lt;=J1528,C1528&lt;=K1528),AND(B1528&lt;=K1528,C1528&lt;=J1528)),"VALID - CUSTOM","ERROR - EXCEEDS BASE")))))</f>
        <v>CUSTOM BLANK</v>
      </c>
      <c r="I1528" s="10" t="s">
        <v>267</v>
      </c>
      <c r="J1528" s="12">
        <f>'05-ISO Reference'!$B$19</f>
        <v>707</v>
      </c>
      <c r="K1528" s="12">
        <f>'05-ISO Reference'!$C$19</f>
        <v>1000</v>
      </c>
      <c r="L1528" s="12">
        <f>'01-Process Controls'!$G$5</f>
        <v>3</v>
      </c>
      <c r="M1528" s="8"/>
      <c r="N1528" s="8"/>
    </row>
    <row r="1529" spans="1:15" ht="21" customHeight="1">
      <c r="A1529" s="9" t="s">
        <v>1830</v>
      </c>
      <c r="B1529" s="48"/>
      <c r="C1529" s="48"/>
      <c r="D1529" s="10" t="s">
        <v>263</v>
      </c>
      <c r="E1529" s="10" t="s">
        <v>1817</v>
      </c>
      <c r="F1529" s="10" t="s">
        <v>265</v>
      </c>
      <c r="G1529" s="10" t="s">
        <v>266</v>
      </c>
      <c r="H1529" s="11" t="str">
        <f>IF(AND(B1529="",C1529=""),"CUSTOM BLANK",IF(OR(B1529="",C1529=""),"ERROR - ENTER BOTH",IF(OR(B1529&lt;=0,C1529&lt;=0),"ERROR - NONPOSITIVE",IF(OR(B1529&lt;L1529,C1529&lt;L1529),"ERROR - BELOW MIN",IF(OR(AND(B1529&lt;=J1529,C1529&lt;=K1529),AND(B1529&lt;=K1529,C1529&lt;=J1529)),"VALID - CUSTOM","ERROR - EXCEEDS BASE")))))</f>
        <v>CUSTOM BLANK</v>
      </c>
      <c r="I1529" s="10" t="s">
        <v>267</v>
      </c>
      <c r="J1529" s="12">
        <f>'05-ISO Reference'!$B$19</f>
        <v>707</v>
      </c>
      <c r="K1529" s="12">
        <f>'05-ISO Reference'!$C$19</f>
        <v>1000</v>
      </c>
      <c r="L1529" s="12">
        <f>'01-Process Controls'!$G$5</f>
        <v>3</v>
      </c>
      <c r="M1529" s="8"/>
      <c r="N1529" s="8"/>
    </row>
    <row r="1530" spans="1:15" ht="21" customHeight="1">
      <c r="A1530" s="9" t="s">
        <v>1831</v>
      </c>
      <c r="B1530" s="48"/>
      <c r="C1530" s="48"/>
      <c r="D1530" s="10" t="s">
        <v>263</v>
      </c>
      <c r="E1530" s="10" t="s">
        <v>1817</v>
      </c>
      <c r="F1530" s="10" t="s">
        <v>265</v>
      </c>
      <c r="G1530" s="10" t="s">
        <v>266</v>
      </c>
      <c r="H1530" s="11" t="str">
        <f>IF(AND(B1530="",C1530=""),"CUSTOM BLANK",IF(OR(B1530="",C1530=""),"ERROR - ENTER BOTH",IF(OR(B1530&lt;=0,C1530&lt;=0),"ERROR - NONPOSITIVE",IF(OR(B1530&lt;L1530,C1530&lt;L1530),"ERROR - BELOW MIN",IF(OR(AND(B1530&lt;=J1530,C1530&lt;=K1530),AND(B1530&lt;=K1530,C1530&lt;=J1530)),"VALID - CUSTOM","ERROR - EXCEEDS BASE")))))</f>
        <v>CUSTOM BLANK</v>
      </c>
      <c r="I1530" s="10" t="s">
        <v>267</v>
      </c>
      <c r="J1530" s="12">
        <f>'05-ISO Reference'!$B$19</f>
        <v>707</v>
      </c>
      <c r="K1530" s="12">
        <f>'05-ISO Reference'!$C$19</f>
        <v>1000</v>
      </c>
      <c r="L1530" s="12">
        <f>'01-Process Controls'!$G$5</f>
        <v>3</v>
      </c>
      <c r="M1530" s="8"/>
      <c r="N1530" s="8"/>
    </row>
    <row r="1531" spans="1:15" ht="21" customHeight="1">
      <c r="A1531" s="44" t="s">
        <v>1832</v>
      </c>
      <c r="B1531" s="45">
        <f>IF(LEFT(H1531,5)="VALID",M1531,"")</f>
        <v>500</v>
      </c>
      <c r="C1531" s="45">
        <f>IF(LEFT(H1531,5)="VALID",N1531,"")</f>
        <v>707</v>
      </c>
      <c r="D1531" s="46" t="s">
        <v>82</v>
      </c>
      <c r="E1531" s="46" t="s">
        <v>1833</v>
      </c>
      <c r="F1531" s="46" t="s">
        <v>122</v>
      </c>
      <c r="G1531" s="46" t="s">
        <v>123</v>
      </c>
      <c r="H1531" s="47" t="str">
        <f>"VALID - BASE"</f>
        <v>VALID - BASE</v>
      </c>
      <c r="I1531" s="46" t="s">
        <v>1834</v>
      </c>
      <c r="J1531" s="12">
        <f>'05-ISO Reference'!$B$20</f>
        <v>500</v>
      </c>
      <c r="K1531" s="12">
        <f>'05-ISO Reference'!$C$20</f>
        <v>707</v>
      </c>
      <c r="L1531" s="12">
        <f>'01-Process Controls'!$G$5</f>
        <v>3</v>
      </c>
      <c r="M1531" s="12">
        <f>ROUNDDOWN(J1531,0)</f>
        <v>500</v>
      </c>
      <c r="N1531" s="12">
        <f>ROUNDDOWN(K1531,0)</f>
        <v>707</v>
      </c>
      <c r="O1531" s="9">
        <v>0</v>
      </c>
    </row>
    <row r="1532" spans="1:15" ht="21" customHeight="1">
      <c r="A1532" s="9" t="s">
        <v>1835</v>
      </c>
      <c r="B1532" s="12">
        <f>IF(LEFT(H1532,5)="VALID",M1532,"")</f>
        <v>250</v>
      </c>
      <c r="C1532" s="12">
        <f>IF(LEFT(H1532,5)="VALID",N1532,"")</f>
        <v>707</v>
      </c>
      <c r="D1532" s="10" t="s">
        <v>82</v>
      </c>
      <c r="E1532" s="10" t="s">
        <v>1833</v>
      </c>
      <c r="F1532" s="10" t="s">
        <v>126</v>
      </c>
      <c r="G1532" s="10" t="s">
        <v>127</v>
      </c>
      <c r="H1532" s="11" t="str">
        <f>IF(OR(M1532&lt;=0,N1532&lt;=0),"SKIPPED - NONPOSITIVE",IF(OR(M1532&lt;L1532,N1532&lt;L1532),"SKIPPED - BELOW MIN",IF(OR(M1532&gt;J1532,N1532&gt;K1532),"SKIPPED - EXCEEDS BASE",IF(COUNTIFS($M$1531:M1531,M1532,$N$1531:N1531,N1532)&gt;0,"SKIPPED - DUPLICATE","VALID - GENERATED"))))</f>
        <v>VALID - GENERATED</v>
      </c>
      <c r="I1532" s="10" t="s">
        <v>1834</v>
      </c>
      <c r="J1532" s="12">
        <f>'05-ISO Reference'!$B$20</f>
        <v>500</v>
      </c>
      <c r="K1532" s="12">
        <f>'05-ISO Reference'!$C$20</f>
        <v>707</v>
      </c>
      <c r="L1532" s="12">
        <f>'01-Process Controls'!$G$5</f>
        <v>3</v>
      </c>
      <c r="M1532" s="12">
        <f>ROUNDDOWN(J1532*'04-Variant Rules'!$D$6,0)</f>
        <v>250</v>
      </c>
      <c r="N1532" s="12">
        <f>ROUNDDOWN(K1532,0)</f>
        <v>707</v>
      </c>
      <c r="O1532" s="9">
        <v>1</v>
      </c>
    </row>
    <row r="1533" spans="1:15" ht="21" customHeight="1">
      <c r="A1533" s="9" t="s">
        <v>1836</v>
      </c>
      <c r="B1533" s="12">
        <f>IF(LEFT(H1533,5)="VALID",M1533,"")</f>
        <v>166</v>
      </c>
      <c r="C1533" s="12">
        <f>IF(LEFT(H1533,5)="VALID",N1533,"")</f>
        <v>707</v>
      </c>
      <c r="D1533" s="10" t="s">
        <v>82</v>
      </c>
      <c r="E1533" s="10" t="s">
        <v>1833</v>
      </c>
      <c r="F1533" s="10" t="s">
        <v>129</v>
      </c>
      <c r="G1533" s="10" t="s">
        <v>130</v>
      </c>
      <c r="H1533" s="11" t="str">
        <f>IF(OR(M1533&lt;=0,N1533&lt;=0),"SKIPPED - NONPOSITIVE",IF(OR(M1533&lt;L1533,N1533&lt;L1533),"SKIPPED - BELOW MIN",IF(OR(M1533&gt;J1533,N1533&gt;K1533),"SKIPPED - EXCEEDS BASE",IF(COUNTIFS($M$1531:M1532,M1533,$N$1531:N1532,N1533)&gt;0,"SKIPPED - DUPLICATE","VALID - GENERATED"))))</f>
        <v>VALID - GENERATED</v>
      </c>
      <c r="I1533" s="10" t="s">
        <v>1834</v>
      </c>
      <c r="J1533" s="12">
        <f>'05-ISO Reference'!$B$20</f>
        <v>500</v>
      </c>
      <c r="K1533" s="12">
        <f>'05-ISO Reference'!$C$20</f>
        <v>707</v>
      </c>
      <c r="L1533" s="12">
        <f>'01-Process Controls'!$G$5</f>
        <v>3</v>
      </c>
      <c r="M1533" s="12">
        <f>ROUNDDOWN(J1533*'04-Variant Rules'!$D$7,0)</f>
        <v>166</v>
      </c>
      <c r="N1533" s="12">
        <f>ROUNDDOWN(K1533,0)</f>
        <v>707</v>
      </c>
      <c r="O1533" s="9">
        <v>2</v>
      </c>
    </row>
    <row r="1534" spans="1:15" ht="21" customHeight="1">
      <c r="A1534" s="9" t="s">
        <v>1837</v>
      </c>
      <c r="B1534" s="12">
        <f>IF(LEFT(H1534,5)="VALID",M1534,"")</f>
        <v>125</v>
      </c>
      <c r="C1534" s="12">
        <f>IF(LEFT(H1534,5)="VALID",N1534,"")</f>
        <v>707</v>
      </c>
      <c r="D1534" s="10" t="s">
        <v>82</v>
      </c>
      <c r="E1534" s="10" t="s">
        <v>1833</v>
      </c>
      <c r="F1534" s="10" t="s">
        <v>132</v>
      </c>
      <c r="G1534" s="10" t="s">
        <v>133</v>
      </c>
      <c r="H1534" s="11" t="str">
        <f>IF(OR(M1534&lt;=0,N1534&lt;=0),"SKIPPED - NONPOSITIVE",IF(OR(M1534&lt;L1534,N1534&lt;L1534),"SKIPPED - BELOW MIN",IF(OR(M1534&gt;J1534,N1534&gt;K1534),"SKIPPED - EXCEEDS BASE",IF(COUNTIFS($M$1531:M1533,M1534,$N$1531:N1533,N1534)&gt;0,"SKIPPED - DUPLICATE","VALID - GENERATED"))))</f>
        <v>VALID - GENERATED</v>
      </c>
      <c r="I1534" s="10" t="s">
        <v>1834</v>
      </c>
      <c r="J1534" s="12">
        <f>'05-ISO Reference'!$B$20</f>
        <v>500</v>
      </c>
      <c r="K1534" s="12">
        <f>'05-ISO Reference'!$C$20</f>
        <v>707</v>
      </c>
      <c r="L1534" s="12">
        <f>'01-Process Controls'!$G$5</f>
        <v>3</v>
      </c>
      <c r="M1534" s="12">
        <f>ROUNDDOWN(J1534*'04-Variant Rules'!$D$8,0)</f>
        <v>125</v>
      </c>
      <c r="N1534" s="12">
        <f>ROUNDDOWN(K1534,0)</f>
        <v>707</v>
      </c>
      <c r="O1534" s="9">
        <v>3</v>
      </c>
    </row>
    <row r="1535" spans="1:15" ht="21" customHeight="1">
      <c r="A1535" s="9" t="s">
        <v>1838</v>
      </c>
      <c r="B1535" s="12">
        <f>IF(LEFT(H1535,5)="VALID",M1535,"")</f>
        <v>333</v>
      </c>
      <c r="C1535" s="12">
        <f>IF(LEFT(H1535,5)="VALID",N1535,"")</f>
        <v>707</v>
      </c>
      <c r="D1535" s="10" t="s">
        <v>82</v>
      </c>
      <c r="E1535" s="10" t="s">
        <v>1833</v>
      </c>
      <c r="F1535" s="10" t="s">
        <v>135</v>
      </c>
      <c r="G1535" s="10" t="s">
        <v>136</v>
      </c>
      <c r="H1535" s="11" t="str">
        <f>IF(OR(M1535&lt;=0,N1535&lt;=0),"SKIPPED - NONPOSITIVE",IF(OR(M1535&lt;L1535,N1535&lt;L1535),"SKIPPED - BELOW MIN",IF(OR(M1535&gt;J1535,N1535&gt;K1535),"SKIPPED - EXCEEDS BASE",IF(COUNTIFS($M$1531:M1534,M1535,$N$1531:N1534,N1535)&gt;0,"SKIPPED - DUPLICATE","VALID - GENERATED"))))</f>
        <v>VALID - GENERATED</v>
      </c>
      <c r="I1535" s="10" t="s">
        <v>1834</v>
      </c>
      <c r="J1535" s="12">
        <f>'05-ISO Reference'!$B$20</f>
        <v>500</v>
      </c>
      <c r="K1535" s="12">
        <f>'05-ISO Reference'!$C$20</f>
        <v>707</v>
      </c>
      <c r="L1535" s="12">
        <f>'01-Process Controls'!$G$5</f>
        <v>3</v>
      </c>
      <c r="M1535" s="12">
        <f>ROUNDDOWN(J1535*'04-Variant Rules'!$D$9,0)</f>
        <v>333</v>
      </c>
      <c r="N1535" s="12">
        <f>ROUNDDOWN(K1535,0)</f>
        <v>707</v>
      </c>
      <c r="O1535" s="9">
        <v>4</v>
      </c>
    </row>
    <row r="1536" spans="1:15" ht="21" customHeight="1">
      <c r="A1536" s="9" t="s">
        <v>1839</v>
      </c>
      <c r="B1536" s="12">
        <f>IF(LEFT(H1536,5)="VALID",M1536,"")</f>
        <v>375</v>
      </c>
      <c r="C1536" s="12">
        <f>IF(LEFT(H1536,5)="VALID",N1536,"")</f>
        <v>707</v>
      </c>
      <c r="D1536" s="10" t="s">
        <v>82</v>
      </c>
      <c r="E1536" s="10" t="s">
        <v>1833</v>
      </c>
      <c r="F1536" s="10" t="s">
        <v>138</v>
      </c>
      <c r="G1536" s="10" t="s">
        <v>139</v>
      </c>
      <c r="H1536" s="11" t="str">
        <f>IF(OR(M1536&lt;=0,N1536&lt;=0),"SKIPPED - NONPOSITIVE",IF(OR(M1536&lt;L1536,N1536&lt;L1536),"SKIPPED - BELOW MIN",IF(OR(M1536&gt;J1536,N1536&gt;K1536),"SKIPPED - EXCEEDS BASE",IF(COUNTIFS($M$1531:M1535,M1536,$N$1531:N1535,N1536)&gt;0,"SKIPPED - DUPLICATE","VALID - GENERATED"))))</f>
        <v>VALID - GENERATED</v>
      </c>
      <c r="I1536" s="10" t="s">
        <v>1834</v>
      </c>
      <c r="J1536" s="12">
        <f>'05-ISO Reference'!$B$20</f>
        <v>500</v>
      </c>
      <c r="K1536" s="12">
        <f>'05-ISO Reference'!$C$20</f>
        <v>707</v>
      </c>
      <c r="L1536" s="12">
        <f>'01-Process Controls'!$G$5</f>
        <v>3</v>
      </c>
      <c r="M1536" s="12">
        <f>ROUNDDOWN(J1536*'04-Variant Rules'!$D$10,0)</f>
        <v>375</v>
      </c>
      <c r="N1536" s="12">
        <f>ROUNDDOWN(K1536,0)</f>
        <v>707</v>
      </c>
      <c r="O1536" s="9">
        <v>5</v>
      </c>
    </row>
    <row r="1537" spans="1:15" ht="21" customHeight="1">
      <c r="A1537" s="9" t="s">
        <v>1840</v>
      </c>
      <c r="B1537" s="12">
        <f>IF(LEFT(H1537,5)="VALID",M1537,"")</f>
        <v>500</v>
      </c>
      <c r="C1537" s="12">
        <f>IF(LEFT(H1537,5)="VALID",N1537,"")</f>
        <v>353</v>
      </c>
      <c r="D1537" s="10" t="s">
        <v>82</v>
      </c>
      <c r="E1537" s="10" t="s">
        <v>1833</v>
      </c>
      <c r="F1537" s="10" t="s">
        <v>141</v>
      </c>
      <c r="G1537" s="10" t="s">
        <v>142</v>
      </c>
      <c r="H1537" s="11" t="str">
        <f>IF(OR(M1537&lt;=0,N1537&lt;=0),"SKIPPED - NONPOSITIVE",IF(OR(M1537&lt;L1537,N1537&lt;L1537),"SKIPPED - BELOW MIN",IF(OR(M1537&gt;J1537,N1537&gt;K1537),"SKIPPED - EXCEEDS BASE",IF(COUNTIFS($M$1531:M1536,M1537,$N$1531:N1536,N1537)&gt;0,"SKIPPED - DUPLICATE","VALID - GENERATED"))))</f>
        <v>VALID - GENERATED</v>
      </c>
      <c r="I1537" s="10" t="s">
        <v>1834</v>
      </c>
      <c r="J1537" s="12">
        <f>'05-ISO Reference'!$B$20</f>
        <v>500</v>
      </c>
      <c r="K1537" s="12">
        <f>'05-ISO Reference'!$C$20</f>
        <v>707</v>
      </c>
      <c r="L1537" s="12">
        <f>'01-Process Controls'!$G$5</f>
        <v>3</v>
      </c>
      <c r="M1537" s="12">
        <f>ROUNDDOWN(J1537,0)</f>
        <v>500</v>
      </c>
      <c r="N1537" s="12">
        <f>ROUNDDOWN(K1537*'04-Variant Rules'!$D$11,0)</f>
        <v>353</v>
      </c>
      <c r="O1537" s="9">
        <v>6</v>
      </c>
    </row>
    <row r="1538" spans="1:15" ht="21" customHeight="1">
      <c r="A1538" s="9" t="s">
        <v>1841</v>
      </c>
      <c r="B1538" s="12">
        <f>IF(LEFT(H1538,5)="VALID",M1538,"")</f>
        <v>500</v>
      </c>
      <c r="C1538" s="12">
        <f>IF(LEFT(H1538,5)="VALID",N1538,"")</f>
        <v>235</v>
      </c>
      <c r="D1538" s="10" t="s">
        <v>82</v>
      </c>
      <c r="E1538" s="10" t="s">
        <v>1833</v>
      </c>
      <c r="F1538" s="10" t="s">
        <v>144</v>
      </c>
      <c r="G1538" s="10" t="s">
        <v>145</v>
      </c>
      <c r="H1538" s="11" t="str">
        <f>IF(OR(M1538&lt;=0,N1538&lt;=0),"SKIPPED - NONPOSITIVE",IF(OR(M1538&lt;L1538,N1538&lt;L1538),"SKIPPED - BELOW MIN",IF(OR(M1538&gt;J1538,N1538&gt;K1538),"SKIPPED - EXCEEDS BASE",IF(COUNTIFS($M$1531:M1537,M1538,$N$1531:N1537,N1538)&gt;0,"SKIPPED - DUPLICATE","VALID - GENERATED"))))</f>
        <v>VALID - GENERATED</v>
      </c>
      <c r="I1538" s="10" t="s">
        <v>1834</v>
      </c>
      <c r="J1538" s="12">
        <f>'05-ISO Reference'!$B$20</f>
        <v>500</v>
      </c>
      <c r="K1538" s="12">
        <f>'05-ISO Reference'!$C$20</f>
        <v>707</v>
      </c>
      <c r="L1538" s="12">
        <f>'01-Process Controls'!$G$5</f>
        <v>3</v>
      </c>
      <c r="M1538" s="12">
        <f>ROUNDDOWN(J1538,0)</f>
        <v>500</v>
      </c>
      <c r="N1538" s="12">
        <f>ROUNDDOWN(K1538*'04-Variant Rules'!$D$12,0)</f>
        <v>235</v>
      </c>
      <c r="O1538" s="9">
        <v>7</v>
      </c>
    </row>
    <row r="1539" spans="1:15" ht="21" customHeight="1">
      <c r="A1539" s="9" t="s">
        <v>1842</v>
      </c>
      <c r="B1539" s="12">
        <f>IF(LEFT(H1539,5)="VALID",M1539,"")</f>
        <v>500</v>
      </c>
      <c r="C1539" s="12">
        <f>IF(LEFT(H1539,5)="VALID",N1539,"")</f>
        <v>176</v>
      </c>
      <c r="D1539" s="10" t="s">
        <v>82</v>
      </c>
      <c r="E1539" s="10" t="s">
        <v>1833</v>
      </c>
      <c r="F1539" s="10" t="s">
        <v>147</v>
      </c>
      <c r="G1539" s="10" t="s">
        <v>148</v>
      </c>
      <c r="H1539" s="11" t="str">
        <f>IF(OR(M1539&lt;=0,N1539&lt;=0),"SKIPPED - NONPOSITIVE",IF(OR(M1539&lt;L1539,N1539&lt;L1539),"SKIPPED - BELOW MIN",IF(OR(M1539&gt;J1539,N1539&gt;K1539),"SKIPPED - EXCEEDS BASE",IF(COUNTIFS($M$1531:M1538,M1539,$N$1531:N1538,N1539)&gt;0,"SKIPPED - DUPLICATE","VALID - GENERATED"))))</f>
        <v>VALID - GENERATED</v>
      </c>
      <c r="I1539" s="10" t="s">
        <v>1834</v>
      </c>
      <c r="J1539" s="12">
        <f>'05-ISO Reference'!$B$20</f>
        <v>500</v>
      </c>
      <c r="K1539" s="12">
        <f>'05-ISO Reference'!$C$20</f>
        <v>707</v>
      </c>
      <c r="L1539" s="12">
        <f>'01-Process Controls'!$G$5</f>
        <v>3</v>
      </c>
      <c r="M1539" s="12">
        <f>ROUNDDOWN(J1539,0)</f>
        <v>500</v>
      </c>
      <c r="N1539" s="12">
        <f>ROUNDDOWN(K1539*'04-Variant Rules'!$D$13,0)</f>
        <v>176</v>
      </c>
      <c r="O1539" s="9">
        <v>8</v>
      </c>
    </row>
    <row r="1540" spans="1:15" ht="21" customHeight="1">
      <c r="A1540" s="9" t="s">
        <v>1843</v>
      </c>
      <c r="B1540" s="12">
        <f>IF(LEFT(H1540,5)="VALID",M1540,"")</f>
        <v>500</v>
      </c>
      <c r="C1540" s="12">
        <f>IF(LEFT(H1540,5)="VALID",N1540,"")</f>
        <v>471</v>
      </c>
      <c r="D1540" s="10" t="s">
        <v>82</v>
      </c>
      <c r="E1540" s="10" t="s">
        <v>1833</v>
      </c>
      <c r="F1540" s="10" t="s">
        <v>150</v>
      </c>
      <c r="G1540" s="10" t="s">
        <v>151</v>
      </c>
      <c r="H1540" s="11" t="str">
        <f>IF(OR(M1540&lt;=0,N1540&lt;=0),"SKIPPED - NONPOSITIVE",IF(OR(M1540&lt;L1540,N1540&lt;L1540),"SKIPPED - BELOW MIN",IF(OR(M1540&gt;J1540,N1540&gt;K1540),"SKIPPED - EXCEEDS BASE",IF(COUNTIFS($M$1531:M1539,M1540,$N$1531:N1539,N1540)&gt;0,"SKIPPED - DUPLICATE","VALID - GENERATED"))))</f>
        <v>VALID - GENERATED</v>
      </c>
      <c r="I1540" s="10" t="s">
        <v>1834</v>
      </c>
      <c r="J1540" s="12">
        <f>'05-ISO Reference'!$B$20</f>
        <v>500</v>
      </c>
      <c r="K1540" s="12">
        <f>'05-ISO Reference'!$C$20</f>
        <v>707</v>
      </c>
      <c r="L1540" s="12">
        <f>'01-Process Controls'!$G$5</f>
        <v>3</v>
      </c>
      <c r="M1540" s="12">
        <f>ROUNDDOWN(J1540,0)</f>
        <v>500</v>
      </c>
      <c r="N1540" s="12">
        <f>ROUNDDOWN(K1540*'04-Variant Rules'!$D$14,0)</f>
        <v>471</v>
      </c>
      <c r="O1540" s="9">
        <v>9</v>
      </c>
    </row>
    <row r="1541" spans="1:15" ht="21" customHeight="1">
      <c r="A1541" s="9" t="s">
        <v>1844</v>
      </c>
      <c r="B1541" s="12">
        <f>IF(LEFT(H1541,5)="VALID",M1541,"")</f>
        <v>500</v>
      </c>
      <c r="C1541" s="12">
        <f>IF(LEFT(H1541,5)="VALID",N1541,"")</f>
        <v>530</v>
      </c>
      <c r="D1541" s="10" t="s">
        <v>82</v>
      </c>
      <c r="E1541" s="10" t="s">
        <v>1833</v>
      </c>
      <c r="F1541" s="10" t="s">
        <v>153</v>
      </c>
      <c r="G1541" s="10" t="s">
        <v>154</v>
      </c>
      <c r="H1541" s="11" t="str">
        <f>IF(OR(M1541&lt;=0,N1541&lt;=0),"SKIPPED - NONPOSITIVE",IF(OR(M1541&lt;L1541,N1541&lt;L1541),"SKIPPED - BELOW MIN",IF(OR(M1541&gt;J1541,N1541&gt;K1541),"SKIPPED - EXCEEDS BASE",IF(COUNTIFS($M$1531:M1540,M1541,$N$1531:N1540,N1541)&gt;0,"SKIPPED - DUPLICATE","VALID - GENERATED"))))</f>
        <v>VALID - GENERATED</v>
      </c>
      <c r="I1541" s="10" t="s">
        <v>1834</v>
      </c>
      <c r="J1541" s="12">
        <f>'05-ISO Reference'!$B$20</f>
        <v>500</v>
      </c>
      <c r="K1541" s="12">
        <f>'05-ISO Reference'!$C$20</f>
        <v>707</v>
      </c>
      <c r="L1541" s="12">
        <f>'01-Process Controls'!$G$5</f>
        <v>3</v>
      </c>
      <c r="M1541" s="12">
        <f>ROUNDDOWN(J1541,0)</f>
        <v>500</v>
      </c>
      <c r="N1541" s="12">
        <f>ROUNDDOWN(K1541*'04-Variant Rules'!$D$15,0)</f>
        <v>530</v>
      </c>
      <c r="O1541" s="9">
        <v>10</v>
      </c>
    </row>
    <row r="1542" spans="1:15" ht="21" customHeight="1">
      <c r="A1542" s="9" t="s">
        <v>1845</v>
      </c>
      <c r="B1542" s="12">
        <f>IF(LEFT(H1542,5)="VALID",M1542,"")</f>
        <v>250</v>
      </c>
      <c r="C1542" s="12">
        <f>IF(LEFT(H1542,5)="VALID",N1542,"")</f>
        <v>353</v>
      </c>
      <c r="D1542" s="10" t="s">
        <v>82</v>
      </c>
      <c r="E1542" s="10" t="s">
        <v>1833</v>
      </c>
      <c r="F1542" s="10" t="s">
        <v>156</v>
      </c>
      <c r="G1542" s="10" t="s">
        <v>157</v>
      </c>
      <c r="H1542" s="11" t="str">
        <f>IF(OR(M1542&lt;=0,N1542&lt;=0),"SKIPPED - NONPOSITIVE",IF(OR(M1542&lt;L1542,N1542&lt;L1542),"SKIPPED - BELOW MIN",IF(OR(M1542&gt;J1542,N1542&gt;K1542),"SKIPPED - EXCEEDS BASE",IF(COUNTIFS($M$1531:M1541,M1542,$N$1531:N1541,N1542)&gt;0,"SKIPPED - DUPLICATE","VALID - GENERATED"))))</f>
        <v>VALID - GENERATED</v>
      </c>
      <c r="I1542" s="10" t="s">
        <v>1834</v>
      </c>
      <c r="J1542" s="12">
        <f>'05-ISO Reference'!$B$20</f>
        <v>500</v>
      </c>
      <c r="K1542" s="12">
        <f>'05-ISO Reference'!$C$20</f>
        <v>707</v>
      </c>
      <c r="L1542" s="12">
        <f>'01-Process Controls'!$G$5</f>
        <v>3</v>
      </c>
      <c r="M1542" s="12">
        <f>ROUNDDOWN(J1542*'04-Variant Rules'!$D$16,0)</f>
        <v>250</v>
      </c>
      <c r="N1542" s="12">
        <f>ROUNDDOWN(K1542*'04-Variant Rules'!$E$16,0)</f>
        <v>353</v>
      </c>
      <c r="O1542" s="9">
        <v>11</v>
      </c>
    </row>
    <row r="1543" spans="1:15" ht="21" customHeight="1">
      <c r="A1543" s="9" t="s">
        <v>1846</v>
      </c>
      <c r="B1543" s="12">
        <f>IF(LEFT(H1543,5)="VALID",M1543,"")</f>
        <v>166</v>
      </c>
      <c r="C1543" s="12">
        <f>IF(LEFT(H1543,5)="VALID",N1543,"")</f>
        <v>235</v>
      </c>
      <c r="D1543" s="10" t="s">
        <v>82</v>
      </c>
      <c r="E1543" s="10" t="s">
        <v>1833</v>
      </c>
      <c r="F1543" s="10" t="s">
        <v>159</v>
      </c>
      <c r="G1543" s="10" t="s">
        <v>160</v>
      </c>
      <c r="H1543" s="11" t="str">
        <f>IF(OR(M1543&lt;=0,N1543&lt;=0),"SKIPPED - NONPOSITIVE",IF(OR(M1543&lt;L1543,N1543&lt;L1543),"SKIPPED - BELOW MIN",IF(OR(M1543&gt;J1543,N1543&gt;K1543),"SKIPPED - EXCEEDS BASE",IF(COUNTIFS($M$1531:M1542,M1543,$N$1531:N1542,N1543)&gt;0,"SKIPPED - DUPLICATE","VALID - GENERATED"))))</f>
        <v>VALID - GENERATED</v>
      </c>
      <c r="I1543" s="10" t="s">
        <v>1834</v>
      </c>
      <c r="J1543" s="12">
        <f>'05-ISO Reference'!$B$20</f>
        <v>500</v>
      </c>
      <c r="K1543" s="12">
        <f>'05-ISO Reference'!$C$20</f>
        <v>707</v>
      </c>
      <c r="L1543" s="12">
        <f>'01-Process Controls'!$G$5</f>
        <v>3</v>
      </c>
      <c r="M1543" s="12">
        <f>ROUNDDOWN(J1543*'04-Variant Rules'!$D$17,0)</f>
        <v>166</v>
      </c>
      <c r="N1543" s="12">
        <f>ROUNDDOWN(K1543*'04-Variant Rules'!$E$17,0)</f>
        <v>235</v>
      </c>
      <c r="O1543" s="9">
        <v>12</v>
      </c>
    </row>
    <row r="1544" spans="1:15" ht="21" customHeight="1">
      <c r="A1544" s="9" t="s">
        <v>1847</v>
      </c>
      <c r="B1544" s="12">
        <f>IF(LEFT(H1544,5)="VALID",M1544,"")</f>
        <v>125</v>
      </c>
      <c r="C1544" s="12">
        <f>IF(LEFT(H1544,5)="VALID",N1544,"")</f>
        <v>176</v>
      </c>
      <c r="D1544" s="10" t="s">
        <v>82</v>
      </c>
      <c r="E1544" s="10" t="s">
        <v>1833</v>
      </c>
      <c r="F1544" s="10" t="s">
        <v>162</v>
      </c>
      <c r="G1544" s="10" t="s">
        <v>163</v>
      </c>
      <c r="H1544" s="11" t="str">
        <f>IF(OR(M1544&lt;=0,N1544&lt;=0),"SKIPPED - NONPOSITIVE",IF(OR(M1544&lt;L1544,N1544&lt;L1544),"SKIPPED - BELOW MIN",IF(OR(M1544&gt;J1544,N1544&gt;K1544),"SKIPPED - EXCEEDS BASE",IF(COUNTIFS($M$1531:M1543,M1544,$N$1531:N1543,N1544)&gt;0,"SKIPPED - DUPLICATE","VALID - GENERATED"))))</f>
        <v>VALID - GENERATED</v>
      </c>
      <c r="I1544" s="10" t="s">
        <v>1834</v>
      </c>
      <c r="J1544" s="12">
        <f>'05-ISO Reference'!$B$20</f>
        <v>500</v>
      </c>
      <c r="K1544" s="12">
        <f>'05-ISO Reference'!$C$20</f>
        <v>707</v>
      </c>
      <c r="L1544" s="12">
        <f>'01-Process Controls'!$G$5</f>
        <v>3</v>
      </c>
      <c r="M1544" s="12">
        <f>ROUNDDOWN(J1544*'04-Variant Rules'!$D$18,0)</f>
        <v>125</v>
      </c>
      <c r="N1544" s="12">
        <f>ROUNDDOWN(K1544*'04-Variant Rules'!$E$18,0)</f>
        <v>176</v>
      </c>
      <c r="O1544" s="9">
        <v>13</v>
      </c>
    </row>
    <row r="1545" spans="1:15" ht="21" customHeight="1">
      <c r="A1545" s="9" t="s">
        <v>1848</v>
      </c>
      <c r="B1545" s="12">
        <f>IF(LEFT(H1545,5)="VALID",M1545,"")</f>
        <v>250</v>
      </c>
      <c r="C1545" s="12">
        <f>IF(LEFT(H1545,5)="VALID",N1545,"")</f>
        <v>235</v>
      </c>
      <c r="D1545" s="10" t="s">
        <v>82</v>
      </c>
      <c r="E1545" s="10" t="s">
        <v>1833</v>
      </c>
      <c r="F1545" s="10" t="s">
        <v>165</v>
      </c>
      <c r="G1545" s="10" t="s">
        <v>166</v>
      </c>
      <c r="H1545" s="11" t="str">
        <f>IF(OR(M1545&lt;=0,N1545&lt;=0),"SKIPPED - NONPOSITIVE",IF(OR(M1545&lt;L1545,N1545&lt;L1545),"SKIPPED - BELOW MIN",IF(OR(M1545&gt;J1545,N1545&gt;K1545),"SKIPPED - EXCEEDS BASE",IF(COUNTIFS($M$1531:M1544,M1545,$N$1531:N1544,N1545)&gt;0,"SKIPPED - DUPLICATE","VALID - GENERATED"))))</f>
        <v>VALID - GENERATED</v>
      </c>
      <c r="I1545" s="10" t="s">
        <v>1834</v>
      </c>
      <c r="J1545" s="12">
        <f>'05-ISO Reference'!$B$20</f>
        <v>500</v>
      </c>
      <c r="K1545" s="12">
        <f>'05-ISO Reference'!$C$20</f>
        <v>707</v>
      </c>
      <c r="L1545" s="12">
        <f>'01-Process Controls'!$G$5</f>
        <v>3</v>
      </c>
      <c r="M1545" s="12">
        <f>ROUNDDOWN(J1545*'04-Variant Rules'!$D$19,0)</f>
        <v>250</v>
      </c>
      <c r="N1545" s="12">
        <f>ROUNDDOWN(K1545*'04-Variant Rules'!$E$19,0)</f>
        <v>235</v>
      </c>
      <c r="O1545" s="9">
        <v>14</v>
      </c>
    </row>
    <row r="1546" spans="1:15" ht="21" customHeight="1">
      <c r="A1546" s="9" t="s">
        <v>1849</v>
      </c>
      <c r="B1546" s="12">
        <f>IF(LEFT(H1546,5)="VALID",M1546,"")</f>
        <v>166</v>
      </c>
      <c r="C1546" s="12">
        <f>IF(LEFT(H1546,5)="VALID",N1546,"")</f>
        <v>353</v>
      </c>
      <c r="D1546" s="10" t="s">
        <v>82</v>
      </c>
      <c r="E1546" s="10" t="s">
        <v>1833</v>
      </c>
      <c r="F1546" s="10" t="s">
        <v>168</v>
      </c>
      <c r="G1546" s="10" t="s">
        <v>166</v>
      </c>
      <c r="H1546" s="11" t="str">
        <f>IF(OR(M1546&lt;=0,N1546&lt;=0),"SKIPPED - NONPOSITIVE",IF(OR(M1546&lt;L1546,N1546&lt;L1546),"SKIPPED - BELOW MIN",IF(OR(M1546&gt;J1546,N1546&gt;K1546),"SKIPPED - EXCEEDS BASE",IF(COUNTIFS($M$1531:M1545,M1546,$N$1531:N1545,N1546)&gt;0,"SKIPPED - DUPLICATE","VALID - GENERATED"))))</f>
        <v>VALID - GENERATED</v>
      </c>
      <c r="I1546" s="10" t="s">
        <v>1834</v>
      </c>
      <c r="J1546" s="12">
        <f>'05-ISO Reference'!$B$20</f>
        <v>500</v>
      </c>
      <c r="K1546" s="12">
        <f>'05-ISO Reference'!$C$20</f>
        <v>707</v>
      </c>
      <c r="L1546" s="12">
        <f>'01-Process Controls'!$G$5</f>
        <v>3</v>
      </c>
      <c r="M1546" s="12">
        <f>ROUNDDOWN(J1546*'04-Variant Rules'!$D$20,0)</f>
        <v>166</v>
      </c>
      <c r="N1546" s="12">
        <f>ROUNDDOWN(K1546*'04-Variant Rules'!$E$20,0)</f>
        <v>353</v>
      </c>
      <c r="O1546" s="9">
        <v>15</v>
      </c>
    </row>
    <row r="1547" spans="1:15" ht="21" customHeight="1">
      <c r="A1547" s="9" t="s">
        <v>1850</v>
      </c>
      <c r="B1547" s="12">
        <f>IF(LEFT(H1547,5)="VALID",M1547,"")</f>
        <v>250</v>
      </c>
      <c r="C1547" s="12">
        <f>IF(LEFT(H1547,5)="VALID",N1547,"")</f>
        <v>176</v>
      </c>
      <c r="D1547" s="10" t="s">
        <v>82</v>
      </c>
      <c r="E1547" s="10" t="s">
        <v>1833</v>
      </c>
      <c r="F1547" s="10" t="s">
        <v>170</v>
      </c>
      <c r="G1547" s="10" t="s">
        <v>166</v>
      </c>
      <c r="H1547" s="11" t="str">
        <f>IF(OR(M1547&lt;=0,N1547&lt;=0),"SKIPPED - NONPOSITIVE",IF(OR(M1547&lt;L1547,N1547&lt;L1547),"SKIPPED - BELOW MIN",IF(OR(M1547&gt;J1547,N1547&gt;K1547),"SKIPPED - EXCEEDS BASE",IF(COUNTIFS($M$1531:M1546,M1547,$N$1531:N1546,N1547)&gt;0,"SKIPPED - DUPLICATE","VALID - GENERATED"))))</f>
        <v>VALID - GENERATED</v>
      </c>
      <c r="I1547" s="10" t="s">
        <v>1834</v>
      </c>
      <c r="J1547" s="12">
        <f>'05-ISO Reference'!$B$20</f>
        <v>500</v>
      </c>
      <c r="K1547" s="12">
        <f>'05-ISO Reference'!$C$20</f>
        <v>707</v>
      </c>
      <c r="L1547" s="12">
        <f>'01-Process Controls'!$G$5</f>
        <v>3</v>
      </c>
      <c r="M1547" s="12">
        <f>ROUNDDOWN(J1547*'04-Variant Rules'!$D$21,0)</f>
        <v>250</v>
      </c>
      <c r="N1547" s="12">
        <f>ROUNDDOWN(K1547*'04-Variant Rules'!$E$21,0)</f>
        <v>176</v>
      </c>
      <c r="O1547" s="9">
        <v>16</v>
      </c>
    </row>
    <row r="1548" spans="1:15" ht="21" customHeight="1">
      <c r="A1548" s="9" t="s">
        <v>1851</v>
      </c>
      <c r="B1548" s="12">
        <f>IF(LEFT(H1548,5)="VALID",M1548,"")</f>
        <v>125</v>
      </c>
      <c r="C1548" s="12">
        <f>IF(LEFT(H1548,5)="VALID",N1548,"")</f>
        <v>353</v>
      </c>
      <c r="D1548" s="10" t="s">
        <v>82</v>
      </c>
      <c r="E1548" s="10" t="s">
        <v>1833</v>
      </c>
      <c r="F1548" s="10" t="s">
        <v>172</v>
      </c>
      <c r="G1548" s="10" t="s">
        <v>166</v>
      </c>
      <c r="H1548" s="11" t="str">
        <f>IF(OR(M1548&lt;=0,N1548&lt;=0),"SKIPPED - NONPOSITIVE",IF(OR(M1548&lt;L1548,N1548&lt;L1548),"SKIPPED - BELOW MIN",IF(OR(M1548&gt;J1548,N1548&gt;K1548),"SKIPPED - EXCEEDS BASE",IF(COUNTIFS($M$1531:M1547,M1548,$N$1531:N1547,N1548)&gt;0,"SKIPPED - DUPLICATE","VALID - GENERATED"))))</f>
        <v>VALID - GENERATED</v>
      </c>
      <c r="I1548" s="10" t="s">
        <v>1834</v>
      </c>
      <c r="J1548" s="12">
        <f>'05-ISO Reference'!$B$20</f>
        <v>500</v>
      </c>
      <c r="K1548" s="12">
        <f>'05-ISO Reference'!$C$20</f>
        <v>707</v>
      </c>
      <c r="L1548" s="12">
        <f>'01-Process Controls'!$G$5</f>
        <v>3</v>
      </c>
      <c r="M1548" s="12">
        <f>ROUNDDOWN(J1548*'04-Variant Rules'!$D$22,0)</f>
        <v>125</v>
      </c>
      <c r="N1548" s="12">
        <f>ROUNDDOWN(K1548*'04-Variant Rules'!$E$22,0)</f>
        <v>353</v>
      </c>
      <c r="O1548" s="9">
        <v>17</v>
      </c>
    </row>
    <row r="1549" spans="1:15" ht="21" customHeight="1">
      <c r="A1549" s="9" t="s">
        <v>1852</v>
      </c>
      <c r="B1549" s="12">
        <f>IF(LEFT(H1549,5)="VALID",M1549,"")</f>
        <v>333</v>
      </c>
      <c r="C1549" s="12">
        <f>IF(LEFT(H1549,5)="VALID",N1549,"")</f>
        <v>353</v>
      </c>
      <c r="D1549" s="10" t="s">
        <v>82</v>
      </c>
      <c r="E1549" s="10" t="s">
        <v>1833</v>
      </c>
      <c r="F1549" s="10" t="s">
        <v>174</v>
      </c>
      <c r="G1549" s="10" t="s">
        <v>166</v>
      </c>
      <c r="H1549" s="11" t="str">
        <f>IF(OR(M1549&lt;=0,N1549&lt;=0),"SKIPPED - NONPOSITIVE",IF(OR(M1549&lt;L1549,N1549&lt;L1549),"SKIPPED - BELOW MIN",IF(OR(M1549&gt;J1549,N1549&gt;K1549),"SKIPPED - EXCEEDS BASE",IF(COUNTIFS($M$1531:M1548,M1549,$N$1531:N1548,N1549)&gt;0,"SKIPPED - DUPLICATE","VALID - GENERATED"))))</f>
        <v>VALID - GENERATED</v>
      </c>
      <c r="I1549" s="10" t="s">
        <v>1834</v>
      </c>
      <c r="J1549" s="12">
        <f>'05-ISO Reference'!$B$20</f>
        <v>500</v>
      </c>
      <c r="K1549" s="12">
        <f>'05-ISO Reference'!$C$20</f>
        <v>707</v>
      </c>
      <c r="L1549" s="12">
        <f>'01-Process Controls'!$G$5</f>
        <v>3</v>
      </c>
      <c r="M1549" s="12">
        <f>ROUNDDOWN(J1549*'04-Variant Rules'!$D$23,0)</f>
        <v>333</v>
      </c>
      <c r="N1549" s="12">
        <f>ROUNDDOWN(K1549*'04-Variant Rules'!$E$23,0)</f>
        <v>353</v>
      </c>
      <c r="O1549" s="9">
        <v>18</v>
      </c>
    </row>
    <row r="1550" spans="1:15" ht="21" customHeight="1">
      <c r="A1550" s="9" t="s">
        <v>1853</v>
      </c>
      <c r="B1550" s="12">
        <f>IF(LEFT(H1550,5)="VALID",M1550,"")</f>
        <v>250</v>
      </c>
      <c r="C1550" s="12">
        <f>IF(LEFT(H1550,5)="VALID",N1550,"")</f>
        <v>471</v>
      </c>
      <c r="D1550" s="10" t="s">
        <v>82</v>
      </c>
      <c r="E1550" s="10" t="s">
        <v>1833</v>
      </c>
      <c r="F1550" s="10" t="s">
        <v>176</v>
      </c>
      <c r="G1550" s="10" t="s">
        <v>166</v>
      </c>
      <c r="H1550" s="11" t="str">
        <f>IF(OR(M1550&lt;=0,N1550&lt;=0),"SKIPPED - NONPOSITIVE",IF(OR(M1550&lt;L1550,N1550&lt;L1550),"SKIPPED - BELOW MIN",IF(OR(M1550&gt;J1550,N1550&gt;K1550),"SKIPPED - EXCEEDS BASE",IF(COUNTIFS($M$1531:M1549,M1550,$N$1531:N1549,N1550)&gt;0,"SKIPPED - DUPLICATE","VALID - GENERATED"))))</f>
        <v>VALID - GENERATED</v>
      </c>
      <c r="I1550" s="10" t="s">
        <v>1834</v>
      </c>
      <c r="J1550" s="12">
        <f>'05-ISO Reference'!$B$20</f>
        <v>500</v>
      </c>
      <c r="K1550" s="12">
        <f>'05-ISO Reference'!$C$20</f>
        <v>707</v>
      </c>
      <c r="L1550" s="12">
        <f>'01-Process Controls'!$G$5</f>
        <v>3</v>
      </c>
      <c r="M1550" s="12">
        <f>ROUNDDOWN(J1550*'04-Variant Rules'!$D$24,0)</f>
        <v>250</v>
      </c>
      <c r="N1550" s="12">
        <f>ROUNDDOWN(K1550*'04-Variant Rules'!$E$24,0)</f>
        <v>471</v>
      </c>
      <c r="O1550" s="9">
        <v>19</v>
      </c>
    </row>
    <row r="1551" spans="1:15" ht="21" customHeight="1">
      <c r="A1551" s="9" t="s">
        <v>1854</v>
      </c>
      <c r="B1551" s="12">
        <f>IF(LEFT(H1551,5)="VALID",M1551,"")</f>
        <v>375</v>
      </c>
      <c r="C1551" s="12">
        <f>IF(LEFT(H1551,5)="VALID",N1551,"")</f>
        <v>353</v>
      </c>
      <c r="D1551" s="10" t="s">
        <v>82</v>
      </c>
      <c r="E1551" s="10" t="s">
        <v>1833</v>
      </c>
      <c r="F1551" s="10" t="s">
        <v>178</v>
      </c>
      <c r="G1551" s="10" t="s">
        <v>166</v>
      </c>
      <c r="H1551" s="11" t="str">
        <f>IF(OR(M1551&lt;=0,N1551&lt;=0),"SKIPPED - NONPOSITIVE",IF(OR(M1551&lt;L1551,N1551&lt;L1551),"SKIPPED - BELOW MIN",IF(OR(M1551&gt;J1551,N1551&gt;K1551),"SKIPPED - EXCEEDS BASE",IF(COUNTIFS($M$1531:M1550,M1551,$N$1531:N1550,N1551)&gt;0,"SKIPPED - DUPLICATE","VALID - GENERATED"))))</f>
        <v>VALID - GENERATED</v>
      </c>
      <c r="I1551" s="10" t="s">
        <v>1834</v>
      </c>
      <c r="J1551" s="12">
        <f>'05-ISO Reference'!$B$20</f>
        <v>500</v>
      </c>
      <c r="K1551" s="12">
        <f>'05-ISO Reference'!$C$20</f>
        <v>707</v>
      </c>
      <c r="L1551" s="12">
        <f>'01-Process Controls'!$G$5</f>
        <v>3</v>
      </c>
      <c r="M1551" s="12">
        <f>ROUNDDOWN(J1551*'04-Variant Rules'!$D$25,0)</f>
        <v>375</v>
      </c>
      <c r="N1551" s="12">
        <f>ROUNDDOWN(K1551*'04-Variant Rules'!$E$25,0)</f>
        <v>353</v>
      </c>
      <c r="O1551" s="9">
        <v>20</v>
      </c>
    </row>
    <row r="1552" spans="1:15" ht="21" customHeight="1">
      <c r="A1552" s="9" t="s">
        <v>1855</v>
      </c>
      <c r="B1552" s="12">
        <f>IF(LEFT(H1552,5)="VALID",M1552,"")</f>
        <v>250</v>
      </c>
      <c r="C1552" s="12">
        <f>IF(LEFT(H1552,5)="VALID",N1552,"")</f>
        <v>530</v>
      </c>
      <c r="D1552" s="10" t="s">
        <v>82</v>
      </c>
      <c r="E1552" s="10" t="s">
        <v>1833</v>
      </c>
      <c r="F1552" s="10" t="s">
        <v>180</v>
      </c>
      <c r="G1552" s="10" t="s">
        <v>166</v>
      </c>
      <c r="H1552" s="11" t="str">
        <f>IF(OR(M1552&lt;=0,N1552&lt;=0),"SKIPPED - NONPOSITIVE",IF(OR(M1552&lt;L1552,N1552&lt;L1552),"SKIPPED - BELOW MIN",IF(OR(M1552&gt;J1552,N1552&gt;K1552),"SKIPPED - EXCEEDS BASE",IF(COUNTIFS($M$1531:M1551,M1552,$N$1531:N1551,N1552)&gt;0,"SKIPPED - DUPLICATE","VALID - GENERATED"))))</f>
        <v>VALID - GENERATED</v>
      </c>
      <c r="I1552" s="10" t="s">
        <v>1834</v>
      </c>
      <c r="J1552" s="12">
        <f>'05-ISO Reference'!$B$20</f>
        <v>500</v>
      </c>
      <c r="K1552" s="12">
        <f>'05-ISO Reference'!$C$20</f>
        <v>707</v>
      </c>
      <c r="L1552" s="12">
        <f>'01-Process Controls'!$G$5</f>
        <v>3</v>
      </c>
      <c r="M1552" s="12">
        <f>ROUNDDOWN(J1552*'04-Variant Rules'!$D$26,0)</f>
        <v>250</v>
      </c>
      <c r="N1552" s="12">
        <f>ROUNDDOWN(K1552*'04-Variant Rules'!$E$26,0)</f>
        <v>530</v>
      </c>
      <c r="O1552" s="9">
        <v>21</v>
      </c>
    </row>
    <row r="1553" spans="1:15" ht="21" customHeight="1">
      <c r="A1553" s="9" t="s">
        <v>1856</v>
      </c>
      <c r="B1553" s="12">
        <f>IF(LEFT(H1553,5)="VALID",M1553,"")</f>
        <v>475</v>
      </c>
      <c r="C1553" s="12">
        <f>IF(LEFT(H1553,5)="VALID",N1553,"")</f>
        <v>671</v>
      </c>
      <c r="D1553" s="10" t="s">
        <v>82</v>
      </c>
      <c r="E1553" s="10" t="s">
        <v>1833</v>
      </c>
      <c r="F1553" s="10" t="s">
        <v>182</v>
      </c>
      <c r="G1553" s="10" t="s">
        <v>183</v>
      </c>
      <c r="H1553" s="11" t="str">
        <f>IF(OR(M1553&lt;=0,N1553&lt;=0),"SKIPPED - NONPOSITIVE",IF(OR(M1553&lt;L1553,N1553&lt;L1553),"SKIPPED - BELOW MIN",IF(OR(M1553&gt;J1553,N1553&gt;K1553),"SKIPPED - EXCEEDS BASE",IF(COUNTIFS($M$1531:M1552,M1553,$N$1531:N1552,N1553)&gt;0,"SKIPPED - DUPLICATE","VALID - GENERATED"))))</f>
        <v>VALID - GENERATED</v>
      </c>
      <c r="I1553" s="10" t="s">
        <v>1834</v>
      </c>
      <c r="J1553" s="12">
        <f>'05-ISO Reference'!$B$20</f>
        <v>500</v>
      </c>
      <c r="K1553" s="12">
        <f>'05-ISO Reference'!$C$20</f>
        <v>707</v>
      </c>
      <c r="L1553" s="12">
        <f>'01-Process Controls'!$G$5</f>
        <v>3</v>
      </c>
      <c r="M1553" s="12">
        <f>ROUNDDOWN(J1553*'04-Variant Rules'!$D$27,0)</f>
        <v>475</v>
      </c>
      <c r="N1553" s="12">
        <f>ROUNDDOWN(K1553*'04-Variant Rules'!$E$27,0)</f>
        <v>671</v>
      </c>
      <c r="O1553" s="9">
        <v>22</v>
      </c>
    </row>
    <row r="1554" spans="1:15" ht="21" customHeight="1">
      <c r="A1554" s="9" t="s">
        <v>1857</v>
      </c>
      <c r="B1554" s="12">
        <f>IF(LEFT(H1554,5)="VALID",M1554,"")</f>
        <v>450</v>
      </c>
      <c r="C1554" s="12">
        <f>IF(LEFT(H1554,5)="VALID",N1554,"")</f>
        <v>636</v>
      </c>
      <c r="D1554" s="10" t="s">
        <v>82</v>
      </c>
      <c r="E1554" s="10" t="s">
        <v>1833</v>
      </c>
      <c r="F1554" s="10" t="s">
        <v>185</v>
      </c>
      <c r="G1554" s="10" t="s">
        <v>186</v>
      </c>
      <c r="H1554" s="11" t="str">
        <f>IF(OR(M1554&lt;=0,N1554&lt;=0),"SKIPPED - NONPOSITIVE",IF(OR(M1554&lt;L1554,N1554&lt;L1554),"SKIPPED - BELOW MIN",IF(OR(M1554&gt;J1554,N1554&gt;K1554),"SKIPPED - EXCEEDS BASE",IF(COUNTIFS($M$1531:M1553,M1554,$N$1531:N1553,N1554)&gt;0,"SKIPPED - DUPLICATE","VALID - GENERATED"))))</f>
        <v>VALID - GENERATED</v>
      </c>
      <c r="I1554" s="10" t="s">
        <v>1834</v>
      </c>
      <c r="J1554" s="12">
        <f>'05-ISO Reference'!$B$20</f>
        <v>500</v>
      </c>
      <c r="K1554" s="12">
        <f>'05-ISO Reference'!$C$20</f>
        <v>707</v>
      </c>
      <c r="L1554" s="12">
        <f>'01-Process Controls'!$G$5</f>
        <v>3</v>
      </c>
      <c r="M1554" s="12">
        <f>ROUNDDOWN(J1554*'04-Variant Rules'!$D$28,0)</f>
        <v>450</v>
      </c>
      <c r="N1554" s="12">
        <f>ROUNDDOWN(K1554*'04-Variant Rules'!$E$28,0)</f>
        <v>636</v>
      </c>
      <c r="O1554" s="9">
        <v>23</v>
      </c>
    </row>
    <row r="1555" spans="1:15" ht="21" customHeight="1">
      <c r="A1555" s="9" t="s">
        <v>1858</v>
      </c>
      <c r="B1555" s="12">
        <f>IF(LEFT(H1555,5)="VALID",M1555,"")</f>
        <v>425</v>
      </c>
      <c r="C1555" s="12">
        <f>IF(LEFT(H1555,5)="VALID",N1555,"")</f>
        <v>600</v>
      </c>
      <c r="D1555" s="10" t="s">
        <v>82</v>
      </c>
      <c r="E1555" s="10" t="s">
        <v>1833</v>
      </c>
      <c r="F1555" s="10" t="s">
        <v>188</v>
      </c>
      <c r="G1555" s="10" t="s">
        <v>186</v>
      </c>
      <c r="H1555" s="11" t="str">
        <f>IF(OR(M1555&lt;=0,N1555&lt;=0),"SKIPPED - NONPOSITIVE",IF(OR(M1555&lt;L1555,N1555&lt;L1555),"SKIPPED - BELOW MIN",IF(OR(M1555&gt;J1555,N1555&gt;K1555),"SKIPPED - EXCEEDS BASE",IF(COUNTIFS($M$1531:M1554,M1555,$N$1531:N1554,N1555)&gt;0,"SKIPPED - DUPLICATE","VALID - GENERATED"))))</f>
        <v>VALID - GENERATED</v>
      </c>
      <c r="I1555" s="10" t="s">
        <v>1834</v>
      </c>
      <c r="J1555" s="12">
        <f>'05-ISO Reference'!$B$20</f>
        <v>500</v>
      </c>
      <c r="K1555" s="12">
        <f>'05-ISO Reference'!$C$20</f>
        <v>707</v>
      </c>
      <c r="L1555" s="12">
        <f>'01-Process Controls'!$G$5</f>
        <v>3</v>
      </c>
      <c r="M1555" s="12">
        <f>ROUNDDOWN(J1555*'04-Variant Rules'!$D$29,0)</f>
        <v>425</v>
      </c>
      <c r="N1555" s="12">
        <f>ROUNDDOWN(K1555*'04-Variant Rules'!$E$29,0)</f>
        <v>600</v>
      </c>
      <c r="O1555" s="9">
        <v>24</v>
      </c>
    </row>
    <row r="1556" spans="1:15" ht="21" customHeight="1">
      <c r="A1556" s="9" t="s">
        <v>1859</v>
      </c>
      <c r="B1556" s="12">
        <f>IF(LEFT(H1556,5)="VALID",M1556,"")</f>
        <v>400</v>
      </c>
      <c r="C1556" s="12">
        <f>IF(LEFT(H1556,5)="VALID",N1556,"")</f>
        <v>565</v>
      </c>
      <c r="D1556" s="10" t="s">
        <v>82</v>
      </c>
      <c r="E1556" s="10" t="s">
        <v>1833</v>
      </c>
      <c r="F1556" s="10" t="s">
        <v>190</v>
      </c>
      <c r="G1556" s="10" t="s">
        <v>186</v>
      </c>
      <c r="H1556" s="11" t="str">
        <f>IF(OR(M1556&lt;=0,N1556&lt;=0),"SKIPPED - NONPOSITIVE",IF(OR(M1556&lt;L1556,N1556&lt;L1556),"SKIPPED - BELOW MIN",IF(OR(M1556&gt;J1556,N1556&gt;K1556),"SKIPPED - EXCEEDS BASE",IF(COUNTIFS($M$1531:M1555,M1556,$N$1531:N1555,N1556)&gt;0,"SKIPPED - DUPLICATE","VALID - GENERATED"))))</f>
        <v>VALID - GENERATED</v>
      </c>
      <c r="I1556" s="10" t="s">
        <v>1834</v>
      </c>
      <c r="J1556" s="12">
        <f>'05-ISO Reference'!$B$20</f>
        <v>500</v>
      </c>
      <c r="K1556" s="12">
        <f>'05-ISO Reference'!$C$20</f>
        <v>707</v>
      </c>
      <c r="L1556" s="12">
        <f>'01-Process Controls'!$G$5</f>
        <v>3</v>
      </c>
      <c r="M1556" s="12">
        <f>ROUNDDOWN(J1556*'04-Variant Rules'!$D$30,0)</f>
        <v>400</v>
      </c>
      <c r="N1556" s="12">
        <f>ROUNDDOWN(K1556*'04-Variant Rules'!$E$30,0)</f>
        <v>565</v>
      </c>
      <c r="O1556" s="9">
        <v>25</v>
      </c>
    </row>
    <row r="1557" spans="1:15" ht="21" customHeight="1">
      <c r="A1557" s="9" t="s">
        <v>1860</v>
      </c>
      <c r="B1557" s="12">
        <f>IF(LEFT(H1557,5)="VALID",M1557,"")</f>
        <v>375</v>
      </c>
      <c r="C1557" s="12">
        <f>IF(LEFT(H1557,5)="VALID",N1557,"")</f>
        <v>530</v>
      </c>
      <c r="D1557" s="10" t="s">
        <v>82</v>
      </c>
      <c r="E1557" s="10" t="s">
        <v>1833</v>
      </c>
      <c r="F1557" s="10" t="s">
        <v>192</v>
      </c>
      <c r="G1557" s="10" t="s">
        <v>186</v>
      </c>
      <c r="H1557" s="11" t="str">
        <f>IF(OR(M1557&lt;=0,N1557&lt;=0),"SKIPPED - NONPOSITIVE",IF(OR(M1557&lt;L1557,N1557&lt;L1557),"SKIPPED - BELOW MIN",IF(OR(M1557&gt;J1557,N1557&gt;K1557),"SKIPPED - EXCEEDS BASE",IF(COUNTIFS($M$1531:M1556,M1557,$N$1531:N1556,N1557)&gt;0,"SKIPPED - DUPLICATE","VALID - GENERATED"))))</f>
        <v>VALID - GENERATED</v>
      </c>
      <c r="I1557" s="10" t="s">
        <v>1834</v>
      </c>
      <c r="J1557" s="12">
        <f>'05-ISO Reference'!$B$20</f>
        <v>500</v>
      </c>
      <c r="K1557" s="12">
        <f>'05-ISO Reference'!$C$20</f>
        <v>707</v>
      </c>
      <c r="L1557" s="12">
        <f>'01-Process Controls'!$G$5</f>
        <v>3</v>
      </c>
      <c r="M1557" s="12">
        <f>ROUNDDOWN(J1557*'04-Variant Rules'!$D$31,0)</f>
        <v>375</v>
      </c>
      <c r="N1557" s="12">
        <f>ROUNDDOWN(K1557*'04-Variant Rules'!$E$31,0)</f>
        <v>530</v>
      </c>
      <c r="O1557" s="9">
        <v>26</v>
      </c>
    </row>
    <row r="1558" spans="1:15" ht="21" customHeight="1">
      <c r="A1558" s="9" t="s">
        <v>1861</v>
      </c>
      <c r="B1558" s="12">
        <f>IF(LEFT(H1558,5)="VALID",M1558,"")</f>
        <v>350</v>
      </c>
      <c r="C1558" s="12">
        <f>IF(LEFT(H1558,5)="VALID",N1558,"")</f>
        <v>494</v>
      </c>
      <c r="D1558" s="10" t="s">
        <v>82</v>
      </c>
      <c r="E1558" s="10" t="s">
        <v>1833</v>
      </c>
      <c r="F1558" s="10" t="s">
        <v>194</v>
      </c>
      <c r="G1558" s="10" t="s">
        <v>186</v>
      </c>
      <c r="H1558" s="11" t="str">
        <f>IF(OR(M1558&lt;=0,N1558&lt;=0),"SKIPPED - NONPOSITIVE",IF(OR(M1558&lt;L1558,N1558&lt;L1558),"SKIPPED - BELOW MIN",IF(OR(M1558&gt;J1558,N1558&gt;K1558),"SKIPPED - EXCEEDS BASE",IF(COUNTIFS($M$1531:M1557,M1558,$N$1531:N1557,N1558)&gt;0,"SKIPPED - DUPLICATE","VALID - GENERATED"))))</f>
        <v>VALID - GENERATED</v>
      </c>
      <c r="I1558" s="10" t="s">
        <v>1834</v>
      </c>
      <c r="J1558" s="12">
        <f>'05-ISO Reference'!$B$20</f>
        <v>500</v>
      </c>
      <c r="K1558" s="12">
        <f>'05-ISO Reference'!$C$20</f>
        <v>707</v>
      </c>
      <c r="L1558" s="12">
        <f>'01-Process Controls'!$G$5</f>
        <v>3</v>
      </c>
      <c r="M1558" s="12">
        <f>ROUNDDOWN(J1558*'04-Variant Rules'!$D$32,0)</f>
        <v>350</v>
      </c>
      <c r="N1558" s="12">
        <f>ROUNDDOWN(K1558*'04-Variant Rules'!$E$32,0)</f>
        <v>494</v>
      </c>
      <c r="O1558" s="9">
        <v>27</v>
      </c>
    </row>
    <row r="1559" spans="1:15" ht="21" customHeight="1">
      <c r="A1559" s="9" t="s">
        <v>1862</v>
      </c>
      <c r="B1559" s="12">
        <f>IF(LEFT(H1559,5)="VALID",M1559,"")</f>
        <v>333</v>
      </c>
      <c r="C1559" s="12">
        <f>IF(LEFT(H1559,5)="VALID",N1559,"")</f>
        <v>471</v>
      </c>
      <c r="D1559" s="10" t="s">
        <v>82</v>
      </c>
      <c r="E1559" s="10" t="s">
        <v>1833</v>
      </c>
      <c r="F1559" s="10" t="s">
        <v>196</v>
      </c>
      <c r="G1559" s="10" t="s">
        <v>186</v>
      </c>
      <c r="H1559" s="11" t="str">
        <f>IF(OR(M1559&lt;=0,N1559&lt;=0),"SKIPPED - NONPOSITIVE",IF(OR(M1559&lt;L1559,N1559&lt;L1559),"SKIPPED - BELOW MIN",IF(OR(M1559&gt;J1559,N1559&gt;K1559),"SKIPPED - EXCEEDS BASE",IF(COUNTIFS($M$1531:M1558,M1559,$N$1531:N1558,N1559)&gt;0,"SKIPPED - DUPLICATE","VALID - GENERATED"))))</f>
        <v>VALID - GENERATED</v>
      </c>
      <c r="I1559" s="10" t="s">
        <v>1834</v>
      </c>
      <c r="J1559" s="12">
        <f>'05-ISO Reference'!$B$20</f>
        <v>500</v>
      </c>
      <c r="K1559" s="12">
        <f>'05-ISO Reference'!$C$20</f>
        <v>707</v>
      </c>
      <c r="L1559" s="12">
        <f>'01-Process Controls'!$G$5</f>
        <v>3</v>
      </c>
      <c r="M1559" s="12">
        <f>ROUNDDOWN(J1559*'04-Variant Rules'!$D$33,0)</f>
        <v>333</v>
      </c>
      <c r="N1559" s="12">
        <f>ROUNDDOWN(K1559*'04-Variant Rules'!$E$33,0)</f>
        <v>471</v>
      </c>
      <c r="O1559" s="9">
        <v>28</v>
      </c>
    </row>
    <row r="1560" spans="1:15" ht="21" customHeight="1">
      <c r="A1560" s="9" t="s">
        <v>1863</v>
      </c>
      <c r="B1560" s="12">
        <f>IF(LEFT(H1560,5)="VALID",M1560,"")</f>
        <v>300</v>
      </c>
      <c r="C1560" s="12">
        <f>IF(LEFT(H1560,5)="VALID",N1560,"")</f>
        <v>424</v>
      </c>
      <c r="D1560" s="10" t="s">
        <v>82</v>
      </c>
      <c r="E1560" s="10" t="s">
        <v>1833</v>
      </c>
      <c r="F1560" s="10" t="s">
        <v>198</v>
      </c>
      <c r="G1560" s="10" t="s">
        <v>186</v>
      </c>
      <c r="H1560" s="11" t="str">
        <f>IF(OR(M1560&lt;=0,N1560&lt;=0),"SKIPPED - NONPOSITIVE",IF(OR(M1560&lt;L1560,N1560&lt;L1560),"SKIPPED - BELOW MIN",IF(OR(M1560&gt;J1560,N1560&gt;K1560),"SKIPPED - EXCEEDS BASE",IF(COUNTIFS($M$1531:M1559,M1560,$N$1531:N1559,N1560)&gt;0,"SKIPPED - DUPLICATE","VALID - GENERATED"))))</f>
        <v>VALID - GENERATED</v>
      </c>
      <c r="I1560" s="10" t="s">
        <v>1834</v>
      </c>
      <c r="J1560" s="12">
        <f>'05-ISO Reference'!$B$20</f>
        <v>500</v>
      </c>
      <c r="K1560" s="12">
        <f>'05-ISO Reference'!$C$20</f>
        <v>707</v>
      </c>
      <c r="L1560" s="12">
        <f>'01-Process Controls'!$G$5</f>
        <v>3</v>
      </c>
      <c r="M1560" s="12">
        <f>ROUNDDOWN(J1560*'04-Variant Rules'!$D$34,0)</f>
        <v>300</v>
      </c>
      <c r="N1560" s="12">
        <f>ROUNDDOWN(K1560*'04-Variant Rules'!$E$34,0)</f>
        <v>424</v>
      </c>
      <c r="O1560" s="9">
        <v>29</v>
      </c>
    </row>
    <row r="1561" spans="1:15" ht="21" customHeight="1">
      <c r="A1561" s="9" t="s">
        <v>1864</v>
      </c>
      <c r="B1561" s="12">
        <f>IF(LEFT(H1561,5)="VALID",M1561,"")</f>
        <v>275</v>
      </c>
      <c r="C1561" s="12">
        <f>IF(LEFT(H1561,5)="VALID",N1561,"")</f>
        <v>388</v>
      </c>
      <c r="D1561" s="10" t="s">
        <v>82</v>
      </c>
      <c r="E1561" s="10" t="s">
        <v>1833</v>
      </c>
      <c r="F1561" s="10" t="s">
        <v>200</v>
      </c>
      <c r="G1561" s="10" t="s">
        <v>186</v>
      </c>
      <c r="H1561" s="11" t="str">
        <f>IF(OR(M1561&lt;=0,N1561&lt;=0),"SKIPPED - NONPOSITIVE",IF(OR(M1561&lt;L1561,N1561&lt;L1561),"SKIPPED - BELOW MIN",IF(OR(M1561&gt;J1561,N1561&gt;K1561),"SKIPPED - EXCEEDS BASE",IF(COUNTIFS($M$1531:M1560,M1561,$N$1531:N1560,N1561)&gt;0,"SKIPPED - DUPLICATE","VALID - GENERATED"))))</f>
        <v>VALID - GENERATED</v>
      </c>
      <c r="I1561" s="10" t="s">
        <v>1834</v>
      </c>
      <c r="J1561" s="12">
        <f>'05-ISO Reference'!$B$20</f>
        <v>500</v>
      </c>
      <c r="K1561" s="12">
        <f>'05-ISO Reference'!$C$20</f>
        <v>707</v>
      </c>
      <c r="L1561" s="12">
        <f>'01-Process Controls'!$G$5</f>
        <v>3</v>
      </c>
      <c r="M1561" s="12">
        <f>ROUNDDOWN(J1561*'04-Variant Rules'!$D$35,0)</f>
        <v>275</v>
      </c>
      <c r="N1561" s="12">
        <f>ROUNDDOWN(K1561*'04-Variant Rules'!$E$35,0)</f>
        <v>388</v>
      </c>
      <c r="O1561" s="9">
        <v>30</v>
      </c>
    </row>
    <row r="1562" spans="1:15" ht="21" customHeight="1">
      <c r="A1562" s="9" t="s">
        <v>1865</v>
      </c>
      <c r="B1562" s="12">
        <f>IF(LEFT(H1562,5)="VALID",M1562,"")</f>
        <v>225</v>
      </c>
      <c r="C1562" s="12">
        <f>IF(LEFT(H1562,5)="VALID",N1562,"")</f>
        <v>318</v>
      </c>
      <c r="D1562" s="10" t="s">
        <v>82</v>
      </c>
      <c r="E1562" s="10" t="s">
        <v>1833</v>
      </c>
      <c r="F1562" s="10" t="s">
        <v>202</v>
      </c>
      <c r="G1562" s="10" t="s">
        <v>186</v>
      </c>
      <c r="H1562" s="11" t="str">
        <f>IF(OR(M1562&lt;=0,N1562&lt;=0),"SKIPPED - NONPOSITIVE",IF(OR(M1562&lt;L1562,N1562&lt;L1562),"SKIPPED - BELOW MIN",IF(OR(M1562&gt;J1562,N1562&gt;K1562),"SKIPPED - EXCEEDS BASE",IF(COUNTIFS($M$1531:M1561,M1562,$N$1531:N1561,N1562)&gt;0,"SKIPPED - DUPLICATE","VALID - GENERATED"))))</f>
        <v>VALID - GENERATED</v>
      </c>
      <c r="I1562" s="10" t="s">
        <v>1834</v>
      </c>
      <c r="J1562" s="12">
        <f>'05-ISO Reference'!$B$20</f>
        <v>500</v>
      </c>
      <c r="K1562" s="12">
        <f>'05-ISO Reference'!$C$20</f>
        <v>707</v>
      </c>
      <c r="L1562" s="12">
        <f>'01-Process Controls'!$G$5</f>
        <v>3</v>
      </c>
      <c r="M1562" s="12">
        <f>ROUNDDOWN(J1562*'04-Variant Rules'!$D$36,0)</f>
        <v>225</v>
      </c>
      <c r="N1562" s="12">
        <f>ROUNDDOWN(K1562*'04-Variant Rules'!$E$36,0)</f>
        <v>318</v>
      </c>
      <c r="O1562" s="9">
        <v>31</v>
      </c>
    </row>
    <row r="1563" spans="1:15" ht="21" customHeight="1">
      <c r="A1563" s="9" t="s">
        <v>1866</v>
      </c>
      <c r="B1563" s="12">
        <f>IF(LEFT(H1563,5)="VALID",M1563,"")</f>
        <v>200</v>
      </c>
      <c r="C1563" s="12">
        <f>IF(LEFT(H1563,5)="VALID",N1563,"")</f>
        <v>282</v>
      </c>
      <c r="D1563" s="10" t="s">
        <v>82</v>
      </c>
      <c r="E1563" s="10" t="s">
        <v>1833</v>
      </c>
      <c r="F1563" s="10" t="s">
        <v>204</v>
      </c>
      <c r="G1563" s="10" t="s">
        <v>186</v>
      </c>
      <c r="H1563" s="11" t="str">
        <f>IF(OR(M1563&lt;=0,N1563&lt;=0),"SKIPPED - NONPOSITIVE",IF(OR(M1563&lt;L1563,N1563&lt;L1563),"SKIPPED - BELOW MIN",IF(OR(M1563&gt;J1563,N1563&gt;K1563),"SKIPPED - EXCEEDS BASE",IF(COUNTIFS($M$1531:M1562,M1563,$N$1531:N1562,N1563)&gt;0,"SKIPPED - DUPLICATE","VALID - GENERATED"))))</f>
        <v>VALID - GENERATED</v>
      </c>
      <c r="I1563" s="10" t="s">
        <v>1834</v>
      </c>
      <c r="J1563" s="12">
        <f>'05-ISO Reference'!$B$20</f>
        <v>500</v>
      </c>
      <c r="K1563" s="12">
        <f>'05-ISO Reference'!$C$20</f>
        <v>707</v>
      </c>
      <c r="L1563" s="12">
        <f>'01-Process Controls'!$G$5</f>
        <v>3</v>
      </c>
      <c r="M1563" s="12">
        <f>ROUNDDOWN(J1563*'04-Variant Rules'!$D$37,0)</f>
        <v>200</v>
      </c>
      <c r="N1563" s="12">
        <f>ROUNDDOWN(K1563*'04-Variant Rules'!$E$37,0)</f>
        <v>282</v>
      </c>
      <c r="O1563" s="9">
        <v>32</v>
      </c>
    </row>
    <row r="1564" spans="1:15" ht="21" customHeight="1">
      <c r="A1564" s="9" t="s">
        <v>1867</v>
      </c>
      <c r="B1564" s="12">
        <f>IF(LEFT(H1564,5)="VALID",M1564,"")</f>
        <v>175</v>
      </c>
      <c r="C1564" s="12">
        <f>IF(LEFT(H1564,5)="VALID",N1564,"")</f>
        <v>247</v>
      </c>
      <c r="D1564" s="10" t="s">
        <v>82</v>
      </c>
      <c r="E1564" s="10" t="s">
        <v>1833</v>
      </c>
      <c r="F1564" s="10" t="s">
        <v>206</v>
      </c>
      <c r="G1564" s="10" t="s">
        <v>186</v>
      </c>
      <c r="H1564" s="11" t="str">
        <f>IF(OR(M1564&lt;=0,N1564&lt;=0),"SKIPPED - NONPOSITIVE",IF(OR(M1564&lt;L1564,N1564&lt;L1564),"SKIPPED - BELOW MIN",IF(OR(M1564&gt;J1564,N1564&gt;K1564),"SKIPPED - EXCEEDS BASE",IF(COUNTIFS($M$1531:M1563,M1564,$N$1531:N1563,N1564)&gt;0,"SKIPPED - DUPLICATE","VALID - GENERATED"))))</f>
        <v>VALID - GENERATED</v>
      </c>
      <c r="I1564" s="10" t="s">
        <v>1834</v>
      </c>
      <c r="J1564" s="12">
        <f>'05-ISO Reference'!$B$20</f>
        <v>500</v>
      </c>
      <c r="K1564" s="12">
        <f>'05-ISO Reference'!$C$20</f>
        <v>707</v>
      </c>
      <c r="L1564" s="12">
        <f>'01-Process Controls'!$G$5</f>
        <v>3</v>
      </c>
      <c r="M1564" s="12">
        <f>ROUNDDOWN(J1564*'04-Variant Rules'!$D$38,0)</f>
        <v>175</v>
      </c>
      <c r="N1564" s="12">
        <f>ROUNDDOWN(K1564*'04-Variant Rules'!$E$38,0)</f>
        <v>247</v>
      </c>
      <c r="O1564" s="9">
        <v>33</v>
      </c>
    </row>
    <row r="1565" spans="1:15" ht="21" customHeight="1">
      <c r="A1565" s="9" t="s">
        <v>1868</v>
      </c>
      <c r="B1565" s="12">
        <f>IF(LEFT(H1565,5)="VALID",M1565,"")</f>
        <v>150</v>
      </c>
      <c r="C1565" s="12">
        <f>IF(LEFT(H1565,5)="VALID",N1565,"")</f>
        <v>212</v>
      </c>
      <c r="D1565" s="10" t="s">
        <v>82</v>
      </c>
      <c r="E1565" s="10" t="s">
        <v>1833</v>
      </c>
      <c r="F1565" s="10" t="s">
        <v>208</v>
      </c>
      <c r="G1565" s="10" t="s">
        <v>186</v>
      </c>
      <c r="H1565" s="11" t="str">
        <f>IF(OR(M1565&lt;=0,N1565&lt;=0),"SKIPPED - NONPOSITIVE",IF(OR(M1565&lt;L1565,N1565&lt;L1565),"SKIPPED - BELOW MIN",IF(OR(M1565&gt;J1565,N1565&gt;K1565),"SKIPPED - EXCEEDS BASE",IF(COUNTIFS($M$1531:M1564,M1565,$N$1531:N1564,N1565)&gt;0,"SKIPPED - DUPLICATE","VALID - GENERATED"))))</f>
        <v>VALID - GENERATED</v>
      </c>
      <c r="I1565" s="10" t="s">
        <v>1834</v>
      </c>
      <c r="J1565" s="12">
        <f>'05-ISO Reference'!$B$20</f>
        <v>500</v>
      </c>
      <c r="K1565" s="12">
        <f>'05-ISO Reference'!$C$20</f>
        <v>707</v>
      </c>
      <c r="L1565" s="12">
        <f>'01-Process Controls'!$G$5</f>
        <v>3</v>
      </c>
      <c r="M1565" s="12">
        <f>ROUNDDOWN(J1565*'04-Variant Rules'!$D$39,0)</f>
        <v>150</v>
      </c>
      <c r="N1565" s="12">
        <f>ROUNDDOWN(K1565*'04-Variant Rules'!$E$39,0)</f>
        <v>212</v>
      </c>
      <c r="O1565" s="9">
        <v>34</v>
      </c>
    </row>
    <row r="1566" spans="1:15" ht="21" customHeight="1">
      <c r="A1566" s="9" t="s">
        <v>1869</v>
      </c>
      <c r="B1566" s="12">
        <f>IF(LEFT(H1566,5)="VALID",M1566,"")</f>
        <v>100</v>
      </c>
      <c r="C1566" s="12">
        <f>IF(LEFT(H1566,5)="VALID",N1566,"")</f>
        <v>141</v>
      </c>
      <c r="D1566" s="10" t="s">
        <v>82</v>
      </c>
      <c r="E1566" s="10" t="s">
        <v>1833</v>
      </c>
      <c r="F1566" s="10" t="s">
        <v>210</v>
      </c>
      <c r="G1566" s="10" t="s">
        <v>186</v>
      </c>
      <c r="H1566" s="11" t="str">
        <f>IF(OR(M1566&lt;=0,N1566&lt;=0),"SKIPPED - NONPOSITIVE",IF(OR(M1566&lt;L1566,N1566&lt;L1566),"SKIPPED - BELOW MIN",IF(OR(M1566&gt;J1566,N1566&gt;K1566),"SKIPPED - EXCEEDS BASE",IF(COUNTIFS($M$1531:M1565,M1566,$N$1531:N1565,N1566)&gt;0,"SKIPPED - DUPLICATE","VALID - GENERATED"))))</f>
        <v>VALID - GENERATED</v>
      </c>
      <c r="I1566" s="10" t="s">
        <v>1834</v>
      </c>
      <c r="J1566" s="12">
        <f>'05-ISO Reference'!$B$20</f>
        <v>500</v>
      </c>
      <c r="K1566" s="12">
        <f>'05-ISO Reference'!$C$20</f>
        <v>707</v>
      </c>
      <c r="L1566" s="12">
        <f>'01-Process Controls'!$G$5</f>
        <v>3</v>
      </c>
      <c r="M1566" s="12">
        <f>ROUNDDOWN(J1566*'04-Variant Rules'!$D$40,0)</f>
        <v>100</v>
      </c>
      <c r="N1566" s="12">
        <f>ROUNDDOWN(K1566*'04-Variant Rules'!$E$40,0)</f>
        <v>141</v>
      </c>
      <c r="O1566" s="9">
        <v>35</v>
      </c>
    </row>
    <row r="1567" spans="1:15" ht="21" customHeight="1">
      <c r="A1567" s="9" t="s">
        <v>1870</v>
      </c>
      <c r="B1567" s="12">
        <f>IF(LEFT(H1567,5)="VALID",M1567,"")</f>
        <v>75</v>
      </c>
      <c r="C1567" s="12">
        <f>IF(LEFT(H1567,5)="VALID",N1567,"")</f>
        <v>106</v>
      </c>
      <c r="D1567" s="10" t="s">
        <v>82</v>
      </c>
      <c r="E1567" s="10" t="s">
        <v>1833</v>
      </c>
      <c r="F1567" s="10" t="s">
        <v>212</v>
      </c>
      <c r="G1567" s="10" t="s">
        <v>213</v>
      </c>
      <c r="H1567" s="11" t="str">
        <f>IF(OR(M1567&lt;=0,N1567&lt;=0),"SKIPPED - NONPOSITIVE",IF(OR(M1567&lt;L1567,N1567&lt;L1567),"SKIPPED - BELOW MIN",IF(OR(M1567&gt;J1567,N1567&gt;K1567),"SKIPPED - EXCEEDS BASE",IF(COUNTIFS($M$1531:M1566,M1567,$N$1531:N1566,N1567)&gt;0,"SKIPPED - DUPLICATE","VALID - GENERATED"))))</f>
        <v>VALID - GENERATED</v>
      </c>
      <c r="I1567" s="10" t="s">
        <v>1834</v>
      </c>
      <c r="J1567" s="12">
        <f>'05-ISO Reference'!$B$20</f>
        <v>500</v>
      </c>
      <c r="K1567" s="12">
        <f>'05-ISO Reference'!$C$20</f>
        <v>707</v>
      </c>
      <c r="L1567" s="12">
        <f>'01-Process Controls'!$G$5</f>
        <v>3</v>
      </c>
      <c r="M1567" s="12">
        <f>ROUNDDOWN(J1567*'04-Variant Rules'!$D$41,0)</f>
        <v>75</v>
      </c>
      <c r="N1567" s="12">
        <f>ROUNDDOWN(K1567*'04-Variant Rules'!$E$41,0)</f>
        <v>106</v>
      </c>
      <c r="O1567" s="9">
        <v>36</v>
      </c>
    </row>
    <row r="1568" spans="1:15" ht="21" customHeight="1">
      <c r="A1568" s="9" t="s">
        <v>1871</v>
      </c>
      <c r="B1568" s="12">
        <f>IF(LEFT(H1568,5)="VALID",M1568,"")</f>
        <v>500</v>
      </c>
      <c r="C1568" s="12">
        <f>IF(LEFT(H1568,5)="VALID",N1568,"")</f>
        <v>500</v>
      </c>
      <c r="D1568" s="10" t="s">
        <v>82</v>
      </c>
      <c r="E1568" s="10" t="s">
        <v>1833</v>
      </c>
      <c r="F1568" s="10" t="s">
        <v>215</v>
      </c>
      <c r="G1568" s="10" t="s">
        <v>216</v>
      </c>
      <c r="H1568" s="11" t="str">
        <f>IF(OR(M1568&lt;=0,N1568&lt;=0),"SKIPPED - NONPOSITIVE",IF(OR(M1568&lt;L1568,N1568&lt;L1568),"SKIPPED - BELOW MIN",IF(OR(M1568&gt;J1568,N1568&gt;K1568),"SKIPPED - EXCEEDS BASE",IF(COUNTIFS($M$1531:M1567,M1568,$N$1531:N1567,N1568)&gt;0,"SKIPPED - DUPLICATE","VALID - GENERATED"))))</f>
        <v>VALID - GENERATED</v>
      </c>
      <c r="I1568" s="10" t="s">
        <v>1834</v>
      </c>
      <c r="J1568" s="12">
        <f>'05-ISO Reference'!$B$20</f>
        <v>500</v>
      </c>
      <c r="K1568" s="12">
        <f>'05-ISO Reference'!$C$20</f>
        <v>707</v>
      </c>
      <c r="L1568" s="12">
        <f>'01-Process Controls'!$G$5</f>
        <v>3</v>
      </c>
      <c r="M1568" s="12">
        <f>ROUNDDOWN(MIN(J1568,K1568)*'04-Variant Rules'!$D$42,0)</f>
        <v>500</v>
      </c>
      <c r="N1568" s="12">
        <f>ROUNDDOWN(MIN(J1568,K1568)*'04-Variant Rules'!$D$42,0)</f>
        <v>500</v>
      </c>
      <c r="O1568" s="9">
        <v>37</v>
      </c>
    </row>
    <row r="1569" spans="1:15" ht="21" customHeight="1">
      <c r="A1569" s="9" t="s">
        <v>1872</v>
      </c>
      <c r="B1569" s="12">
        <f>IF(LEFT(H1569,5)="VALID",M1569,"")</f>
        <v>450</v>
      </c>
      <c r="C1569" s="12">
        <f>IF(LEFT(H1569,5)="VALID",N1569,"")</f>
        <v>450</v>
      </c>
      <c r="D1569" s="10" t="s">
        <v>82</v>
      </c>
      <c r="E1569" s="10" t="s">
        <v>1833</v>
      </c>
      <c r="F1569" s="10" t="s">
        <v>218</v>
      </c>
      <c r="G1569" s="10" t="s">
        <v>219</v>
      </c>
      <c r="H1569" s="11" t="str">
        <f>IF(OR(M1569&lt;=0,N1569&lt;=0),"SKIPPED - NONPOSITIVE",IF(OR(M1569&lt;L1569,N1569&lt;L1569),"SKIPPED - BELOW MIN",IF(OR(M1569&gt;J1569,N1569&gt;K1569),"SKIPPED - EXCEEDS BASE",IF(COUNTIFS($M$1531:M1568,M1569,$N$1531:N1568,N1569)&gt;0,"SKIPPED - DUPLICATE","VALID - GENERATED"))))</f>
        <v>VALID - GENERATED</v>
      </c>
      <c r="I1569" s="10" t="s">
        <v>1834</v>
      </c>
      <c r="J1569" s="12">
        <f>'05-ISO Reference'!$B$20</f>
        <v>500</v>
      </c>
      <c r="K1569" s="12">
        <f>'05-ISO Reference'!$C$20</f>
        <v>707</v>
      </c>
      <c r="L1569" s="12">
        <f>'01-Process Controls'!$G$5</f>
        <v>3</v>
      </c>
      <c r="M1569" s="12">
        <f>ROUNDDOWN(MIN(J1569,K1569)*'04-Variant Rules'!$D$43,0)</f>
        <v>450</v>
      </c>
      <c r="N1569" s="12">
        <f>ROUNDDOWN(MIN(J1569,K1569)*'04-Variant Rules'!$D$43,0)</f>
        <v>450</v>
      </c>
      <c r="O1569" s="9">
        <v>38</v>
      </c>
    </row>
    <row r="1570" spans="1:15" ht="21" customHeight="1">
      <c r="A1570" s="9" t="s">
        <v>1873</v>
      </c>
      <c r="B1570" s="12">
        <f>IF(LEFT(H1570,5)="VALID",M1570,"")</f>
        <v>400</v>
      </c>
      <c r="C1570" s="12">
        <f>IF(LEFT(H1570,5)="VALID",N1570,"")</f>
        <v>400</v>
      </c>
      <c r="D1570" s="10" t="s">
        <v>82</v>
      </c>
      <c r="E1570" s="10" t="s">
        <v>1833</v>
      </c>
      <c r="F1570" s="10" t="s">
        <v>221</v>
      </c>
      <c r="G1570" s="10" t="s">
        <v>219</v>
      </c>
      <c r="H1570" s="11" t="str">
        <f>IF(OR(M1570&lt;=0,N1570&lt;=0),"SKIPPED - NONPOSITIVE",IF(OR(M1570&lt;L1570,N1570&lt;L1570),"SKIPPED - BELOW MIN",IF(OR(M1570&gt;J1570,N1570&gt;K1570),"SKIPPED - EXCEEDS BASE",IF(COUNTIFS($M$1531:M1569,M1570,$N$1531:N1569,N1570)&gt;0,"SKIPPED - DUPLICATE","VALID - GENERATED"))))</f>
        <v>VALID - GENERATED</v>
      </c>
      <c r="I1570" s="10" t="s">
        <v>1834</v>
      </c>
      <c r="J1570" s="12">
        <f>'05-ISO Reference'!$B$20</f>
        <v>500</v>
      </c>
      <c r="K1570" s="12">
        <f>'05-ISO Reference'!$C$20</f>
        <v>707</v>
      </c>
      <c r="L1570" s="12">
        <f>'01-Process Controls'!$G$5</f>
        <v>3</v>
      </c>
      <c r="M1570" s="12">
        <f>ROUNDDOWN(MIN(J1570,K1570)*'04-Variant Rules'!$D$44,0)</f>
        <v>400</v>
      </c>
      <c r="N1570" s="12">
        <f>ROUNDDOWN(MIN(J1570,K1570)*'04-Variant Rules'!$D$44,0)</f>
        <v>400</v>
      </c>
      <c r="O1570" s="9">
        <v>39</v>
      </c>
    </row>
    <row r="1571" spans="1:15" ht="21" customHeight="1">
      <c r="A1571" s="9" t="s">
        <v>1874</v>
      </c>
      <c r="B1571" s="12">
        <f>IF(LEFT(H1571,5)="VALID",M1571,"")</f>
        <v>375</v>
      </c>
      <c r="C1571" s="12">
        <f>IF(LEFT(H1571,5)="VALID",N1571,"")</f>
        <v>375</v>
      </c>
      <c r="D1571" s="10" t="s">
        <v>82</v>
      </c>
      <c r="E1571" s="10" t="s">
        <v>1833</v>
      </c>
      <c r="F1571" s="10" t="s">
        <v>223</v>
      </c>
      <c r="G1571" s="10" t="s">
        <v>219</v>
      </c>
      <c r="H1571" s="11" t="str">
        <f>IF(OR(M1571&lt;=0,N1571&lt;=0),"SKIPPED - NONPOSITIVE",IF(OR(M1571&lt;L1571,N1571&lt;L1571),"SKIPPED - BELOW MIN",IF(OR(M1571&gt;J1571,N1571&gt;K1571),"SKIPPED - EXCEEDS BASE",IF(COUNTIFS($M$1531:M1570,M1571,$N$1531:N1570,N1571)&gt;0,"SKIPPED - DUPLICATE","VALID - GENERATED"))))</f>
        <v>VALID - GENERATED</v>
      </c>
      <c r="I1571" s="10" t="s">
        <v>1834</v>
      </c>
      <c r="J1571" s="12">
        <f>'05-ISO Reference'!$B$20</f>
        <v>500</v>
      </c>
      <c r="K1571" s="12">
        <f>'05-ISO Reference'!$C$20</f>
        <v>707</v>
      </c>
      <c r="L1571" s="12">
        <f>'01-Process Controls'!$G$5</f>
        <v>3</v>
      </c>
      <c r="M1571" s="12">
        <f>ROUNDDOWN(MIN(J1571,K1571)*'04-Variant Rules'!$D$45,0)</f>
        <v>375</v>
      </c>
      <c r="N1571" s="12">
        <f>ROUNDDOWN(MIN(J1571,K1571)*'04-Variant Rules'!$D$45,0)</f>
        <v>375</v>
      </c>
      <c r="O1571" s="9">
        <v>40</v>
      </c>
    </row>
    <row r="1572" spans="1:15" ht="21" customHeight="1">
      <c r="A1572" s="9" t="s">
        <v>1875</v>
      </c>
      <c r="B1572" s="12">
        <f>IF(LEFT(H1572,5)="VALID",M1572,"")</f>
        <v>333</v>
      </c>
      <c r="C1572" s="12">
        <f>IF(LEFT(H1572,5)="VALID",N1572,"")</f>
        <v>333</v>
      </c>
      <c r="D1572" s="10" t="s">
        <v>82</v>
      </c>
      <c r="E1572" s="10" t="s">
        <v>1833</v>
      </c>
      <c r="F1572" s="10" t="s">
        <v>225</v>
      </c>
      <c r="G1572" s="10" t="s">
        <v>219</v>
      </c>
      <c r="H1572" s="11" t="str">
        <f>IF(OR(M1572&lt;=0,N1572&lt;=0),"SKIPPED - NONPOSITIVE",IF(OR(M1572&lt;L1572,N1572&lt;L1572),"SKIPPED - BELOW MIN",IF(OR(M1572&gt;J1572,N1572&gt;K1572),"SKIPPED - EXCEEDS BASE",IF(COUNTIFS($M$1531:M1571,M1572,$N$1531:N1571,N1572)&gt;0,"SKIPPED - DUPLICATE","VALID - GENERATED"))))</f>
        <v>VALID - GENERATED</v>
      </c>
      <c r="I1572" s="10" t="s">
        <v>1834</v>
      </c>
      <c r="J1572" s="12">
        <f>'05-ISO Reference'!$B$20</f>
        <v>500</v>
      </c>
      <c r="K1572" s="12">
        <f>'05-ISO Reference'!$C$20</f>
        <v>707</v>
      </c>
      <c r="L1572" s="12">
        <f>'01-Process Controls'!$G$5</f>
        <v>3</v>
      </c>
      <c r="M1572" s="12">
        <f>ROUNDDOWN(MIN(J1572,K1572)*'04-Variant Rules'!$D$46,0)</f>
        <v>333</v>
      </c>
      <c r="N1572" s="12">
        <f>ROUNDDOWN(MIN(J1572,K1572)*'04-Variant Rules'!$D$46,0)</f>
        <v>333</v>
      </c>
      <c r="O1572" s="9">
        <v>41</v>
      </c>
    </row>
    <row r="1573" spans="1:15" ht="21" customHeight="1">
      <c r="A1573" s="9" t="s">
        <v>1876</v>
      </c>
      <c r="B1573" s="12">
        <f>IF(LEFT(H1573,5)="VALID",M1573,"")</f>
        <v>300</v>
      </c>
      <c r="C1573" s="12">
        <f>IF(LEFT(H1573,5)="VALID",N1573,"")</f>
        <v>300</v>
      </c>
      <c r="D1573" s="10" t="s">
        <v>82</v>
      </c>
      <c r="E1573" s="10" t="s">
        <v>1833</v>
      </c>
      <c r="F1573" s="10" t="s">
        <v>227</v>
      </c>
      <c r="G1573" s="10" t="s">
        <v>219</v>
      </c>
      <c r="H1573" s="11" t="str">
        <f>IF(OR(M1573&lt;=0,N1573&lt;=0),"SKIPPED - NONPOSITIVE",IF(OR(M1573&lt;L1573,N1573&lt;L1573),"SKIPPED - BELOW MIN",IF(OR(M1573&gt;J1573,N1573&gt;K1573),"SKIPPED - EXCEEDS BASE",IF(COUNTIFS($M$1531:M1572,M1573,$N$1531:N1572,N1573)&gt;0,"SKIPPED - DUPLICATE","VALID - GENERATED"))))</f>
        <v>VALID - GENERATED</v>
      </c>
      <c r="I1573" s="10" t="s">
        <v>1834</v>
      </c>
      <c r="J1573" s="12">
        <f>'05-ISO Reference'!$B$20</f>
        <v>500</v>
      </c>
      <c r="K1573" s="12">
        <f>'05-ISO Reference'!$C$20</f>
        <v>707</v>
      </c>
      <c r="L1573" s="12">
        <f>'01-Process Controls'!$G$5</f>
        <v>3</v>
      </c>
      <c r="M1573" s="12">
        <f>ROUNDDOWN(MIN(J1573,K1573)*'04-Variant Rules'!$D$47,0)</f>
        <v>300</v>
      </c>
      <c r="N1573" s="12">
        <f>ROUNDDOWN(MIN(J1573,K1573)*'04-Variant Rules'!$D$47,0)</f>
        <v>300</v>
      </c>
      <c r="O1573" s="9">
        <v>42</v>
      </c>
    </row>
    <row r="1574" spans="1:15" ht="21" customHeight="1">
      <c r="A1574" s="9" t="s">
        <v>1877</v>
      </c>
      <c r="B1574" s="12">
        <f>IF(LEFT(H1574,5)="VALID",M1574,"")</f>
        <v>250</v>
      </c>
      <c r="C1574" s="12">
        <f>IF(LEFT(H1574,5)="VALID",N1574,"")</f>
        <v>250</v>
      </c>
      <c r="D1574" s="10" t="s">
        <v>82</v>
      </c>
      <c r="E1574" s="10" t="s">
        <v>1833</v>
      </c>
      <c r="F1574" s="10" t="s">
        <v>229</v>
      </c>
      <c r="G1574" s="10" t="s">
        <v>219</v>
      </c>
      <c r="H1574" s="11" t="str">
        <f>IF(OR(M1574&lt;=0,N1574&lt;=0),"SKIPPED - NONPOSITIVE",IF(OR(M1574&lt;L1574,N1574&lt;L1574),"SKIPPED - BELOW MIN",IF(OR(M1574&gt;J1574,N1574&gt;K1574),"SKIPPED - EXCEEDS BASE",IF(COUNTIFS($M$1531:M1573,M1574,$N$1531:N1573,N1574)&gt;0,"SKIPPED - DUPLICATE","VALID - GENERATED"))))</f>
        <v>VALID - GENERATED</v>
      </c>
      <c r="I1574" s="10" t="s">
        <v>1834</v>
      </c>
      <c r="J1574" s="12">
        <f>'05-ISO Reference'!$B$20</f>
        <v>500</v>
      </c>
      <c r="K1574" s="12">
        <f>'05-ISO Reference'!$C$20</f>
        <v>707</v>
      </c>
      <c r="L1574" s="12">
        <f>'01-Process Controls'!$G$5</f>
        <v>3</v>
      </c>
      <c r="M1574" s="12">
        <f>ROUNDDOWN(MIN(J1574,K1574)*'04-Variant Rules'!$D$48,0)</f>
        <v>250</v>
      </c>
      <c r="N1574" s="12">
        <f>ROUNDDOWN(MIN(J1574,K1574)*'04-Variant Rules'!$D$48,0)</f>
        <v>250</v>
      </c>
      <c r="O1574" s="9">
        <v>43</v>
      </c>
    </row>
    <row r="1575" spans="1:15" ht="21" customHeight="1">
      <c r="A1575" s="9" t="s">
        <v>1878</v>
      </c>
      <c r="B1575" s="12">
        <f>IF(LEFT(H1575,5)="VALID",M1575,"")</f>
        <v>200</v>
      </c>
      <c r="C1575" s="12">
        <f>IF(LEFT(H1575,5)="VALID",N1575,"")</f>
        <v>200</v>
      </c>
      <c r="D1575" s="10" t="s">
        <v>82</v>
      </c>
      <c r="E1575" s="10" t="s">
        <v>1833</v>
      </c>
      <c r="F1575" s="10" t="s">
        <v>231</v>
      </c>
      <c r="G1575" s="10" t="s">
        <v>219</v>
      </c>
      <c r="H1575" s="11" t="str">
        <f>IF(OR(M1575&lt;=0,N1575&lt;=0),"SKIPPED - NONPOSITIVE",IF(OR(M1575&lt;L1575,N1575&lt;L1575),"SKIPPED - BELOW MIN",IF(OR(M1575&gt;J1575,N1575&gt;K1575),"SKIPPED - EXCEEDS BASE",IF(COUNTIFS($M$1531:M1574,M1575,$N$1531:N1574,N1575)&gt;0,"SKIPPED - DUPLICATE","VALID - GENERATED"))))</f>
        <v>VALID - GENERATED</v>
      </c>
      <c r="I1575" s="10" t="s">
        <v>1834</v>
      </c>
      <c r="J1575" s="12">
        <f>'05-ISO Reference'!$B$20</f>
        <v>500</v>
      </c>
      <c r="K1575" s="12">
        <f>'05-ISO Reference'!$C$20</f>
        <v>707</v>
      </c>
      <c r="L1575" s="12">
        <f>'01-Process Controls'!$G$5</f>
        <v>3</v>
      </c>
      <c r="M1575" s="12">
        <f>ROUNDDOWN(MIN(J1575,K1575)*'04-Variant Rules'!$D$49,0)</f>
        <v>200</v>
      </c>
      <c r="N1575" s="12">
        <f>ROUNDDOWN(MIN(J1575,K1575)*'04-Variant Rules'!$D$49,0)</f>
        <v>200</v>
      </c>
      <c r="O1575" s="9">
        <v>44</v>
      </c>
    </row>
    <row r="1576" spans="1:15" ht="21" customHeight="1">
      <c r="A1576" s="9" t="s">
        <v>1879</v>
      </c>
      <c r="B1576" s="12">
        <f>IF(LEFT(H1576,5)="VALID",M1576,"")</f>
        <v>166</v>
      </c>
      <c r="C1576" s="12">
        <f>IF(LEFT(H1576,5)="VALID",N1576,"")</f>
        <v>166</v>
      </c>
      <c r="D1576" s="10" t="s">
        <v>82</v>
      </c>
      <c r="E1576" s="10" t="s">
        <v>1833</v>
      </c>
      <c r="F1576" s="10" t="s">
        <v>233</v>
      </c>
      <c r="G1576" s="10" t="s">
        <v>219</v>
      </c>
      <c r="H1576" s="11" t="str">
        <f>IF(OR(M1576&lt;=0,N1576&lt;=0),"SKIPPED - NONPOSITIVE",IF(OR(M1576&lt;L1576,N1576&lt;L1576),"SKIPPED - BELOW MIN",IF(OR(M1576&gt;J1576,N1576&gt;K1576),"SKIPPED - EXCEEDS BASE",IF(COUNTIFS($M$1531:M1575,M1576,$N$1531:N1575,N1576)&gt;0,"SKIPPED - DUPLICATE","VALID - GENERATED"))))</f>
        <v>VALID - GENERATED</v>
      </c>
      <c r="I1576" s="10" t="s">
        <v>1834</v>
      </c>
      <c r="J1576" s="12">
        <f>'05-ISO Reference'!$B$20</f>
        <v>500</v>
      </c>
      <c r="K1576" s="12">
        <f>'05-ISO Reference'!$C$20</f>
        <v>707</v>
      </c>
      <c r="L1576" s="12">
        <f>'01-Process Controls'!$G$5</f>
        <v>3</v>
      </c>
      <c r="M1576" s="12">
        <f>ROUNDDOWN(MIN(J1576,K1576)*'04-Variant Rules'!$D$50,0)</f>
        <v>166</v>
      </c>
      <c r="N1576" s="12">
        <f>ROUNDDOWN(MIN(J1576,K1576)*'04-Variant Rules'!$D$50,0)</f>
        <v>166</v>
      </c>
      <c r="O1576" s="9">
        <v>45</v>
      </c>
    </row>
    <row r="1577" spans="1:15" ht="21" customHeight="1">
      <c r="A1577" s="9" t="s">
        <v>1880</v>
      </c>
      <c r="B1577" s="12">
        <f>IF(LEFT(H1577,5)="VALID",M1577,"")</f>
        <v>125</v>
      </c>
      <c r="C1577" s="12">
        <f>IF(LEFT(H1577,5)="VALID",N1577,"")</f>
        <v>125</v>
      </c>
      <c r="D1577" s="10" t="s">
        <v>82</v>
      </c>
      <c r="E1577" s="10" t="s">
        <v>1833</v>
      </c>
      <c r="F1577" s="10" t="s">
        <v>235</v>
      </c>
      <c r="G1577" s="10" t="s">
        <v>219</v>
      </c>
      <c r="H1577" s="11" t="str">
        <f>IF(OR(M1577&lt;=0,N1577&lt;=0),"SKIPPED - NONPOSITIVE",IF(OR(M1577&lt;L1577,N1577&lt;L1577),"SKIPPED - BELOW MIN",IF(OR(M1577&gt;J1577,N1577&gt;K1577),"SKIPPED - EXCEEDS BASE",IF(COUNTIFS($M$1531:M1576,M1577,$N$1531:N1576,N1577)&gt;0,"SKIPPED - DUPLICATE","VALID - GENERATED"))))</f>
        <v>VALID - GENERATED</v>
      </c>
      <c r="I1577" s="10" t="s">
        <v>1834</v>
      </c>
      <c r="J1577" s="12">
        <f>'05-ISO Reference'!$B$20</f>
        <v>500</v>
      </c>
      <c r="K1577" s="12">
        <f>'05-ISO Reference'!$C$20</f>
        <v>707</v>
      </c>
      <c r="L1577" s="12">
        <f>'01-Process Controls'!$G$5</f>
        <v>3</v>
      </c>
      <c r="M1577" s="12">
        <f>ROUNDDOWN(MIN(J1577,K1577)*'04-Variant Rules'!$D$51,0)</f>
        <v>125</v>
      </c>
      <c r="N1577" s="12">
        <f>ROUNDDOWN(MIN(J1577,K1577)*'04-Variant Rules'!$D$51,0)</f>
        <v>125</v>
      </c>
      <c r="O1577" s="9">
        <v>46</v>
      </c>
    </row>
    <row r="1578" spans="1:15" ht="21" customHeight="1">
      <c r="A1578" s="9" t="s">
        <v>1881</v>
      </c>
      <c r="B1578" s="12">
        <f>IF(LEFT(H1578,5)="VALID",M1578,"")</f>
        <v>100</v>
      </c>
      <c r="C1578" s="12">
        <f>IF(LEFT(H1578,5)="VALID",N1578,"")</f>
        <v>100</v>
      </c>
      <c r="D1578" s="10" t="s">
        <v>82</v>
      </c>
      <c r="E1578" s="10" t="s">
        <v>1833</v>
      </c>
      <c r="F1578" s="10" t="s">
        <v>237</v>
      </c>
      <c r="G1578" s="10" t="s">
        <v>219</v>
      </c>
      <c r="H1578" s="11" t="str">
        <f>IF(OR(M1578&lt;=0,N1578&lt;=0),"SKIPPED - NONPOSITIVE",IF(OR(M1578&lt;L1578,N1578&lt;L1578),"SKIPPED - BELOW MIN",IF(OR(M1578&gt;J1578,N1578&gt;K1578),"SKIPPED - EXCEEDS BASE",IF(COUNTIFS($M$1531:M1577,M1578,$N$1531:N1577,N1578)&gt;0,"SKIPPED - DUPLICATE","VALID - GENERATED"))))</f>
        <v>VALID - GENERATED</v>
      </c>
      <c r="I1578" s="10" t="s">
        <v>1834</v>
      </c>
      <c r="J1578" s="12">
        <f>'05-ISO Reference'!$B$20</f>
        <v>500</v>
      </c>
      <c r="K1578" s="12">
        <f>'05-ISO Reference'!$C$20</f>
        <v>707</v>
      </c>
      <c r="L1578" s="12">
        <f>'01-Process Controls'!$G$5</f>
        <v>3</v>
      </c>
      <c r="M1578" s="12">
        <f>ROUNDDOWN(MIN(J1578,K1578)*'04-Variant Rules'!$D$52,0)</f>
        <v>100</v>
      </c>
      <c r="N1578" s="12">
        <f>ROUNDDOWN(MIN(J1578,K1578)*'04-Variant Rules'!$D$52,0)</f>
        <v>100</v>
      </c>
      <c r="O1578" s="9">
        <v>47</v>
      </c>
    </row>
    <row r="1579" spans="1:15" ht="21" customHeight="1">
      <c r="A1579" s="9" t="s">
        <v>1882</v>
      </c>
      <c r="B1579" s="12">
        <f>IF(LEFT(H1579,5)="VALID",M1579,"")</f>
        <v>500</v>
      </c>
      <c r="C1579" s="12">
        <f>IF(LEFT(H1579,5)="VALID",N1579,"")</f>
        <v>375</v>
      </c>
      <c r="D1579" s="10" t="s">
        <v>82</v>
      </c>
      <c r="E1579" s="10" t="s">
        <v>1833</v>
      </c>
      <c r="F1579" s="10" t="s">
        <v>239</v>
      </c>
      <c r="G1579" s="10" t="s">
        <v>240</v>
      </c>
      <c r="H1579" s="11" t="str">
        <f>IF(OR(M1579&lt;=0,N1579&lt;=0),"SKIPPED - NONPOSITIVE",IF(OR(M1579&lt;L1579,N1579&lt;L1579),"SKIPPED - BELOW MIN",IF(OR(M1579&gt;J1579,N1579&gt;K1579),"SKIPPED - EXCEEDS BASE",IF(COUNTIFS($M$1531:M1578,M1579,$N$1531:N1578,N1579)&gt;0,"SKIPPED - DUPLICATE","VALID - GENERATED"))))</f>
        <v>VALID - GENERATED</v>
      </c>
      <c r="I1579" s="10" t="s">
        <v>1834</v>
      </c>
      <c r="J1579" s="12">
        <f>'05-ISO Reference'!$B$20</f>
        <v>500</v>
      </c>
      <c r="K1579" s="12">
        <f>'05-ISO Reference'!$C$20</f>
        <v>707</v>
      </c>
      <c r="L1579" s="12">
        <f>'01-Process Controls'!$G$5</f>
        <v>3</v>
      </c>
      <c r="M1579" s="12">
        <f>ROUNDDOWN(MIN(J1579,K1579*'04-Variant Rules'!$D$53),0)</f>
        <v>500</v>
      </c>
      <c r="N1579" s="12">
        <f>ROUNDDOWN(M1579/'04-Variant Rules'!$D$53,0)</f>
        <v>375</v>
      </c>
      <c r="O1579" s="9">
        <v>48</v>
      </c>
    </row>
    <row r="1580" spans="1:15" ht="21" customHeight="1">
      <c r="A1580" s="9" t="s">
        <v>1883</v>
      </c>
      <c r="B1580" s="12">
        <f>IF(LEFT(H1580,5)="VALID",M1580,"")</f>
        <v>500</v>
      </c>
      <c r="C1580" s="12">
        <f>IF(LEFT(H1580,5)="VALID",N1580,"")</f>
        <v>666</v>
      </c>
      <c r="D1580" s="10" t="s">
        <v>82</v>
      </c>
      <c r="E1580" s="10" t="s">
        <v>1833</v>
      </c>
      <c r="F1580" s="10" t="s">
        <v>242</v>
      </c>
      <c r="G1580" s="10" t="s">
        <v>243</v>
      </c>
      <c r="H1580" s="11" t="str">
        <f>IF(OR(M1580&lt;=0,N1580&lt;=0),"SKIPPED - NONPOSITIVE",IF(OR(M1580&lt;L1580,N1580&lt;L1580),"SKIPPED - BELOW MIN",IF(OR(M1580&gt;J1580,N1580&gt;K1580),"SKIPPED - EXCEEDS BASE",IF(COUNTIFS($M$1531:M1579,M1580,$N$1531:N1579,N1580)&gt;0,"SKIPPED - DUPLICATE","VALID - GENERATED"))))</f>
        <v>VALID - GENERATED</v>
      </c>
      <c r="I1580" s="10" t="s">
        <v>1834</v>
      </c>
      <c r="J1580" s="12">
        <f>'05-ISO Reference'!$B$20</f>
        <v>500</v>
      </c>
      <c r="K1580" s="12">
        <f>'05-ISO Reference'!$C$20</f>
        <v>707</v>
      </c>
      <c r="L1580" s="12">
        <f>'01-Process Controls'!$G$5</f>
        <v>3</v>
      </c>
      <c r="M1580" s="12">
        <f>ROUNDDOWN(MIN(J1580,K1580*'04-Variant Rules'!$D$54),0)</f>
        <v>500</v>
      </c>
      <c r="N1580" s="12">
        <f>ROUNDDOWN(M1580/'04-Variant Rules'!$D$54,0)</f>
        <v>666</v>
      </c>
      <c r="O1580" s="9">
        <v>49</v>
      </c>
    </row>
    <row r="1581" spans="1:15" ht="21" customHeight="1">
      <c r="A1581" s="9" t="s">
        <v>1884</v>
      </c>
      <c r="B1581" s="12">
        <f>IF(LEFT(H1581,5)="VALID",M1581,"")</f>
        <v>500</v>
      </c>
      <c r="C1581" s="12">
        <f>IF(LEFT(H1581,5)="VALID",N1581,"")</f>
        <v>333</v>
      </c>
      <c r="D1581" s="10" t="s">
        <v>82</v>
      </c>
      <c r="E1581" s="10" t="s">
        <v>1833</v>
      </c>
      <c r="F1581" s="10" t="s">
        <v>245</v>
      </c>
      <c r="G1581" s="10" t="s">
        <v>246</v>
      </c>
      <c r="H1581" s="11" t="str">
        <f>IF(OR(M1581&lt;=0,N1581&lt;=0),"SKIPPED - NONPOSITIVE",IF(OR(M1581&lt;L1581,N1581&lt;L1581),"SKIPPED - BELOW MIN",IF(OR(M1581&gt;J1581,N1581&gt;K1581),"SKIPPED - EXCEEDS BASE",IF(COUNTIFS($M$1531:M1580,M1581,$N$1531:N1580,N1581)&gt;0,"SKIPPED - DUPLICATE","VALID - GENERATED"))))</f>
        <v>VALID - GENERATED</v>
      </c>
      <c r="I1581" s="10" t="s">
        <v>1834</v>
      </c>
      <c r="J1581" s="12">
        <f>'05-ISO Reference'!$B$20</f>
        <v>500</v>
      </c>
      <c r="K1581" s="12">
        <f>'05-ISO Reference'!$C$20</f>
        <v>707</v>
      </c>
      <c r="L1581" s="12">
        <f>'01-Process Controls'!$G$5</f>
        <v>3</v>
      </c>
      <c r="M1581" s="12">
        <f>ROUNDDOWN(MIN(J1581,K1581*'04-Variant Rules'!$D$55),0)</f>
        <v>500</v>
      </c>
      <c r="N1581" s="12">
        <f>ROUNDDOWN(M1581/'04-Variant Rules'!$D$55,0)</f>
        <v>333</v>
      </c>
      <c r="O1581" s="9">
        <v>50</v>
      </c>
    </row>
    <row r="1582" spans="1:15" ht="21" customHeight="1">
      <c r="A1582" s="9" t="s">
        <v>1885</v>
      </c>
      <c r="B1582" s="12">
        <f>IF(LEFT(H1582,5)="VALID",M1582,"")</f>
        <v>471</v>
      </c>
      <c r="C1582" s="12">
        <f>IF(LEFT(H1582,5)="VALID",N1582,"")</f>
        <v>706</v>
      </c>
      <c r="D1582" s="10" t="s">
        <v>82</v>
      </c>
      <c r="E1582" s="10" t="s">
        <v>1833</v>
      </c>
      <c r="F1582" s="10" t="s">
        <v>248</v>
      </c>
      <c r="G1582" s="10" t="s">
        <v>249</v>
      </c>
      <c r="H1582" s="11" t="str">
        <f>IF(OR(M1582&lt;=0,N1582&lt;=0),"SKIPPED - NONPOSITIVE",IF(OR(M1582&lt;L1582,N1582&lt;L1582),"SKIPPED - BELOW MIN",IF(OR(M1582&gt;J1582,N1582&gt;K1582),"SKIPPED - EXCEEDS BASE",IF(COUNTIFS($M$1531:M1581,M1582,$N$1531:N1581,N1582)&gt;0,"SKIPPED - DUPLICATE","VALID - GENERATED"))))</f>
        <v>VALID - GENERATED</v>
      </c>
      <c r="I1582" s="10" t="s">
        <v>1834</v>
      </c>
      <c r="J1582" s="12">
        <f>'05-ISO Reference'!$B$20</f>
        <v>500</v>
      </c>
      <c r="K1582" s="12">
        <f>'05-ISO Reference'!$C$20</f>
        <v>707</v>
      </c>
      <c r="L1582" s="12">
        <f>'01-Process Controls'!$G$5</f>
        <v>3</v>
      </c>
      <c r="M1582" s="12">
        <f>ROUNDDOWN(MIN(J1582,K1582*'04-Variant Rules'!$D$56),0)</f>
        <v>471</v>
      </c>
      <c r="N1582" s="12">
        <f>ROUNDDOWN(M1582/'04-Variant Rules'!$D$56,0)</f>
        <v>706</v>
      </c>
      <c r="O1582" s="9">
        <v>51</v>
      </c>
    </row>
    <row r="1583" spans="1:15" ht="21" customHeight="1">
      <c r="A1583" s="9" t="s">
        <v>1886</v>
      </c>
      <c r="B1583" s="12">
        <f>IF(LEFT(H1583,5)="VALID",M1583,"")</f>
        <v>500</v>
      </c>
      <c r="C1583" s="12">
        <f>IF(LEFT(H1583,5)="VALID",N1583,"")</f>
        <v>281</v>
      </c>
      <c r="D1583" s="10" t="s">
        <v>82</v>
      </c>
      <c r="E1583" s="10" t="s">
        <v>1833</v>
      </c>
      <c r="F1583" s="10" t="s">
        <v>251</v>
      </c>
      <c r="G1583" s="10" t="s">
        <v>252</v>
      </c>
      <c r="H1583" s="11" t="str">
        <f>IF(OR(M1583&lt;=0,N1583&lt;=0),"SKIPPED - NONPOSITIVE",IF(OR(M1583&lt;L1583,N1583&lt;L1583),"SKIPPED - BELOW MIN",IF(OR(M1583&gt;J1583,N1583&gt;K1583),"SKIPPED - EXCEEDS BASE",IF(COUNTIFS($M$1531:M1582,M1583,$N$1531:N1582,N1583)&gt;0,"SKIPPED - DUPLICATE","VALID - GENERATED"))))</f>
        <v>VALID - GENERATED</v>
      </c>
      <c r="I1583" s="10" t="s">
        <v>1834</v>
      </c>
      <c r="J1583" s="12">
        <f>'05-ISO Reference'!$B$20</f>
        <v>500</v>
      </c>
      <c r="K1583" s="12">
        <f>'05-ISO Reference'!$C$20</f>
        <v>707</v>
      </c>
      <c r="L1583" s="12">
        <f>'01-Process Controls'!$G$5</f>
        <v>3</v>
      </c>
      <c r="M1583" s="12">
        <f>ROUNDDOWN(MIN(J1583,K1583*'04-Variant Rules'!$D$57),0)</f>
        <v>500</v>
      </c>
      <c r="N1583" s="12">
        <f>ROUNDDOWN(M1583/'04-Variant Rules'!$D$57,0)</f>
        <v>281</v>
      </c>
      <c r="O1583" s="9">
        <v>52</v>
      </c>
    </row>
    <row r="1584" spans="1:15" ht="21" customHeight="1">
      <c r="A1584" s="9" t="s">
        <v>1887</v>
      </c>
      <c r="B1584" s="12">
        <f>IF(LEFT(H1584,5)="VALID",M1584,"")</f>
        <v>397</v>
      </c>
      <c r="C1584" s="12">
        <f>IF(LEFT(H1584,5)="VALID",N1584,"")</f>
        <v>705</v>
      </c>
      <c r="D1584" s="10" t="s">
        <v>82</v>
      </c>
      <c r="E1584" s="10" t="s">
        <v>1833</v>
      </c>
      <c r="F1584" s="10" t="s">
        <v>254</v>
      </c>
      <c r="G1584" s="10" t="s">
        <v>255</v>
      </c>
      <c r="H1584" s="11" t="str">
        <f>IF(OR(M1584&lt;=0,N1584&lt;=0),"SKIPPED - NONPOSITIVE",IF(OR(M1584&lt;L1584,N1584&lt;L1584),"SKIPPED - BELOW MIN",IF(OR(M1584&gt;J1584,N1584&gt;K1584),"SKIPPED - EXCEEDS BASE",IF(COUNTIFS($M$1531:M1583,M1584,$N$1531:N1583,N1584)&gt;0,"SKIPPED - DUPLICATE","VALID - GENERATED"))))</f>
        <v>VALID - GENERATED</v>
      </c>
      <c r="I1584" s="10" t="s">
        <v>1834</v>
      </c>
      <c r="J1584" s="12">
        <f>'05-ISO Reference'!$B$20</f>
        <v>500</v>
      </c>
      <c r="K1584" s="12">
        <f>'05-ISO Reference'!$C$20</f>
        <v>707</v>
      </c>
      <c r="L1584" s="12">
        <f>'01-Process Controls'!$G$5</f>
        <v>3</v>
      </c>
      <c r="M1584" s="12">
        <f>ROUNDDOWN(MIN(J1584,K1584*'04-Variant Rules'!$D$58),0)</f>
        <v>397</v>
      </c>
      <c r="N1584" s="12">
        <f>ROUNDDOWN(M1584/'04-Variant Rules'!$D$58,0)</f>
        <v>705</v>
      </c>
      <c r="O1584" s="9">
        <v>53</v>
      </c>
    </row>
    <row r="1585" spans="1:15" ht="21" customHeight="1">
      <c r="A1585" s="9" t="s">
        <v>1888</v>
      </c>
      <c r="B1585" s="12">
        <f>IF(LEFT(H1585,5)="VALID",M1585,"")</f>
        <v>500</v>
      </c>
      <c r="C1585" s="12">
        <f>IF(LEFT(H1585,5)="VALID",N1585,"")</f>
        <v>250</v>
      </c>
      <c r="D1585" s="10" t="s">
        <v>82</v>
      </c>
      <c r="E1585" s="10" t="s">
        <v>1833</v>
      </c>
      <c r="F1585" s="10" t="s">
        <v>257</v>
      </c>
      <c r="G1585" s="10" t="s">
        <v>258</v>
      </c>
      <c r="H1585" s="11" t="str">
        <f>IF(OR(M1585&lt;=0,N1585&lt;=0),"SKIPPED - NONPOSITIVE",IF(OR(M1585&lt;L1585,N1585&lt;L1585),"SKIPPED - BELOW MIN",IF(OR(M1585&gt;J1585,N1585&gt;K1585),"SKIPPED - EXCEEDS BASE",IF(COUNTIFS($M$1531:M1584,M1585,$N$1531:N1584,N1585)&gt;0,"SKIPPED - DUPLICATE","VALID - GENERATED"))))</f>
        <v>VALID - GENERATED</v>
      </c>
      <c r="I1585" s="10" t="s">
        <v>1834</v>
      </c>
      <c r="J1585" s="12">
        <f>'05-ISO Reference'!$B$20</f>
        <v>500</v>
      </c>
      <c r="K1585" s="12">
        <f>'05-ISO Reference'!$C$20</f>
        <v>707</v>
      </c>
      <c r="L1585" s="12">
        <f>'01-Process Controls'!$G$5</f>
        <v>3</v>
      </c>
      <c r="M1585" s="12">
        <f>ROUNDDOWN(MIN(J1585,K1585*'04-Variant Rules'!$D$59),0)</f>
        <v>500</v>
      </c>
      <c r="N1585" s="12">
        <f>ROUNDDOWN(M1585/'04-Variant Rules'!$D$59,0)</f>
        <v>250</v>
      </c>
      <c r="O1585" s="9">
        <v>54</v>
      </c>
    </row>
    <row r="1586" spans="1:15" ht="21" customHeight="1">
      <c r="A1586" s="9" t="s">
        <v>1889</v>
      </c>
      <c r="B1586" s="12">
        <f>IF(LEFT(H1586,5)="VALID",M1586,"")</f>
        <v>353</v>
      </c>
      <c r="C1586" s="12">
        <f>IF(LEFT(H1586,5)="VALID",N1586,"")</f>
        <v>706</v>
      </c>
      <c r="D1586" s="10" t="s">
        <v>82</v>
      </c>
      <c r="E1586" s="10" t="s">
        <v>1833</v>
      </c>
      <c r="F1586" s="10" t="s">
        <v>260</v>
      </c>
      <c r="G1586" s="10" t="s">
        <v>261</v>
      </c>
      <c r="H1586" s="11" t="str">
        <f>IF(OR(M1586&lt;=0,N1586&lt;=0),"SKIPPED - NONPOSITIVE",IF(OR(M1586&lt;L1586,N1586&lt;L1586),"SKIPPED - BELOW MIN",IF(OR(M1586&gt;J1586,N1586&gt;K1586),"SKIPPED - EXCEEDS BASE",IF(COUNTIFS($M$1531:M1585,M1586,$N$1531:N1585,N1586)&gt;0,"SKIPPED - DUPLICATE","VALID - GENERATED"))))</f>
        <v>VALID - GENERATED</v>
      </c>
      <c r="I1586" s="10" t="s">
        <v>1834</v>
      </c>
      <c r="J1586" s="12">
        <f>'05-ISO Reference'!$B$20</f>
        <v>500</v>
      </c>
      <c r="K1586" s="12">
        <f>'05-ISO Reference'!$C$20</f>
        <v>707</v>
      </c>
      <c r="L1586" s="12">
        <f>'01-Process Controls'!$G$5</f>
        <v>3</v>
      </c>
      <c r="M1586" s="12">
        <f>ROUNDDOWN(MIN(J1586,K1586*'04-Variant Rules'!$D$60),0)</f>
        <v>353</v>
      </c>
      <c r="N1586" s="12">
        <f>ROUNDDOWN(M1586/'04-Variant Rules'!$D$60,0)</f>
        <v>706</v>
      </c>
      <c r="O1586" s="9">
        <v>55</v>
      </c>
    </row>
    <row r="1587" spans="1:15" ht="21" customHeight="1">
      <c r="A1587" s="9" t="s">
        <v>1890</v>
      </c>
      <c r="B1587" s="48"/>
      <c r="C1587" s="48"/>
      <c r="D1587" s="10" t="s">
        <v>263</v>
      </c>
      <c r="E1587" s="10" t="s">
        <v>1891</v>
      </c>
      <c r="F1587" s="10" t="s">
        <v>265</v>
      </c>
      <c r="G1587" s="10" t="s">
        <v>266</v>
      </c>
      <c r="H1587" s="11" t="str">
        <f>IF(AND(B1587="",C1587=""),"CUSTOM BLANK",IF(OR(B1587="",C1587=""),"ERROR - ENTER BOTH",IF(OR(B1587&lt;=0,C1587&lt;=0),"ERROR - NONPOSITIVE",IF(OR(B1587&lt;L1587,C1587&lt;L1587),"ERROR - BELOW MIN",IF(OR(AND(B1587&lt;=J1587,C1587&lt;=K1587),AND(B1587&lt;=K1587,C1587&lt;=J1587)),"VALID - CUSTOM","ERROR - EXCEEDS BASE")))))</f>
        <v>CUSTOM BLANK</v>
      </c>
      <c r="I1587" s="10" t="s">
        <v>267</v>
      </c>
      <c r="J1587" s="12">
        <f>'05-ISO Reference'!$B$20</f>
        <v>500</v>
      </c>
      <c r="K1587" s="12">
        <f>'05-ISO Reference'!$C$20</f>
        <v>707</v>
      </c>
      <c r="L1587" s="12">
        <f>'01-Process Controls'!$G$5</f>
        <v>3</v>
      </c>
      <c r="M1587" s="8"/>
      <c r="N1587" s="8"/>
    </row>
    <row r="1588" spans="1:15" ht="21" customHeight="1">
      <c r="A1588" s="9" t="s">
        <v>1892</v>
      </c>
      <c r="B1588" s="48"/>
      <c r="C1588" s="48"/>
      <c r="D1588" s="10" t="s">
        <v>263</v>
      </c>
      <c r="E1588" s="10" t="s">
        <v>1891</v>
      </c>
      <c r="F1588" s="10" t="s">
        <v>265</v>
      </c>
      <c r="G1588" s="10" t="s">
        <v>266</v>
      </c>
      <c r="H1588" s="11" t="str">
        <f>IF(AND(B1588="",C1588=""),"CUSTOM BLANK",IF(OR(B1588="",C1588=""),"ERROR - ENTER BOTH",IF(OR(B1588&lt;=0,C1588&lt;=0),"ERROR - NONPOSITIVE",IF(OR(B1588&lt;L1588,C1588&lt;L1588),"ERROR - BELOW MIN",IF(OR(AND(B1588&lt;=J1588,C1588&lt;=K1588),AND(B1588&lt;=K1588,C1588&lt;=J1588)),"VALID - CUSTOM","ERROR - EXCEEDS BASE")))))</f>
        <v>CUSTOM BLANK</v>
      </c>
      <c r="I1588" s="10" t="s">
        <v>267</v>
      </c>
      <c r="J1588" s="12">
        <f>'05-ISO Reference'!$B$20</f>
        <v>500</v>
      </c>
      <c r="K1588" s="12">
        <f>'05-ISO Reference'!$C$20</f>
        <v>707</v>
      </c>
      <c r="L1588" s="12">
        <f>'01-Process Controls'!$G$5</f>
        <v>3</v>
      </c>
      <c r="M1588" s="8"/>
      <c r="N1588" s="8"/>
    </row>
    <row r="1589" spans="1:15" ht="21" customHeight="1">
      <c r="A1589" s="9" t="s">
        <v>1893</v>
      </c>
      <c r="B1589" s="48"/>
      <c r="C1589" s="48"/>
      <c r="D1589" s="10" t="s">
        <v>263</v>
      </c>
      <c r="E1589" s="10" t="s">
        <v>1891</v>
      </c>
      <c r="F1589" s="10" t="s">
        <v>265</v>
      </c>
      <c r="G1589" s="10" t="s">
        <v>266</v>
      </c>
      <c r="H1589" s="11" t="str">
        <f>IF(AND(B1589="",C1589=""),"CUSTOM BLANK",IF(OR(B1589="",C1589=""),"ERROR - ENTER BOTH",IF(OR(B1589&lt;=0,C1589&lt;=0),"ERROR - NONPOSITIVE",IF(OR(B1589&lt;L1589,C1589&lt;L1589),"ERROR - BELOW MIN",IF(OR(AND(B1589&lt;=J1589,C1589&lt;=K1589),AND(B1589&lt;=K1589,C1589&lt;=J1589)),"VALID - CUSTOM","ERROR - EXCEEDS BASE")))))</f>
        <v>CUSTOM BLANK</v>
      </c>
      <c r="I1589" s="10" t="s">
        <v>267</v>
      </c>
      <c r="J1589" s="12">
        <f>'05-ISO Reference'!$B$20</f>
        <v>500</v>
      </c>
      <c r="K1589" s="12">
        <f>'05-ISO Reference'!$C$20</f>
        <v>707</v>
      </c>
      <c r="L1589" s="12">
        <f>'01-Process Controls'!$G$5</f>
        <v>3</v>
      </c>
      <c r="M1589" s="8"/>
      <c r="N1589" s="8"/>
    </row>
    <row r="1590" spans="1:15" ht="21" customHeight="1">
      <c r="A1590" s="9" t="s">
        <v>1894</v>
      </c>
      <c r="B1590" s="48"/>
      <c r="C1590" s="48"/>
      <c r="D1590" s="10" t="s">
        <v>263</v>
      </c>
      <c r="E1590" s="10" t="s">
        <v>1891</v>
      </c>
      <c r="F1590" s="10" t="s">
        <v>265</v>
      </c>
      <c r="G1590" s="10" t="s">
        <v>266</v>
      </c>
      <c r="H1590" s="11" t="str">
        <f>IF(AND(B1590="",C1590=""),"CUSTOM BLANK",IF(OR(B1590="",C1590=""),"ERROR - ENTER BOTH",IF(OR(B1590&lt;=0,C1590&lt;=0),"ERROR - NONPOSITIVE",IF(OR(B1590&lt;L1590,C1590&lt;L1590),"ERROR - BELOW MIN",IF(OR(AND(B1590&lt;=J1590,C1590&lt;=K1590),AND(B1590&lt;=K1590,C1590&lt;=J1590)),"VALID - CUSTOM","ERROR - EXCEEDS BASE")))))</f>
        <v>CUSTOM BLANK</v>
      </c>
      <c r="I1590" s="10" t="s">
        <v>267</v>
      </c>
      <c r="J1590" s="12">
        <f>'05-ISO Reference'!$B$20</f>
        <v>500</v>
      </c>
      <c r="K1590" s="12">
        <f>'05-ISO Reference'!$C$20</f>
        <v>707</v>
      </c>
      <c r="L1590" s="12">
        <f>'01-Process Controls'!$G$5</f>
        <v>3</v>
      </c>
      <c r="M1590" s="8"/>
      <c r="N1590" s="8"/>
    </row>
    <row r="1591" spans="1:15" ht="21" customHeight="1">
      <c r="A1591" s="9" t="s">
        <v>1895</v>
      </c>
      <c r="B1591" s="48"/>
      <c r="C1591" s="48"/>
      <c r="D1591" s="10" t="s">
        <v>263</v>
      </c>
      <c r="E1591" s="10" t="s">
        <v>1891</v>
      </c>
      <c r="F1591" s="10" t="s">
        <v>265</v>
      </c>
      <c r="G1591" s="10" t="s">
        <v>266</v>
      </c>
      <c r="H1591" s="11" t="str">
        <f>IF(AND(B1591="",C1591=""),"CUSTOM BLANK",IF(OR(B1591="",C1591=""),"ERROR - ENTER BOTH",IF(OR(B1591&lt;=0,C1591&lt;=0),"ERROR - NONPOSITIVE",IF(OR(B1591&lt;L1591,C1591&lt;L1591),"ERROR - BELOW MIN",IF(OR(AND(B1591&lt;=J1591,C1591&lt;=K1591),AND(B1591&lt;=K1591,C1591&lt;=J1591)),"VALID - CUSTOM","ERROR - EXCEEDS BASE")))))</f>
        <v>CUSTOM BLANK</v>
      </c>
      <c r="I1591" s="10" t="s">
        <v>267</v>
      </c>
      <c r="J1591" s="12">
        <f>'05-ISO Reference'!$B$20</f>
        <v>500</v>
      </c>
      <c r="K1591" s="12">
        <f>'05-ISO Reference'!$C$20</f>
        <v>707</v>
      </c>
      <c r="L1591" s="12">
        <f>'01-Process Controls'!$G$5</f>
        <v>3</v>
      </c>
      <c r="M1591" s="8"/>
      <c r="N1591" s="8"/>
    </row>
    <row r="1592" spans="1:15" ht="21" customHeight="1">
      <c r="A1592" s="9" t="s">
        <v>1896</v>
      </c>
      <c r="B1592" s="48"/>
      <c r="C1592" s="48"/>
      <c r="D1592" s="10" t="s">
        <v>263</v>
      </c>
      <c r="E1592" s="10" t="s">
        <v>1891</v>
      </c>
      <c r="F1592" s="10" t="s">
        <v>265</v>
      </c>
      <c r="G1592" s="10" t="s">
        <v>266</v>
      </c>
      <c r="H1592" s="11" t="str">
        <f>IF(AND(B1592="",C1592=""),"CUSTOM BLANK",IF(OR(B1592="",C1592=""),"ERROR - ENTER BOTH",IF(OR(B1592&lt;=0,C1592&lt;=0),"ERROR - NONPOSITIVE",IF(OR(B1592&lt;L1592,C1592&lt;L1592),"ERROR - BELOW MIN",IF(OR(AND(B1592&lt;=J1592,C1592&lt;=K1592),AND(B1592&lt;=K1592,C1592&lt;=J1592)),"VALID - CUSTOM","ERROR - EXCEEDS BASE")))))</f>
        <v>CUSTOM BLANK</v>
      </c>
      <c r="I1592" s="10" t="s">
        <v>267</v>
      </c>
      <c r="J1592" s="12">
        <f>'05-ISO Reference'!$B$20</f>
        <v>500</v>
      </c>
      <c r="K1592" s="12">
        <f>'05-ISO Reference'!$C$20</f>
        <v>707</v>
      </c>
      <c r="L1592" s="12">
        <f>'01-Process Controls'!$G$5</f>
        <v>3</v>
      </c>
      <c r="M1592" s="8"/>
      <c r="N1592" s="8"/>
    </row>
    <row r="1593" spans="1:15" ht="21" customHeight="1">
      <c r="A1593" s="9" t="s">
        <v>1897</v>
      </c>
      <c r="B1593" s="48"/>
      <c r="C1593" s="48"/>
      <c r="D1593" s="10" t="s">
        <v>263</v>
      </c>
      <c r="E1593" s="10" t="s">
        <v>1891</v>
      </c>
      <c r="F1593" s="10" t="s">
        <v>265</v>
      </c>
      <c r="G1593" s="10" t="s">
        <v>266</v>
      </c>
      <c r="H1593" s="11" t="str">
        <f>IF(AND(B1593="",C1593=""),"CUSTOM BLANK",IF(OR(B1593="",C1593=""),"ERROR - ENTER BOTH",IF(OR(B1593&lt;=0,C1593&lt;=0),"ERROR - NONPOSITIVE",IF(OR(B1593&lt;L1593,C1593&lt;L1593),"ERROR - BELOW MIN",IF(OR(AND(B1593&lt;=J1593,C1593&lt;=K1593),AND(B1593&lt;=K1593,C1593&lt;=J1593)),"VALID - CUSTOM","ERROR - EXCEEDS BASE")))))</f>
        <v>CUSTOM BLANK</v>
      </c>
      <c r="I1593" s="10" t="s">
        <v>267</v>
      </c>
      <c r="J1593" s="12">
        <f>'05-ISO Reference'!$B$20</f>
        <v>500</v>
      </c>
      <c r="K1593" s="12">
        <f>'05-ISO Reference'!$C$20</f>
        <v>707</v>
      </c>
      <c r="L1593" s="12">
        <f>'01-Process Controls'!$G$5</f>
        <v>3</v>
      </c>
      <c r="M1593" s="8"/>
      <c r="N1593" s="8"/>
    </row>
    <row r="1594" spans="1:15" ht="21" customHeight="1">
      <c r="A1594" s="9" t="s">
        <v>1898</v>
      </c>
      <c r="B1594" s="48"/>
      <c r="C1594" s="48"/>
      <c r="D1594" s="10" t="s">
        <v>263</v>
      </c>
      <c r="E1594" s="10" t="s">
        <v>1891</v>
      </c>
      <c r="F1594" s="10" t="s">
        <v>265</v>
      </c>
      <c r="G1594" s="10" t="s">
        <v>266</v>
      </c>
      <c r="H1594" s="11" t="str">
        <f>IF(AND(B1594="",C1594=""),"CUSTOM BLANK",IF(OR(B1594="",C1594=""),"ERROR - ENTER BOTH",IF(OR(B1594&lt;=0,C1594&lt;=0),"ERROR - NONPOSITIVE",IF(OR(B1594&lt;L1594,C1594&lt;L1594),"ERROR - BELOW MIN",IF(OR(AND(B1594&lt;=J1594,C1594&lt;=K1594),AND(B1594&lt;=K1594,C1594&lt;=J1594)),"VALID - CUSTOM","ERROR - EXCEEDS BASE")))))</f>
        <v>CUSTOM BLANK</v>
      </c>
      <c r="I1594" s="10" t="s">
        <v>267</v>
      </c>
      <c r="J1594" s="12">
        <f>'05-ISO Reference'!$B$20</f>
        <v>500</v>
      </c>
      <c r="K1594" s="12">
        <f>'05-ISO Reference'!$C$20</f>
        <v>707</v>
      </c>
      <c r="L1594" s="12">
        <f>'01-Process Controls'!$G$5</f>
        <v>3</v>
      </c>
      <c r="M1594" s="8"/>
      <c r="N1594" s="8"/>
    </row>
    <row r="1595" spans="1:15" ht="21" customHeight="1">
      <c r="A1595" s="9" t="s">
        <v>1899</v>
      </c>
      <c r="B1595" s="48"/>
      <c r="C1595" s="48"/>
      <c r="D1595" s="10" t="s">
        <v>263</v>
      </c>
      <c r="E1595" s="10" t="s">
        <v>1891</v>
      </c>
      <c r="F1595" s="10" t="s">
        <v>265</v>
      </c>
      <c r="G1595" s="10" t="s">
        <v>266</v>
      </c>
      <c r="H1595" s="11" t="str">
        <f>IF(AND(B1595="",C1595=""),"CUSTOM BLANK",IF(OR(B1595="",C1595=""),"ERROR - ENTER BOTH",IF(OR(B1595&lt;=0,C1595&lt;=0),"ERROR - NONPOSITIVE",IF(OR(B1595&lt;L1595,C1595&lt;L1595),"ERROR - BELOW MIN",IF(OR(AND(B1595&lt;=J1595,C1595&lt;=K1595),AND(B1595&lt;=K1595,C1595&lt;=J1595)),"VALID - CUSTOM","ERROR - EXCEEDS BASE")))))</f>
        <v>CUSTOM BLANK</v>
      </c>
      <c r="I1595" s="10" t="s">
        <v>267</v>
      </c>
      <c r="J1595" s="12">
        <f>'05-ISO Reference'!$B$20</f>
        <v>500</v>
      </c>
      <c r="K1595" s="12">
        <f>'05-ISO Reference'!$C$20</f>
        <v>707</v>
      </c>
      <c r="L1595" s="12">
        <f>'01-Process Controls'!$G$5</f>
        <v>3</v>
      </c>
      <c r="M1595" s="8"/>
      <c r="N1595" s="8"/>
    </row>
    <row r="1596" spans="1:15" ht="21" customHeight="1">
      <c r="A1596" s="9" t="s">
        <v>1900</v>
      </c>
      <c r="B1596" s="48"/>
      <c r="C1596" s="48"/>
      <c r="D1596" s="10" t="s">
        <v>263</v>
      </c>
      <c r="E1596" s="10" t="s">
        <v>1891</v>
      </c>
      <c r="F1596" s="10" t="s">
        <v>265</v>
      </c>
      <c r="G1596" s="10" t="s">
        <v>266</v>
      </c>
      <c r="H1596" s="11" t="str">
        <f>IF(AND(B1596="",C1596=""),"CUSTOM BLANK",IF(OR(B1596="",C1596=""),"ERROR - ENTER BOTH",IF(OR(B1596&lt;=0,C1596&lt;=0),"ERROR - NONPOSITIVE",IF(OR(B1596&lt;L1596,C1596&lt;L1596),"ERROR - BELOW MIN",IF(OR(AND(B1596&lt;=J1596,C1596&lt;=K1596),AND(B1596&lt;=K1596,C1596&lt;=J1596)),"VALID - CUSTOM","ERROR - EXCEEDS BASE")))))</f>
        <v>CUSTOM BLANK</v>
      </c>
      <c r="I1596" s="10" t="s">
        <v>267</v>
      </c>
      <c r="J1596" s="12">
        <f>'05-ISO Reference'!$B$20</f>
        <v>500</v>
      </c>
      <c r="K1596" s="12">
        <f>'05-ISO Reference'!$C$20</f>
        <v>707</v>
      </c>
      <c r="L1596" s="12">
        <f>'01-Process Controls'!$G$5</f>
        <v>3</v>
      </c>
      <c r="M1596" s="8"/>
      <c r="N1596" s="8"/>
    </row>
    <row r="1597" spans="1:15" ht="21" customHeight="1">
      <c r="A1597" s="9" t="s">
        <v>1901</v>
      </c>
      <c r="B1597" s="48"/>
      <c r="C1597" s="48"/>
      <c r="D1597" s="10" t="s">
        <v>263</v>
      </c>
      <c r="E1597" s="10" t="s">
        <v>1891</v>
      </c>
      <c r="F1597" s="10" t="s">
        <v>265</v>
      </c>
      <c r="G1597" s="10" t="s">
        <v>266</v>
      </c>
      <c r="H1597" s="11" t="str">
        <f>IF(AND(B1597="",C1597=""),"CUSTOM BLANK",IF(OR(B1597="",C1597=""),"ERROR - ENTER BOTH",IF(OR(B1597&lt;=0,C1597&lt;=0),"ERROR - NONPOSITIVE",IF(OR(B1597&lt;L1597,C1597&lt;L1597),"ERROR - BELOW MIN",IF(OR(AND(B1597&lt;=J1597,C1597&lt;=K1597),AND(B1597&lt;=K1597,C1597&lt;=J1597)),"VALID - CUSTOM","ERROR - EXCEEDS BASE")))))</f>
        <v>CUSTOM BLANK</v>
      </c>
      <c r="I1597" s="10" t="s">
        <v>267</v>
      </c>
      <c r="J1597" s="12">
        <f>'05-ISO Reference'!$B$20</f>
        <v>500</v>
      </c>
      <c r="K1597" s="12">
        <f>'05-ISO Reference'!$C$20</f>
        <v>707</v>
      </c>
      <c r="L1597" s="12">
        <f>'01-Process Controls'!$G$5</f>
        <v>3</v>
      </c>
      <c r="M1597" s="8"/>
      <c r="N1597" s="8"/>
    </row>
    <row r="1598" spans="1:15" ht="21" customHeight="1">
      <c r="A1598" s="9" t="s">
        <v>1902</v>
      </c>
      <c r="B1598" s="48"/>
      <c r="C1598" s="48"/>
      <c r="D1598" s="10" t="s">
        <v>263</v>
      </c>
      <c r="E1598" s="10" t="s">
        <v>1891</v>
      </c>
      <c r="F1598" s="10" t="s">
        <v>265</v>
      </c>
      <c r="G1598" s="10" t="s">
        <v>266</v>
      </c>
      <c r="H1598" s="11" t="str">
        <f>IF(AND(B1598="",C1598=""),"CUSTOM BLANK",IF(OR(B1598="",C1598=""),"ERROR - ENTER BOTH",IF(OR(B1598&lt;=0,C1598&lt;=0),"ERROR - NONPOSITIVE",IF(OR(B1598&lt;L1598,C1598&lt;L1598),"ERROR - BELOW MIN",IF(OR(AND(B1598&lt;=J1598,C1598&lt;=K1598),AND(B1598&lt;=K1598,C1598&lt;=J1598)),"VALID - CUSTOM","ERROR - EXCEEDS BASE")))))</f>
        <v>CUSTOM BLANK</v>
      </c>
      <c r="I1598" s="10" t="s">
        <v>267</v>
      </c>
      <c r="J1598" s="12">
        <f>'05-ISO Reference'!$B$20</f>
        <v>500</v>
      </c>
      <c r="K1598" s="12">
        <f>'05-ISO Reference'!$C$20</f>
        <v>707</v>
      </c>
      <c r="L1598" s="12">
        <f>'01-Process Controls'!$G$5</f>
        <v>3</v>
      </c>
      <c r="M1598" s="8"/>
      <c r="N1598" s="8"/>
    </row>
    <row r="1599" spans="1:15" ht="21" customHeight="1">
      <c r="A1599" s="9" t="s">
        <v>1903</v>
      </c>
      <c r="B1599" s="48"/>
      <c r="C1599" s="48"/>
      <c r="D1599" s="10" t="s">
        <v>263</v>
      </c>
      <c r="E1599" s="10" t="s">
        <v>1891</v>
      </c>
      <c r="F1599" s="10" t="s">
        <v>265</v>
      </c>
      <c r="G1599" s="10" t="s">
        <v>266</v>
      </c>
      <c r="H1599" s="11" t="str">
        <f>IF(AND(B1599="",C1599=""),"CUSTOM BLANK",IF(OR(B1599="",C1599=""),"ERROR - ENTER BOTH",IF(OR(B1599&lt;=0,C1599&lt;=0),"ERROR - NONPOSITIVE",IF(OR(B1599&lt;L1599,C1599&lt;L1599),"ERROR - BELOW MIN",IF(OR(AND(B1599&lt;=J1599,C1599&lt;=K1599),AND(B1599&lt;=K1599,C1599&lt;=J1599)),"VALID - CUSTOM","ERROR - EXCEEDS BASE")))))</f>
        <v>CUSTOM BLANK</v>
      </c>
      <c r="I1599" s="10" t="s">
        <v>267</v>
      </c>
      <c r="J1599" s="12">
        <f>'05-ISO Reference'!$B$20</f>
        <v>500</v>
      </c>
      <c r="K1599" s="12">
        <f>'05-ISO Reference'!$C$20</f>
        <v>707</v>
      </c>
      <c r="L1599" s="12">
        <f>'01-Process Controls'!$G$5</f>
        <v>3</v>
      </c>
      <c r="M1599" s="8"/>
      <c r="N1599" s="8"/>
    </row>
    <row r="1600" spans="1:15" ht="21" customHeight="1">
      <c r="A1600" s="9" t="s">
        <v>1904</v>
      </c>
      <c r="B1600" s="48"/>
      <c r="C1600" s="48"/>
      <c r="D1600" s="10" t="s">
        <v>263</v>
      </c>
      <c r="E1600" s="10" t="s">
        <v>1891</v>
      </c>
      <c r="F1600" s="10" t="s">
        <v>265</v>
      </c>
      <c r="G1600" s="10" t="s">
        <v>266</v>
      </c>
      <c r="H1600" s="11" t="str">
        <f>IF(AND(B1600="",C1600=""),"CUSTOM BLANK",IF(OR(B1600="",C1600=""),"ERROR - ENTER BOTH",IF(OR(B1600&lt;=0,C1600&lt;=0),"ERROR - NONPOSITIVE",IF(OR(B1600&lt;L1600,C1600&lt;L1600),"ERROR - BELOW MIN",IF(OR(AND(B1600&lt;=J1600,C1600&lt;=K1600),AND(B1600&lt;=K1600,C1600&lt;=J1600)),"VALID - CUSTOM","ERROR - EXCEEDS BASE")))))</f>
        <v>CUSTOM BLANK</v>
      </c>
      <c r="I1600" s="10" t="s">
        <v>267</v>
      </c>
      <c r="J1600" s="12">
        <f>'05-ISO Reference'!$B$20</f>
        <v>500</v>
      </c>
      <c r="K1600" s="12">
        <f>'05-ISO Reference'!$C$20</f>
        <v>707</v>
      </c>
      <c r="L1600" s="12">
        <f>'01-Process Controls'!$G$5</f>
        <v>3</v>
      </c>
      <c r="M1600" s="8"/>
      <c r="N1600" s="8"/>
    </row>
    <row r="1601" spans="1:15" ht="21" customHeight="1">
      <c r="A1601" s="9" t="s">
        <v>1905</v>
      </c>
      <c r="B1601" s="48"/>
      <c r="C1601" s="48"/>
      <c r="D1601" s="10" t="s">
        <v>263</v>
      </c>
      <c r="E1601" s="10" t="s">
        <v>1891</v>
      </c>
      <c r="F1601" s="10" t="s">
        <v>265</v>
      </c>
      <c r="G1601" s="10" t="s">
        <v>266</v>
      </c>
      <c r="H1601" s="11" t="str">
        <f>IF(AND(B1601="",C1601=""),"CUSTOM BLANK",IF(OR(B1601="",C1601=""),"ERROR - ENTER BOTH",IF(OR(B1601&lt;=0,C1601&lt;=0),"ERROR - NONPOSITIVE",IF(OR(B1601&lt;L1601,C1601&lt;L1601),"ERROR - BELOW MIN",IF(OR(AND(B1601&lt;=J1601,C1601&lt;=K1601),AND(B1601&lt;=K1601,C1601&lt;=J1601)),"VALID - CUSTOM","ERROR - EXCEEDS BASE")))))</f>
        <v>CUSTOM BLANK</v>
      </c>
      <c r="I1601" s="10" t="s">
        <v>267</v>
      </c>
      <c r="J1601" s="12">
        <f>'05-ISO Reference'!$B$20</f>
        <v>500</v>
      </c>
      <c r="K1601" s="12">
        <f>'05-ISO Reference'!$C$20</f>
        <v>707</v>
      </c>
      <c r="L1601" s="12">
        <f>'01-Process Controls'!$G$5</f>
        <v>3</v>
      </c>
      <c r="M1601" s="8"/>
      <c r="N1601" s="8"/>
    </row>
    <row r="1602" spans="1:15" ht="21" customHeight="1">
      <c r="A1602" s="44" t="s">
        <v>1906</v>
      </c>
      <c r="B1602" s="45">
        <f>IF(LEFT(H1602,5)="VALID",M1602,"")</f>
        <v>353</v>
      </c>
      <c r="C1602" s="45">
        <f>IF(LEFT(H1602,5)="VALID",N1602,"")</f>
        <v>500</v>
      </c>
      <c r="D1602" s="46" t="s">
        <v>82</v>
      </c>
      <c r="E1602" s="46" t="s">
        <v>1907</v>
      </c>
      <c r="F1602" s="46" t="s">
        <v>122</v>
      </c>
      <c r="G1602" s="46" t="s">
        <v>123</v>
      </c>
      <c r="H1602" s="47" t="str">
        <f>"VALID - BASE"</f>
        <v>VALID - BASE</v>
      </c>
      <c r="I1602" s="46" t="s">
        <v>1908</v>
      </c>
      <c r="J1602" s="12">
        <f>'05-ISO Reference'!$B$21</f>
        <v>353</v>
      </c>
      <c r="K1602" s="12">
        <f>'05-ISO Reference'!$C$21</f>
        <v>500</v>
      </c>
      <c r="L1602" s="12">
        <f>'01-Process Controls'!$G$5</f>
        <v>3</v>
      </c>
      <c r="M1602" s="12">
        <f>ROUNDDOWN(J1602,0)</f>
        <v>353</v>
      </c>
      <c r="N1602" s="12">
        <f>ROUNDDOWN(K1602,0)</f>
        <v>500</v>
      </c>
      <c r="O1602" s="9">
        <v>0</v>
      </c>
    </row>
    <row r="1603" spans="1:15" ht="21" customHeight="1">
      <c r="A1603" s="9" t="s">
        <v>1909</v>
      </c>
      <c r="B1603" s="12">
        <f>IF(LEFT(H1603,5)="VALID",M1603,"")</f>
        <v>176</v>
      </c>
      <c r="C1603" s="12">
        <f>IF(LEFT(H1603,5)="VALID",N1603,"")</f>
        <v>500</v>
      </c>
      <c r="D1603" s="10" t="s">
        <v>82</v>
      </c>
      <c r="E1603" s="10" t="s">
        <v>1907</v>
      </c>
      <c r="F1603" s="10" t="s">
        <v>126</v>
      </c>
      <c r="G1603" s="10" t="s">
        <v>127</v>
      </c>
      <c r="H1603" s="11" t="str">
        <f>IF(OR(M1603&lt;=0,N1603&lt;=0),"SKIPPED - NONPOSITIVE",IF(OR(M1603&lt;L1603,N1603&lt;L1603),"SKIPPED - BELOW MIN",IF(OR(M1603&gt;J1603,N1603&gt;K1603),"SKIPPED - EXCEEDS BASE",IF(COUNTIFS($M$1602:M1602,M1603,$N$1602:N1602,N1603)&gt;0,"SKIPPED - DUPLICATE","VALID - GENERATED"))))</f>
        <v>VALID - GENERATED</v>
      </c>
      <c r="I1603" s="10" t="s">
        <v>1908</v>
      </c>
      <c r="J1603" s="12">
        <f>'05-ISO Reference'!$B$21</f>
        <v>353</v>
      </c>
      <c r="K1603" s="12">
        <f>'05-ISO Reference'!$C$21</f>
        <v>500</v>
      </c>
      <c r="L1603" s="12">
        <f>'01-Process Controls'!$G$5</f>
        <v>3</v>
      </c>
      <c r="M1603" s="12">
        <f>ROUNDDOWN(J1603*'04-Variant Rules'!$D$6,0)</f>
        <v>176</v>
      </c>
      <c r="N1603" s="12">
        <f>ROUNDDOWN(K1603,0)</f>
        <v>500</v>
      </c>
      <c r="O1603" s="9">
        <v>1</v>
      </c>
    </row>
    <row r="1604" spans="1:15" ht="21" customHeight="1">
      <c r="A1604" s="9" t="s">
        <v>1910</v>
      </c>
      <c r="B1604" s="12">
        <f>IF(LEFT(H1604,5)="VALID",M1604,"")</f>
        <v>117</v>
      </c>
      <c r="C1604" s="12">
        <f>IF(LEFT(H1604,5)="VALID",N1604,"")</f>
        <v>500</v>
      </c>
      <c r="D1604" s="10" t="s">
        <v>82</v>
      </c>
      <c r="E1604" s="10" t="s">
        <v>1907</v>
      </c>
      <c r="F1604" s="10" t="s">
        <v>129</v>
      </c>
      <c r="G1604" s="10" t="s">
        <v>130</v>
      </c>
      <c r="H1604" s="11" t="str">
        <f>IF(OR(M1604&lt;=0,N1604&lt;=0),"SKIPPED - NONPOSITIVE",IF(OR(M1604&lt;L1604,N1604&lt;L1604),"SKIPPED - BELOW MIN",IF(OR(M1604&gt;J1604,N1604&gt;K1604),"SKIPPED - EXCEEDS BASE",IF(COUNTIFS($M$1602:M1603,M1604,$N$1602:N1603,N1604)&gt;0,"SKIPPED - DUPLICATE","VALID - GENERATED"))))</f>
        <v>VALID - GENERATED</v>
      </c>
      <c r="I1604" s="10" t="s">
        <v>1908</v>
      </c>
      <c r="J1604" s="12">
        <f>'05-ISO Reference'!$B$21</f>
        <v>353</v>
      </c>
      <c r="K1604" s="12">
        <f>'05-ISO Reference'!$C$21</f>
        <v>500</v>
      </c>
      <c r="L1604" s="12">
        <f>'01-Process Controls'!$G$5</f>
        <v>3</v>
      </c>
      <c r="M1604" s="12">
        <f>ROUNDDOWN(J1604*'04-Variant Rules'!$D$7,0)</f>
        <v>117</v>
      </c>
      <c r="N1604" s="12">
        <f>ROUNDDOWN(K1604,0)</f>
        <v>500</v>
      </c>
      <c r="O1604" s="9">
        <v>2</v>
      </c>
    </row>
    <row r="1605" spans="1:15" ht="21" customHeight="1">
      <c r="A1605" s="9" t="s">
        <v>1911</v>
      </c>
      <c r="B1605" s="12">
        <f>IF(LEFT(H1605,5)="VALID",M1605,"")</f>
        <v>88</v>
      </c>
      <c r="C1605" s="12">
        <f>IF(LEFT(H1605,5)="VALID",N1605,"")</f>
        <v>500</v>
      </c>
      <c r="D1605" s="10" t="s">
        <v>82</v>
      </c>
      <c r="E1605" s="10" t="s">
        <v>1907</v>
      </c>
      <c r="F1605" s="10" t="s">
        <v>132</v>
      </c>
      <c r="G1605" s="10" t="s">
        <v>133</v>
      </c>
      <c r="H1605" s="11" t="str">
        <f>IF(OR(M1605&lt;=0,N1605&lt;=0),"SKIPPED - NONPOSITIVE",IF(OR(M1605&lt;L1605,N1605&lt;L1605),"SKIPPED - BELOW MIN",IF(OR(M1605&gt;J1605,N1605&gt;K1605),"SKIPPED - EXCEEDS BASE",IF(COUNTIFS($M$1602:M1604,M1605,$N$1602:N1604,N1605)&gt;0,"SKIPPED - DUPLICATE","VALID - GENERATED"))))</f>
        <v>VALID - GENERATED</v>
      </c>
      <c r="I1605" s="10" t="s">
        <v>1908</v>
      </c>
      <c r="J1605" s="12">
        <f>'05-ISO Reference'!$B$21</f>
        <v>353</v>
      </c>
      <c r="K1605" s="12">
        <f>'05-ISO Reference'!$C$21</f>
        <v>500</v>
      </c>
      <c r="L1605" s="12">
        <f>'01-Process Controls'!$G$5</f>
        <v>3</v>
      </c>
      <c r="M1605" s="12">
        <f>ROUNDDOWN(J1605*'04-Variant Rules'!$D$8,0)</f>
        <v>88</v>
      </c>
      <c r="N1605" s="12">
        <f>ROUNDDOWN(K1605,0)</f>
        <v>500</v>
      </c>
      <c r="O1605" s="9">
        <v>3</v>
      </c>
    </row>
    <row r="1606" spans="1:15" ht="21" customHeight="1">
      <c r="A1606" s="9" t="s">
        <v>1912</v>
      </c>
      <c r="B1606" s="12">
        <f>IF(LEFT(H1606,5)="VALID",M1606,"")</f>
        <v>235</v>
      </c>
      <c r="C1606" s="12">
        <f>IF(LEFT(H1606,5)="VALID",N1606,"")</f>
        <v>500</v>
      </c>
      <c r="D1606" s="10" t="s">
        <v>82</v>
      </c>
      <c r="E1606" s="10" t="s">
        <v>1907</v>
      </c>
      <c r="F1606" s="10" t="s">
        <v>135</v>
      </c>
      <c r="G1606" s="10" t="s">
        <v>136</v>
      </c>
      <c r="H1606" s="11" t="str">
        <f>IF(OR(M1606&lt;=0,N1606&lt;=0),"SKIPPED - NONPOSITIVE",IF(OR(M1606&lt;L1606,N1606&lt;L1606),"SKIPPED - BELOW MIN",IF(OR(M1606&gt;J1606,N1606&gt;K1606),"SKIPPED - EXCEEDS BASE",IF(COUNTIFS($M$1602:M1605,M1606,$N$1602:N1605,N1606)&gt;0,"SKIPPED - DUPLICATE","VALID - GENERATED"))))</f>
        <v>VALID - GENERATED</v>
      </c>
      <c r="I1606" s="10" t="s">
        <v>1908</v>
      </c>
      <c r="J1606" s="12">
        <f>'05-ISO Reference'!$B$21</f>
        <v>353</v>
      </c>
      <c r="K1606" s="12">
        <f>'05-ISO Reference'!$C$21</f>
        <v>500</v>
      </c>
      <c r="L1606" s="12">
        <f>'01-Process Controls'!$G$5</f>
        <v>3</v>
      </c>
      <c r="M1606" s="12">
        <f>ROUNDDOWN(J1606*'04-Variant Rules'!$D$9,0)</f>
        <v>235</v>
      </c>
      <c r="N1606" s="12">
        <f>ROUNDDOWN(K1606,0)</f>
        <v>500</v>
      </c>
      <c r="O1606" s="9">
        <v>4</v>
      </c>
    </row>
    <row r="1607" spans="1:15" ht="21" customHeight="1">
      <c r="A1607" s="9" t="s">
        <v>1913</v>
      </c>
      <c r="B1607" s="12">
        <f>IF(LEFT(H1607,5)="VALID",M1607,"")</f>
        <v>264</v>
      </c>
      <c r="C1607" s="12">
        <f>IF(LEFT(H1607,5)="VALID",N1607,"")</f>
        <v>500</v>
      </c>
      <c r="D1607" s="10" t="s">
        <v>82</v>
      </c>
      <c r="E1607" s="10" t="s">
        <v>1907</v>
      </c>
      <c r="F1607" s="10" t="s">
        <v>138</v>
      </c>
      <c r="G1607" s="10" t="s">
        <v>139</v>
      </c>
      <c r="H1607" s="11" t="str">
        <f>IF(OR(M1607&lt;=0,N1607&lt;=0),"SKIPPED - NONPOSITIVE",IF(OR(M1607&lt;L1607,N1607&lt;L1607),"SKIPPED - BELOW MIN",IF(OR(M1607&gt;J1607,N1607&gt;K1607),"SKIPPED - EXCEEDS BASE",IF(COUNTIFS($M$1602:M1606,M1607,$N$1602:N1606,N1607)&gt;0,"SKIPPED - DUPLICATE","VALID - GENERATED"))))</f>
        <v>VALID - GENERATED</v>
      </c>
      <c r="I1607" s="10" t="s">
        <v>1908</v>
      </c>
      <c r="J1607" s="12">
        <f>'05-ISO Reference'!$B$21</f>
        <v>353</v>
      </c>
      <c r="K1607" s="12">
        <f>'05-ISO Reference'!$C$21</f>
        <v>500</v>
      </c>
      <c r="L1607" s="12">
        <f>'01-Process Controls'!$G$5</f>
        <v>3</v>
      </c>
      <c r="M1607" s="12">
        <f>ROUNDDOWN(J1607*'04-Variant Rules'!$D$10,0)</f>
        <v>264</v>
      </c>
      <c r="N1607" s="12">
        <f>ROUNDDOWN(K1607,0)</f>
        <v>500</v>
      </c>
      <c r="O1607" s="9">
        <v>5</v>
      </c>
    </row>
    <row r="1608" spans="1:15" ht="21" customHeight="1">
      <c r="A1608" s="9" t="s">
        <v>1914</v>
      </c>
      <c r="B1608" s="12">
        <f>IF(LEFT(H1608,5)="VALID",M1608,"")</f>
        <v>353</v>
      </c>
      <c r="C1608" s="12">
        <f>IF(LEFT(H1608,5)="VALID",N1608,"")</f>
        <v>250</v>
      </c>
      <c r="D1608" s="10" t="s">
        <v>82</v>
      </c>
      <c r="E1608" s="10" t="s">
        <v>1907</v>
      </c>
      <c r="F1608" s="10" t="s">
        <v>141</v>
      </c>
      <c r="G1608" s="10" t="s">
        <v>142</v>
      </c>
      <c r="H1608" s="11" t="str">
        <f>IF(OR(M1608&lt;=0,N1608&lt;=0),"SKIPPED - NONPOSITIVE",IF(OR(M1608&lt;L1608,N1608&lt;L1608),"SKIPPED - BELOW MIN",IF(OR(M1608&gt;J1608,N1608&gt;K1608),"SKIPPED - EXCEEDS BASE",IF(COUNTIFS($M$1602:M1607,M1608,$N$1602:N1607,N1608)&gt;0,"SKIPPED - DUPLICATE","VALID - GENERATED"))))</f>
        <v>VALID - GENERATED</v>
      </c>
      <c r="I1608" s="10" t="s">
        <v>1908</v>
      </c>
      <c r="J1608" s="12">
        <f>'05-ISO Reference'!$B$21</f>
        <v>353</v>
      </c>
      <c r="K1608" s="12">
        <f>'05-ISO Reference'!$C$21</f>
        <v>500</v>
      </c>
      <c r="L1608" s="12">
        <f>'01-Process Controls'!$G$5</f>
        <v>3</v>
      </c>
      <c r="M1608" s="12">
        <f>ROUNDDOWN(J1608,0)</f>
        <v>353</v>
      </c>
      <c r="N1608" s="12">
        <f>ROUNDDOWN(K1608*'04-Variant Rules'!$D$11,0)</f>
        <v>250</v>
      </c>
      <c r="O1608" s="9">
        <v>6</v>
      </c>
    </row>
    <row r="1609" spans="1:15" ht="21" customHeight="1">
      <c r="A1609" s="9" t="s">
        <v>1915</v>
      </c>
      <c r="B1609" s="12">
        <f>IF(LEFT(H1609,5)="VALID",M1609,"")</f>
        <v>353</v>
      </c>
      <c r="C1609" s="12">
        <f>IF(LEFT(H1609,5)="VALID",N1609,"")</f>
        <v>166</v>
      </c>
      <c r="D1609" s="10" t="s">
        <v>82</v>
      </c>
      <c r="E1609" s="10" t="s">
        <v>1907</v>
      </c>
      <c r="F1609" s="10" t="s">
        <v>144</v>
      </c>
      <c r="G1609" s="10" t="s">
        <v>145</v>
      </c>
      <c r="H1609" s="11" t="str">
        <f>IF(OR(M1609&lt;=0,N1609&lt;=0),"SKIPPED - NONPOSITIVE",IF(OR(M1609&lt;L1609,N1609&lt;L1609),"SKIPPED - BELOW MIN",IF(OR(M1609&gt;J1609,N1609&gt;K1609),"SKIPPED - EXCEEDS BASE",IF(COUNTIFS($M$1602:M1608,M1609,$N$1602:N1608,N1609)&gt;0,"SKIPPED - DUPLICATE","VALID - GENERATED"))))</f>
        <v>VALID - GENERATED</v>
      </c>
      <c r="I1609" s="10" t="s">
        <v>1908</v>
      </c>
      <c r="J1609" s="12">
        <f>'05-ISO Reference'!$B$21</f>
        <v>353</v>
      </c>
      <c r="K1609" s="12">
        <f>'05-ISO Reference'!$C$21</f>
        <v>500</v>
      </c>
      <c r="L1609" s="12">
        <f>'01-Process Controls'!$G$5</f>
        <v>3</v>
      </c>
      <c r="M1609" s="12">
        <f>ROUNDDOWN(J1609,0)</f>
        <v>353</v>
      </c>
      <c r="N1609" s="12">
        <f>ROUNDDOWN(K1609*'04-Variant Rules'!$D$12,0)</f>
        <v>166</v>
      </c>
      <c r="O1609" s="9">
        <v>7</v>
      </c>
    </row>
    <row r="1610" spans="1:15" ht="21" customHeight="1">
      <c r="A1610" s="9" t="s">
        <v>1916</v>
      </c>
      <c r="B1610" s="12">
        <f>IF(LEFT(H1610,5)="VALID",M1610,"")</f>
        <v>353</v>
      </c>
      <c r="C1610" s="12">
        <f>IF(LEFT(H1610,5)="VALID",N1610,"")</f>
        <v>125</v>
      </c>
      <c r="D1610" s="10" t="s">
        <v>82</v>
      </c>
      <c r="E1610" s="10" t="s">
        <v>1907</v>
      </c>
      <c r="F1610" s="10" t="s">
        <v>147</v>
      </c>
      <c r="G1610" s="10" t="s">
        <v>148</v>
      </c>
      <c r="H1610" s="11" t="str">
        <f>IF(OR(M1610&lt;=0,N1610&lt;=0),"SKIPPED - NONPOSITIVE",IF(OR(M1610&lt;L1610,N1610&lt;L1610),"SKIPPED - BELOW MIN",IF(OR(M1610&gt;J1610,N1610&gt;K1610),"SKIPPED - EXCEEDS BASE",IF(COUNTIFS($M$1602:M1609,M1610,$N$1602:N1609,N1610)&gt;0,"SKIPPED - DUPLICATE","VALID - GENERATED"))))</f>
        <v>VALID - GENERATED</v>
      </c>
      <c r="I1610" s="10" t="s">
        <v>1908</v>
      </c>
      <c r="J1610" s="12">
        <f>'05-ISO Reference'!$B$21</f>
        <v>353</v>
      </c>
      <c r="K1610" s="12">
        <f>'05-ISO Reference'!$C$21</f>
        <v>500</v>
      </c>
      <c r="L1610" s="12">
        <f>'01-Process Controls'!$G$5</f>
        <v>3</v>
      </c>
      <c r="M1610" s="12">
        <f>ROUNDDOWN(J1610,0)</f>
        <v>353</v>
      </c>
      <c r="N1610" s="12">
        <f>ROUNDDOWN(K1610*'04-Variant Rules'!$D$13,0)</f>
        <v>125</v>
      </c>
      <c r="O1610" s="9">
        <v>8</v>
      </c>
    </row>
    <row r="1611" spans="1:15" ht="21" customHeight="1">
      <c r="A1611" s="9" t="s">
        <v>1917</v>
      </c>
      <c r="B1611" s="12">
        <f>IF(LEFT(H1611,5)="VALID",M1611,"")</f>
        <v>353</v>
      </c>
      <c r="C1611" s="12">
        <f>IF(LEFT(H1611,5)="VALID",N1611,"")</f>
        <v>333</v>
      </c>
      <c r="D1611" s="10" t="s">
        <v>82</v>
      </c>
      <c r="E1611" s="10" t="s">
        <v>1907</v>
      </c>
      <c r="F1611" s="10" t="s">
        <v>150</v>
      </c>
      <c r="G1611" s="10" t="s">
        <v>151</v>
      </c>
      <c r="H1611" s="11" t="str">
        <f>IF(OR(M1611&lt;=0,N1611&lt;=0),"SKIPPED - NONPOSITIVE",IF(OR(M1611&lt;L1611,N1611&lt;L1611),"SKIPPED - BELOW MIN",IF(OR(M1611&gt;J1611,N1611&gt;K1611),"SKIPPED - EXCEEDS BASE",IF(COUNTIFS($M$1602:M1610,M1611,$N$1602:N1610,N1611)&gt;0,"SKIPPED - DUPLICATE","VALID - GENERATED"))))</f>
        <v>VALID - GENERATED</v>
      </c>
      <c r="I1611" s="10" t="s">
        <v>1908</v>
      </c>
      <c r="J1611" s="12">
        <f>'05-ISO Reference'!$B$21</f>
        <v>353</v>
      </c>
      <c r="K1611" s="12">
        <f>'05-ISO Reference'!$C$21</f>
        <v>500</v>
      </c>
      <c r="L1611" s="12">
        <f>'01-Process Controls'!$G$5</f>
        <v>3</v>
      </c>
      <c r="M1611" s="12">
        <f>ROUNDDOWN(J1611,0)</f>
        <v>353</v>
      </c>
      <c r="N1611" s="12">
        <f>ROUNDDOWN(K1611*'04-Variant Rules'!$D$14,0)</f>
        <v>333</v>
      </c>
      <c r="O1611" s="9">
        <v>9</v>
      </c>
    </row>
    <row r="1612" spans="1:15" ht="21" customHeight="1">
      <c r="A1612" s="9" t="s">
        <v>1918</v>
      </c>
      <c r="B1612" s="12">
        <f>IF(LEFT(H1612,5)="VALID",M1612,"")</f>
        <v>353</v>
      </c>
      <c r="C1612" s="12">
        <f>IF(LEFT(H1612,5)="VALID",N1612,"")</f>
        <v>375</v>
      </c>
      <c r="D1612" s="10" t="s">
        <v>82</v>
      </c>
      <c r="E1612" s="10" t="s">
        <v>1907</v>
      </c>
      <c r="F1612" s="10" t="s">
        <v>153</v>
      </c>
      <c r="G1612" s="10" t="s">
        <v>154</v>
      </c>
      <c r="H1612" s="11" t="str">
        <f>IF(OR(M1612&lt;=0,N1612&lt;=0),"SKIPPED - NONPOSITIVE",IF(OR(M1612&lt;L1612,N1612&lt;L1612),"SKIPPED - BELOW MIN",IF(OR(M1612&gt;J1612,N1612&gt;K1612),"SKIPPED - EXCEEDS BASE",IF(COUNTIFS($M$1602:M1611,M1612,$N$1602:N1611,N1612)&gt;0,"SKIPPED - DUPLICATE","VALID - GENERATED"))))</f>
        <v>VALID - GENERATED</v>
      </c>
      <c r="I1612" s="10" t="s">
        <v>1908</v>
      </c>
      <c r="J1612" s="12">
        <f>'05-ISO Reference'!$B$21</f>
        <v>353</v>
      </c>
      <c r="K1612" s="12">
        <f>'05-ISO Reference'!$C$21</f>
        <v>500</v>
      </c>
      <c r="L1612" s="12">
        <f>'01-Process Controls'!$G$5</f>
        <v>3</v>
      </c>
      <c r="M1612" s="12">
        <f>ROUNDDOWN(J1612,0)</f>
        <v>353</v>
      </c>
      <c r="N1612" s="12">
        <f>ROUNDDOWN(K1612*'04-Variant Rules'!$D$15,0)</f>
        <v>375</v>
      </c>
      <c r="O1612" s="9">
        <v>10</v>
      </c>
    </row>
    <row r="1613" spans="1:15" ht="21" customHeight="1">
      <c r="A1613" s="9" t="s">
        <v>1919</v>
      </c>
      <c r="B1613" s="12">
        <f>IF(LEFT(H1613,5)="VALID",M1613,"")</f>
        <v>176</v>
      </c>
      <c r="C1613" s="12">
        <f>IF(LEFT(H1613,5)="VALID",N1613,"")</f>
        <v>250</v>
      </c>
      <c r="D1613" s="10" t="s">
        <v>82</v>
      </c>
      <c r="E1613" s="10" t="s">
        <v>1907</v>
      </c>
      <c r="F1613" s="10" t="s">
        <v>156</v>
      </c>
      <c r="G1613" s="10" t="s">
        <v>157</v>
      </c>
      <c r="H1613" s="11" t="str">
        <f>IF(OR(M1613&lt;=0,N1613&lt;=0),"SKIPPED - NONPOSITIVE",IF(OR(M1613&lt;L1613,N1613&lt;L1613),"SKIPPED - BELOW MIN",IF(OR(M1613&gt;J1613,N1613&gt;K1613),"SKIPPED - EXCEEDS BASE",IF(COUNTIFS($M$1602:M1612,M1613,$N$1602:N1612,N1613)&gt;0,"SKIPPED - DUPLICATE","VALID - GENERATED"))))</f>
        <v>VALID - GENERATED</v>
      </c>
      <c r="I1613" s="10" t="s">
        <v>1908</v>
      </c>
      <c r="J1613" s="12">
        <f>'05-ISO Reference'!$B$21</f>
        <v>353</v>
      </c>
      <c r="K1613" s="12">
        <f>'05-ISO Reference'!$C$21</f>
        <v>500</v>
      </c>
      <c r="L1613" s="12">
        <f>'01-Process Controls'!$G$5</f>
        <v>3</v>
      </c>
      <c r="M1613" s="12">
        <f>ROUNDDOWN(J1613*'04-Variant Rules'!$D$16,0)</f>
        <v>176</v>
      </c>
      <c r="N1613" s="12">
        <f>ROUNDDOWN(K1613*'04-Variant Rules'!$E$16,0)</f>
        <v>250</v>
      </c>
      <c r="O1613" s="9">
        <v>11</v>
      </c>
    </row>
    <row r="1614" spans="1:15" ht="21" customHeight="1">
      <c r="A1614" s="9" t="s">
        <v>1920</v>
      </c>
      <c r="B1614" s="12">
        <f>IF(LEFT(H1614,5)="VALID",M1614,"")</f>
        <v>117</v>
      </c>
      <c r="C1614" s="12">
        <f>IF(LEFT(H1614,5)="VALID",N1614,"")</f>
        <v>166</v>
      </c>
      <c r="D1614" s="10" t="s">
        <v>82</v>
      </c>
      <c r="E1614" s="10" t="s">
        <v>1907</v>
      </c>
      <c r="F1614" s="10" t="s">
        <v>159</v>
      </c>
      <c r="G1614" s="10" t="s">
        <v>160</v>
      </c>
      <c r="H1614" s="11" t="str">
        <f>IF(OR(M1614&lt;=0,N1614&lt;=0),"SKIPPED - NONPOSITIVE",IF(OR(M1614&lt;L1614,N1614&lt;L1614),"SKIPPED - BELOW MIN",IF(OR(M1614&gt;J1614,N1614&gt;K1614),"SKIPPED - EXCEEDS BASE",IF(COUNTIFS($M$1602:M1613,M1614,$N$1602:N1613,N1614)&gt;0,"SKIPPED - DUPLICATE","VALID - GENERATED"))))</f>
        <v>VALID - GENERATED</v>
      </c>
      <c r="I1614" s="10" t="s">
        <v>1908</v>
      </c>
      <c r="J1614" s="12">
        <f>'05-ISO Reference'!$B$21</f>
        <v>353</v>
      </c>
      <c r="K1614" s="12">
        <f>'05-ISO Reference'!$C$21</f>
        <v>500</v>
      </c>
      <c r="L1614" s="12">
        <f>'01-Process Controls'!$G$5</f>
        <v>3</v>
      </c>
      <c r="M1614" s="12">
        <f>ROUNDDOWN(J1614*'04-Variant Rules'!$D$17,0)</f>
        <v>117</v>
      </c>
      <c r="N1614" s="12">
        <f>ROUNDDOWN(K1614*'04-Variant Rules'!$E$17,0)</f>
        <v>166</v>
      </c>
      <c r="O1614" s="9">
        <v>12</v>
      </c>
    </row>
    <row r="1615" spans="1:15" ht="21" customHeight="1">
      <c r="A1615" s="9" t="s">
        <v>1921</v>
      </c>
      <c r="B1615" s="12">
        <f>IF(LEFT(H1615,5)="VALID",M1615,"")</f>
        <v>88</v>
      </c>
      <c r="C1615" s="12">
        <f>IF(LEFT(H1615,5)="VALID",N1615,"")</f>
        <v>125</v>
      </c>
      <c r="D1615" s="10" t="s">
        <v>82</v>
      </c>
      <c r="E1615" s="10" t="s">
        <v>1907</v>
      </c>
      <c r="F1615" s="10" t="s">
        <v>162</v>
      </c>
      <c r="G1615" s="10" t="s">
        <v>163</v>
      </c>
      <c r="H1615" s="11" t="str">
        <f>IF(OR(M1615&lt;=0,N1615&lt;=0),"SKIPPED - NONPOSITIVE",IF(OR(M1615&lt;L1615,N1615&lt;L1615),"SKIPPED - BELOW MIN",IF(OR(M1615&gt;J1615,N1615&gt;K1615),"SKIPPED - EXCEEDS BASE",IF(COUNTIFS($M$1602:M1614,M1615,$N$1602:N1614,N1615)&gt;0,"SKIPPED - DUPLICATE","VALID - GENERATED"))))</f>
        <v>VALID - GENERATED</v>
      </c>
      <c r="I1615" s="10" t="s">
        <v>1908</v>
      </c>
      <c r="J1615" s="12">
        <f>'05-ISO Reference'!$B$21</f>
        <v>353</v>
      </c>
      <c r="K1615" s="12">
        <f>'05-ISO Reference'!$C$21</f>
        <v>500</v>
      </c>
      <c r="L1615" s="12">
        <f>'01-Process Controls'!$G$5</f>
        <v>3</v>
      </c>
      <c r="M1615" s="12">
        <f>ROUNDDOWN(J1615*'04-Variant Rules'!$D$18,0)</f>
        <v>88</v>
      </c>
      <c r="N1615" s="12">
        <f>ROUNDDOWN(K1615*'04-Variant Rules'!$E$18,0)</f>
        <v>125</v>
      </c>
      <c r="O1615" s="9">
        <v>13</v>
      </c>
    </row>
    <row r="1616" spans="1:15" ht="21" customHeight="1">
      <c r="A1616" s="9" t="s">
        <v>1922</v>
      </c>
      <c r="B1616" s="12">
        <f>IF(LEFT(H1616,5)="VALID",M1616,"")</f>
        <v>176</v>
      </c>
      <c r="C1616" s="12">
        <f>IF(LEFT(H1616,5)="VALID",N1616,"")</f>
        <v>166</v>
      </c>
      <c r="D1616" s="10" t="s">
        <v>82</v>
      </c>
      <c r="E1616" s="10" t="s">
        <v>1907</v>
      </c>
      <c r="F1616" s="10" t="s">
        <v>165</v>
      </c>
      <c r="G1616" s="10" t="s">
        <v>166</v>
      </c>
      <c r="H1616" s="11" t="str">
        <f>IF(OR(M1616&lt;=0,N1616&lt;=0),"SKIPPED - NONPOSITIVE",IF(OR(M1616&lt;L1616,N1616&lt;L1616),"SKIPPED - BELOW MIN",IF(OR(M1616&gt;J1616,N1616&gt;K1616),"SKIPPED - EXCEEDS BASE",IF(COUNTIFS($M$1602:M1615,M1616,$N$1602:N1615,N1616)&gt;0,"SKIPPED - DUPLICATE","VALID - GENERATED"))))</f>
        <v>VALID - GENERATED</v>
      </c>
      <c r="I1616" s="10" t="s">
        <v>1908</v>
      </c>
      <c r="J1616" s="12">
        <f>'05-ISO Reference'!$B$21</f>
        <v>353</v>
      </c>
      <c r="K1616" s="12">
        <f>'05-ISO Reference'!$C$21</f>
        <v>500</v>
      </c>
      <c r="L1616" s="12">
        <f>'01-Process Controls'!$G$5</f>
        <v>3</v>
      </c>
      <c r="M1616" s="12">
        <f>ROUNDDOWN(J1616*'04-Variant Rules'!$D$19,0)</f>
        <v>176</v>
      </c>
      <c r="N1616" s="12">
        <f>ROUNDDOWN(K1616*'04-Variant Rules'!$E$19,0)</f>
        <v>166</v>
      </c>
      <c r="O1616" s="9">
        <v>14</v>
      </c>
    </row>
    <row r="1617" spans="1:15" ht="21" customHeight="1">
      <c r="A1617" s="9" t="s">
        <v>1923</v>
      </c>
      <c r="B1617" s="12">
        <f>IF(LEFT(H1617,5)="VALID",M1617,"")</f>
        <v>117</v>
      </c>
      <c r="C1617" s="12">
        <f>IF(LEFT(H1617,5)="VALID",N1617,"")</f>
        <v>250</v>
      </c>
      <c r="D1617" s="10" t="s">
        <v>82</v>
      </c>
      <c r="E1617" s="10" t="s">
        <v>1907</v>
      </c>
      <c r="F1617" s="10" t="s">
        <v>168</v>
      </c>
      <c r="G1617" s="10" t="s">
        <v>166</v>
      </c>
      <c r="H1617" s="11" t="str">
        <f>IF(OR(M1617&lt;=0,N1617&lt;=0),"SKIPPED - NONPOSITIVE",IF(OR(M1617&lt;L1617,N1617&lt;L1617),"SKIPPED - BELOW MIN",IF(OR(M1617&gt;J1617,N1617&gt;K1617),"SKIPPED - EXCEEDS BASE",IF(COUNTIFS($M$1602:M1616,M1617,$N$1602:N1616,N1617)&gt;0,"SKIPPED - DUPLICATE","VALID - GENERATED"))))</f>
        <v>VALID - GENERATED</v>
      </c>
      <c r="I1617" s="10" t="s">
        <v>1908</v>
      </c>
      <c r="J1617" s="12">
        <f>'05-ISO Reference'!$B$21</f>
        <v>353</v>
      </c>
      <c r="K1617" s="12">
        <f>'05-ISO Reference'!$C$21</f>
        <v>500</v>
      </c>
      <c r="L1617" s="12">
        <f>'01-Process Controls'!$G$5</f>
        <v>3</v>
      </c>
      <c r="M1617" s="12">
        <f>ROUNDDOWN(J1617*'04-Variant Rules'!$D$20,0)</f>
        <v>117</v>
      </c>
      <c r="N1617" s="12">
        <f>ROUNDDOWN(K1617*'04-Variant Rules'!$E$20,0)</f>
        <v>250</v>
      </c>
      <c r="O1617" s="9">
        <v>15</v>
      </c>
    </row>
    <row r="1618" spans="1:15" ht="21" customHeight="1">
      <c r="A1618" s="9" t="s">
        <v>1924</v>
      </c>
      <c r="B1618" s="12">
        <f>IF(LEFT(H1618,5)="VALID",M1618,"")</f>
        <v>176</v>
      </c>
      <c r="C1618" s="12">
        <f>IF(LEFT(H1618,5)="VALID",N1618,"")</f>
        <v>125</v>
      </c>
      <c r="D1618" s="10" t="s">
        <v>82</v>
      </c>
      <c r="E1618" s="10" t="s">
        <v>1907</v>
      </c>
      <c r="F1618" s="10" t="s">
        <v>170</v>
      </c>
      <c r="G1618" s="10" t="s">
        <v>166</v>
      </c>
      <c r="H1618" s="11" t="str">
        <f>IF(OR(M1618&lt;=0,N1618&lt;=0),"SKIPPED - NONPOSITIVE",IF(OR(M1618&lt;L1618,N1618&lt;L1618),"SKIPPED - BELOW MIN",IF(OR(M1618&gt;J1618,N1618&gt;K1618),"SKIPPED - EXCEEDS BASE",IF(COUNTIFS($M$1602:M1617,M1618,$N$1602:N1617,N1618)&gt;0,"SKIPPED - DUPLICATE","VALID - GENERATED"))))</f>
        <v>VALID - GENERATED</v>
      </c>
      <c r="I1618" s="10" t="s">
        <v>1908</v>
      </c>
      <c r="J1618" s="12">
        <f>'05-ISO Reference'!$B$21</f>
        <v>353</v>
      </c>
      <c r="K1618" s="12">
        <f>'05-ISO Reference'!$C$21</f>
        <v>500</v>
      </c>
      <c r="L1618" s="12">
        <f>'01-Process Controls'!$G$5</f>
        <v>3</v>
      </c>
      <c r="M1618" s="12">
        <f>ROUNDDOWN(J1618*'04-Variant Rules'!$D$21,0)</f>
        <v>176</v>
      </c>
      <c r="N1618" s="12">
        <f>ROUNDDOWN(K1618*'04-Variant Rules'!$E$21,0)</f>
        <v>125</v>
      </c>
      <c r="O1618" s="9">
        <v>16</v>
      </c>
    </row>
    <row r="1619" spans="1:15" ht="21" customHeight="1">
      <c r="A1619" s="9" t="s">
        <v>1925</v>
      </c>
      <c r="B1619" s="12">
        <f>IF(LEFT(H1619,5)="VALID",M1619,"")</f>
        <v>88</v>
      </c>
      <c r="C1619" s="12">
        <f>IF(LEFT(H1619,5)="VALID",N1619,"")</f>
        <v>250</v>
      </c>
      <c r="D1619" s="10" t="s">
        <v>82</v>
      </c>
      <c r="E1619" s="10" t="s">
        <v>1907</v>
      </c>
      <c r="F1619" s="10" t="s">
        <v>172</v>
      </c>
      <c r="G1619" s="10" t="s">
        <v>166</v>
      </c>
      <c r="H1619" s="11" t="str">
        <f>IF(OR(M1619&lt;=0,N1619&lt;=0),"SKIPPED - NONPOSITIVE",IF(OR(M1619&lt;L1619,N1619&lt;L1619),"SKIPPED - BELOW MIN",IF(OR(M1619&gt;J1619,N1619&gt;K1619),"SKIPPED - EXCEEDS BASE",IF(COUNTIFS($M$1602:M1618,M1619,$N$1602:N1618,N1619)&gt;0,"SKIPPED - DUPLICATE","VALID - GENERATED"))))</f>
        <v>VALID - GENERATED</v>
      </c>
      <c r="I1619" s="10" t="s">
        <v>1908</v>
      </c>
      <c r="J1619" s="12">
        <f>'05-ISO Reference'!$B$21</f>
        <v>353</v>
      </c>
      <c r="K1619" s="12">
        <f>'05-ISO Reference'!$C$21</f>
        <v>500</v>
      </c>
      <c r="L1619" s="12">
        <f>'01-Process Controls'!$G$5</f>
        <v>3</v>
      </c>
      <c r="M1619" s="12">
        <f>ROUNDDOWN(J1619*'04-Variant Rules'!$D$22,0)</f>
        <v>88</v>
      </c>
      <c r="N1619" s="12">
        <f>ROUNDDOWN(K1619*'04-Variant Rules'!$E$22,0)</f>
        <v>250</v>
      </c>
      <c r="O1619" s="9">
        <v>17</v>
      </c>
    </row>
    <row r="1620" spans="1:15" ht="21" customHeight="1">
      <c r="A1620" s="9" t="s">
        <v>1926</v>
      </c>
      <c r="B1620" s="12">
        <f>IF(LEFT(H1620,5)="VALID",M1620,"")</f>
        <v>235</v>
      </c>
      <c r="C1620" s="12">
        <f>IF(LEFT(H1620,5)="VALID",N1620,"")</f>
        <v>250</v>
      </c>
      <c r="D1620" s="10" t="s">
        <v>82</v>
      </c>
      <c r="E1620" s="10" t="s">
        <v>1907</v>
      </c>
      <c r="F1620" s="10" t="s">
        <v>174</v>
      </c>
      <c r="G1620" s="10" t="s">
        <v>166</v>
      </c>
      <c r="H1620" s="11" t="str">
        <f>IF(OR(M1620&lt;=0,N1620&lt;=0),"SKIPPED - NONPOSITIVE",IF(OR(M1620&lt;L1620,N1620&lt;L1620),"SKIPPED - BELOW MIN",IF(OR(M1620&gt;J1620,N1620&gt;K1620),"SKIPPED - EXCEEDS BASE",IF(COUNTIFS($M$1602:M1619,M1620,$N$1602:N1619,N1620)&gt;0,"SKIPPED - DUPLICATE","VALID - GENERATED"))))</f>
        <v>VALID - GENERATED</v>
      </c>
      <c r="I1620" s="10" t="s">
        <v>1908</v>
      </c>
      <c r="J1620" s="12">
        <f>'05-ISO Reference'!$B$21</f>
        <v>353</v>
      </c>
      <c r="K1620" s="12">
        <f>'05-ISO Reference'!$C$21</f>
        <v>500</v>
      </c>
      <c r="L1620" s="12">
        <f>'01-Process Controls'!$G$5</f>
        <v>3</v>
      </c>
      <c r="M1620" s="12">
        <f>ROUNDDOWN(J1620*'04-Variant Rules'!$D$23,0)</f>
        <v>235</v>
      </c>
      <c r="N1620" s="12">
        <f>ROUNDDOWN(K1620*'04-Variant Rules'!$E$23,0)</f>
        <v>250</v>
      </c>
      <c r="O1620" s="9">
        <v>18</v>
      </c>
    </row>
    <row r="1621" spans="1:15" ht="21" customHeight="1">
      <c r="A1621" s="9" t="s">
        <v>1927</v>
      </c>
      <c r="B1621" s="12">
        <f>IF(LEFT(H1621,5)="VALID",M1621,"")</f>
        <v>176</v>
      </c>
      <c r="C1621" s="12">
        <f>IF(LEFT(H1621,5)="VALID",N1621,"")</f>
        <v>333</v>
      </c>
      <c r="D1621" s="10" t="s">
        <v>82</v>
      </c>
      <c r="E1621" s="10" t="s">
        <v>1907</v>
      </c>
      <c r="F1621" s="10" t="s">
        <v>176</v>
      </c>
      <c r="G1621" s="10" t="s">
        <v>166</v>
      </c>
      <c r="H1621" s="11" t="str">
        <f>IF(OR(M1621&lt;=0,N1621&lt;=0),"SKIPPED - NONPOSITIVE",IF(OR(M1621&lt;L1621,N1621&lt;L1621),"SKIPPED - BELOW MIN",IF(OR(M1621&gt;J1621,N1621&gt;K1621),"SKIPPED - EXCEEDS BASE",IF(COUNTIFS($M$1602:M1620,M1621,$N$1602:N1620,N1621)&gt;0,"SKIPPED - DUPLICATE","VALID - GENERATED"))))</f>
        <v>VALID - GENERATED</v>
      </c>
      <c r="I1621" s="10" t="s">
        <v>1908</v>
      </c>
      <c r="J1621" s="12">
        <f>'05-ISO Reference'!$B$21</f>
        <v>353</v>
      </c>
      <c r="K1621" s="12">
        <f>'05-ISO Reference'!$C$21</f>
        <v>500</v>
      </c>
      <c r="L1621" s="12">
        <f>'01-Process Controls'!$G$5</f>
        <v>3</v>
      </c>
      <c r="M1621" s="12">
        <f>ROUNDDOWN(J1621*'04-Variant Rules'!$D$24,0)</f>
        <v>176</v>
      </c>
      <c r="N1621" s="12">
        <f>ROUNDDOWN(K1621*'04-Variant Rules'!$E$24,0)</f>
        <v>333</v>
      </c>
      <c r="O1621" s="9">
        <v>19</v>
      </c>
    </row>
    <row r="1622" spans="1:15" ht="21" customHeight="1">
      <c r="A1622" s="9" t="s">
        <v>1928</v>
      </c>
      <c r="B1622" s="12">
        <f>IF(LEFT(H1622,5)="VALID",M1622,"")</f>
        <v>264</v>
      </c>
      <c r="C1622" s="12">
        <f>IF(LEFT(H1622,5)="VALID",N1622,"")</f>
        <v>250</v>
      </c>
      <c r="D1622" s="10" t="s">
        <v>82</v>
      </c>
      <c r="E1622" s="10" t="s">
        <v>1907</v>
      </c>
      <c r="F1622" s="10" t="s">
        <v>178</v>
      </c>
      <c r="G1622" s="10" t="s">
        <v>166</v>
      </c>
      <c r="H1622" s="11" t="str">
        <f>IF(OR(M1622&lt;=0,N1622&lt;=0),"SKIPPED - NONPOSITIVE",IF(OR(M1622&lt;L1622,N1622&lt;L1622),"SKIPPED - BELOW MIN",IF(OR(M1622&gt;J1622,N1622&gt;K1622),"SKIPPED - EXCEEDS BASE",IF(COUNTIFS($M$1602:M1621,M1622,$N$1602:N1621,N1622)&gt;0,"SKIPPED - DUPLICATE","VALID - GENERATED"))))</f>
        <v>VALID - GENERATED</v>
      </c>
      <c r="I1622" s="10" t="s">
        <v>1908</v>
      </c>
      <c r="J1622" s="12">
        <f>'05-ISO Reference'!$B$21</f>
        <v>353</v>
      </c>
      <c r="K1622" s="12">
        <f>'05-ISO Reference'!$C$21</f>
        <v>500</v>
      </c>
      <c r="L1622" s="12">
        <f>'01-Process Controls'!$G$5</f>
        <v>3</v>
      </c>
      <c r="M1622" s="12">
        <f>ROUNDDOWN(J1622*'04-Variant Rules'!$D$25,0)</f>
        <v>264</v>
      </c>
      <c r="N1622" s="12">
        <f>ROUNDDOWN(K1622*'04-Variant Rules'!$E$25,0)</f>
        <v>250</v>
      </c>
      <c r="O1622" s="9">
        <v>20</v>
      </c>
    </row>
    <row r="1623" spans="1:15" ht="21" customHeight="1">
      <c r="A1623" s="9" t="s">
        <v>1929</v>
      </c>
      <c r="B1623" s="12">
        <f>IF(LEFT(H1623,5)="VALID",M1623,"")</f>
        <v>176</v>
      </c>
      <c r="C1623" s="12">
        <f>IF(LEFT(H1623,5)="VALID",N1623,"")</f>
        <v>375</v>
      </c>
      <c r="D1623" s="10" t="s">
        <v>82</v>
      </c>
      <c r="E1623" s="10" t="s">
        <v>1907</v>
      </c>
      <c r="F1623" s="10" t="s">
        <v>180</v>
      </c>
      <c r="G1623" s="10" t="s">
        <v>166</v>
      </c>
      <c r="H1623" s="11" t="str">
        <f>IF(OR(M1623&lt;=0,N1623&lt;=0),"SKIPPED - NONPOSITIVE",IF(OR(M1623&lt;L1623,N1623&lt;L1623),"SKIPPED - BELOW MIN",IF(OR(M1623&gt;J1623,N1623&gt;K1623),"SKIPPED - EXCEEDS BASE",IF(COUNTIFS($M$1602:M1622,M1623,$N$1602:N1622,N1623)&gt;0,"SKIPPED - DUPLICATE","VALID - GENERATED"))))</f>
        <v>VALID - GENERATED</v>
      </c>
      <c r="I1623" s="10" t="s">
        <v>1908</v>
      </c>
      <c r="J1623" s="12">
        <f>'05-ISO Reference'!$B$21</f>
        <v>353</v>
      </c>
      <c r="K1623" s="12">
        <f>'05-ISO Reference'!$C$21</f>
        <v>500</v>
      </c>
      <c r="L1623" s="12">
        <f>'01-Process Controls'!$G$5</f>
        <v>3</v>
      </c>
      <c r="M1623" s="12">
        <f>ROUNDDOWN(J1623*'04-Variant Rules'!$D$26,0)</f>
        <v>176</v>
      </c>
      <c r="N1623" s="12">
        <f>ROUNDDOWN(K1623*'04-Variant Rules'!$E$26,0)</f>
        <v>375</v>
      </c>
      <c r="O1623" s="9">
        <v>21</v>
      </c>
    </row>
    <row r="1624" spans="1:15" ht="21" customHeight="1">
      <c r="A1624" s="9" t="s">
        <v>1930</v>
      </c>
      <c r="B1624" s="12">
        <f>IF(LEFT(H1624,5)="VALID",M1624,"")</f>
        <v>335</v>
      </c>
      <c r="C1624" s="12">
        <f>IF(LEFT(H1624,5)="VALID",N1624,"")</f>
        <v>475</v>
      </c>
      <c r="D1624" s="10" t="s">
        <v>82</v>
      </c>
      <c r="E1624" s="10" t="s">
        <v>1907</v>
      </c>
      <c r="F1624" s="10" t="s">
        <v>182</v>
      </c>
      <c r="G1624" s="10" t="s">
        <v>183</v>
      </c>
      <c r="H1624" s="11" t="str">
        <f>IF(OR(M1624&lt;=0,N1624&lt;=0),"SKIPPED - NONPOSITIVE",IF(OR(M1624&lt;L1624,N1624&lt;L1624),"SKIPPED - BELOW MIN",IF(OR(M1624&gt;J1624,N1624&gt;K1624),"SKIPPED - EXCEEDS BASE",IF(COUNTIFS($M$1602:M1623,M1624,$N$1602:N1623,N1624)&gt;0,"SKIPPED - DUPLICATE","VALID - GENERATED"))))</f>
        <v>VALID - GENERATED</v>
      </c>
      <c r="I1624" s="10" t="s">
        <v>1908</v>
      </c>
      <c r="J1624" s="12">
        <f>'05-ISO Reference'!$B$21</f>
        <v>353</v>
      </c>
      <c r="K1624" s="12">
        <f>'05-ISO Reference'!$C$21</f>
        <v>500</v>
      </c>
      <c r="L1624" s="12">
        <f>'01-Process Controls'!$G$5</f>
        <v>3</v>
      </c>
      <c r="M1624" s="12">
        <f>ROUNDDOWN(J1624*'04-Variant Rules'!$D$27,0)</f>
        <v>335</v>
      </c>
      <c r="N1624" s="12">
        <f>ROUNDDOWN(K1624*'04-Variant Rules'!$E$27,0)</f>
        <v>475</v>
      </c>
      <c r="O1624" s="9">
        <v>22</v>
      </c>
    </row>
    <row r="1625" spans="1:15" ht="21" customHeight="1">
      <c r="A1625" s="9" t="s">
        <v>1931</v>
      </c>
      <c r="B1625" s="12">
        <f>IF(LEFT(H1625,5)="VALID",M1625,"")</f>
        <v>317</v>
      </c>
      <c r="C1625" s="12">
        <f>IF(LEFT(H1625,5)="VALID",N1625,"")</f>
        <v>450</v>
      </c>
      <c r="D1625" s="10" t="s">
        <v>82</v>
      </c>
      <c r="E1625" s="10" t="s">
        <v>1907</v>
      </c>
      <c r="F1625" s="10" t="s">
        <v>185</v>
      </c>
      <c r="G1625" s="10" t="s">
        <v>186</v>
      </c>
      <c r="H1625" s="11" t="str">
        <f>IF(OR(M1625&lt;=0,N1625&lt;=0),"SKIPPED - NONPOSITIVE",IF(OR(M1625&lt;L1625,N1625&lt;L1625),"SKIPPED - BELOW MIN",IF(OR(M1625&gt;J1625,N1625&gt;K1625),"SKIPPED - EXCEEDS BASE",IF(COUNTIFS($M$1602:M1624,M1625,$N$1602:N1624,N1625)&gt;0,"SKIPPED - DUPLICATE","VALID - GENERATED"))))</f>
        <v>VALID - GENERATED</v>
      </c>
      <c r="I1625" s="10" t="s">
        <v>1908</v>
      </c>
      <c r="J1625" s="12">
        <f>'05-ISO Reference'!$B$21</f>
        <v>353</v>
      </c>
      <c r="K1625" s="12">
        <f>'05-ISO Reference'!$C$21</f>
        <v>500</v>
      </c>
      <c r="L1625" s="12">
        <f>'01-Process Controls'!$G$5</f>
        <v>3</v>
      </c>
      <c r="M1625" s="12">
        <f>ROUNDDOWN(J1625*'04-Variant Rules'!$D$28,0)</f>
        <v>317</v>
      </c>
      <c r="N1625" s="12">
        <f>ROUNDDOWN(K1625*'04-Variant Rules'!$E$28,0)</f>
        <v>450</v>
      </c>
      <c r="O1625" s="9">
        <v>23</v>
      </c>
    </row>
    <row r="1626" spans="1:15" ht="21" customHeight="1">
      <c r="A1626" s="9" t="s">
        <v>1932</v>
      </c>
      <c r="B1626" s="12">
        <f>IF(LEFT(H1626,5)="VALID",M1626,"")</f>
        <v>300</v>
      </c>
      <c r="C1626" s="12">
        <f>IF(LEFT(H1626,5)="VALID",N1626,"")</f>
        <v>425</v>
      </c>
      <c r="D1626" s="10" t="s">
        <v>82</v>
      </c>
      <c r="E1626" s="10" t="s">
        <v>1907</v>
      </c>
      <c r="F1626" s="10" t="s">
        <v>188</v>
      </c>
      <c r="G1626" s="10" t="s">
        <v>186</v>
      </c>
      <c r="H1626" s="11" t="str">
        <f>IF(OR(M1626&lt;=0,N1626&lt;=0),"SKIPPED - NONPOSITIVE",IF(OR(M1626&lt;L1626,N1626&lt;L1626),"SKIPPED - BELOW MIN",IF(OR(M1626&gt;J1626,N1626&gt;K1626),"SKIPPED - EXCEEDS BASE",IF(COUNTIFS($M$1602:M1625,M1626,$N$1602:N1625,N1626)&gt;0,"SKIPPED - DUPLICATE","VALID - GENERATED"))))</f>
        <v>VALID - GENERATED</v>
      </c>
      <c r="I1626" s="10" t="s">
        <v>1908</v>
      </c>
      <c r="J1626" s="12">
        <f>'05-ISO Reference'!$B$21</f>
        <v>353</v>
      </c>
      <c r="K1626" s="12">
        <f>'05-ISO Reference'!$C$21</f>
        <v>500</v>
      </c>
      <c r="L1626" s="12">
        <f>'01-Process Controls'!$G$5</f>
        <v>3</v>
      </c>
      <c r="M1626" s="12">
        <f>ROUNDDOWN(J1626*'04-Variant Rules'!$D$29,0)</f>
        <v>300</v>
      </c>
      <c r="N1626" s="12">
        <f>ROUNDDOWN(K1626*'04-Variant Rules'!$E$29,0)</f>
        <v>425</v>
      </c>
      <c r="O1626" s="9">
        <v>24</v>
      </c>
    </row>
    <row r="1627" spans="1:15" ht="21" customHeight="1">
      <c r="A1627" s="9" t="s">
        <v>1933</v>
      </c>
      <c r="B1627" s="12">
        <f>IF(LEFT(H1627,5)="VALID",M1627,"")</f>
        <v>282</v>
      </c>
      <c r="C1627" s="12">
        <f>IF(LEFT(H1627,5)="VALID",N1627,"")</f>
        <v>400</v>
      </c>
      <c r="D1627" s="10" t="s">
        <v>82</v>
      </c>
      <c r="E1627" s="10" t="s">
        <v>1907</v>
      </c>
      <c r="F1627" s="10" t="s">
        <v>190</v>
      </c>
      <c r="G1627" s="10" t="s">
        <v>186</v>
      </c>
      <c r="H1627" s="11" t="str">
        <f>IF(OR(M1627&lt;=0,N1627&lt;=0),"SKIPPED - NONPOSITIVE",IF(OR(M1627&lt;L1627,N1627&lt;L1627),"SKIPPED - BELOW MIN",IF(OR(M1627&gt;J1627,N1627&gt;K1627),"SKIPPED - EXCEEDS BASE",IF(COUNTIFS($M$1602:M1626,M1627,$N$1602:N1626,N1627)&gt;0,"SKIPPED - DUPLICATE","VALID - GENERATED"))))</f>
        <v>VALID - GENERATED</v>
      </c>
      <c r="I1627" s="10" t="s">
        <v>1908</v>
      </c>
      <c r="J1627" s="12">
        <f>'05-ISO Reference'!$B$21</f>
        <v>353</v>
      </c>
      <c r="K1627" s="12">
        <f>'05-ISO Reference'!$C$21</f>
        <v>500</v>
      </c>
      <c r="L1627" s="12">
        <f>'01-Process Controls'!$G$5</f>
        <v>3</v>
      </c>
      <c r="M1627" s="12">
        <f>ROUNDDOWN(J1627*'04-Variant Rules'!$D$30,0)</f>
        <v>282</v>
      </c>
      <c r="N1627" s="12">
        <f>ROUNDDOWN(K1627*'04-Variant Rules'!$E$30,0)</f>
        <v>400</v>
      </c>
      <c r="O1627" s="9">
        <v>25</v>
      </c>
    </row>
    <row r="1628" spans="1:15" ht="21" customHeight="1">
      <c r="A1628" s="9" t="s">
        <v>1934</v>
      </c>
      <c r="B1628" s="12">
        <f>IF(LEFT(H1628,5)="VALID",M1628,"")</f>
        <v>264</v>
      </c>
      <c r="C1628" s="12">
        <f>IF(LEFT(H1628,5)="VALID",N1628,"")</f>
        <v>375</v>
      </c>
      <c r="D1628" s="10" t="s">
        <v>82</v>
      </c>
      <c r="E1628" s="10" t="s">
        <v>1907</v>
      </c>
      <c r="F1628" s="10" t="s">
        <v>192</v>
      </c>
      <c r="G1628" s="10" t="s">
        <v>186</v>
      </c>
      <c r="H1628" s="11" t="str">
        <f>IF(OR(M1628&lt;=0,N1628&lt;=0),"SKIPPED - NONPOSITIVE",IF(OR(M1628&lt;L1628,N1628&lt;L1628),"SKIPPED - BELOW MIN",IF(OR(M1628&gt;J1628,N1628&gt;K1628),"SKIPPED - EXCEEDS BASE",IF(COUNTIFS($M$1602:M1627,M1628,$N$1602:N1627,N1628)&gt;0,"SKIPPED - DUPLICATE","VALID - GENERATED"))))</f>
        <v>VALID - GENERATED</v>
      </c>
      <c r="I1628" s="10" t="s">
        <v>1908</v>
      </c>
      <c r="J1628" s="12">
        <f>'05-ISO Reference'!$B$21</f>
        <v>353</v>
      </c>
      <c r="K1628" s="12">
        <f>'05-ISO Reference'!$C$21</f>
        <v>500</v>
      </c>
      <c r="L1628" s="12">
        <f>'01-Process Controls'!$G$5</f>
        <v>3</v>
      </c>
      <c r="M1628" s="12">
        <f>ROUNDDOWN(J1628*'04-Variant Rules'!$D$31,0)</f>
        <v>264</v>
      </c>
      <c r="N1628" s="12">
        <f>ROUNDDOWN(K1628*'04-Variant Rules'!$E$31,0)</f>
        <v>375</v>
      </c>
      <c r="O1628" s="9">
        <v>26</v>
      </c>
    </row>
    <row r="1629" spans="1:15" ht="21" customHeight="1">
      <c r="A1629" s="9" t="s">
        <v>1935</v>
      </c>
      <c r="B1629" s="12">
        <f>IF(LEFT(H1629,5)="VALID",M1629,"")</f>
        <v>247</v>
      </c>
      <c r="C1629" s="12">
        <f>IF(LEFT(H1629,5)="VALID",N1629,"")</f>
        <v>350</v>
      </c>
      <c r="D1629" s="10" t="s">
        <v>82</v>
      </c>
      <c r="E1629" s="10" t="s">
        <v>1907</v>
      </c>
      <c r="F1629" s="10" t="s">
        <v>194</v>
      </c>
      <c r="G1629" s="10" t="s">
        <v>186</v>
      </c>
      <c r="H1629" s="11" t="str">
        <f>IF(OR(M1629&lt;=0,N1629&lt;=0),"SKIPPED - NONPOSITIVE",IF(OR(M1629&lt;L1629,N1629&lt;L1629),"SKIPPED - BELOW MIN",IF(OR(M1629&gt;J1629,N1629&gt;K1629),"SKIPPED - EXCEEDS BASE",IF(COUNTIFS($M$1602:M1628,M1629,$N$1602:N1628,N1629)&gt;0,"SKIPPED - DUPLICATE","VALID - GENERATED"))))</f>
        <v>VALID - GENERATED</v>
      </c>
      <c r="I1629" s="10" t="s">
        <v>1908</v>
      </c>
      <c r="J1629" s="12">
        <f>'05-ISO Reference'!$B$21</f>
        <v>353</v>
      </c>
      <c r="K1629" s="12">
        <f>'05-ISO Reference'!$C$21</f>
        <v>500</v>
      </c>
      <c r="L1629" s="12">
        <f>'01-Process Controls'!$G$5</f>
        <v>3</v>
      </c>
      <c r="M1629" s="12">
        <f>ROUNDDOWN(J1629*'04-Variant Rules'!$D$32,0)</f>
        <v>247</v>
      </c>
      <c r="N1629" s="12">
        <f>ROUNDDOWN(K1629*'04-Variant Rules'!$E$32,0)</f>
        <v>350</v>
      </c>
      <c r="O1629" s="9">
        <v>27</v>
      </c>
    </row>
    <row r="1630" spans="1:15" ht="21" customHeight="1">
      <c r="A1630" s="9" t="s">
        <v>1936</v>
      </c>
      <c r="B1630" s="12">
        <f>IF(LEFT(H1630,5)="VALID",M1630,"")</f>
        <v>235</v>
      </c>
      <c r="C1630" s="12">
        <f>IF(LEFT(H1630,5)="VALID",N1630,"")</f>
        <v>333</v>
      </c>
      <c r="D1630" s="10" t="s">
        <v>82</v>
      </c>
      <c r="E1630" s="10" t="s">
        <v>1907</v>
      </c>
      <c r="F1630" s="10" t="s">
        <v>196</v>
      </c>
      <c r="G1630" s="10" t="s">
        <v>186</v>
      </c>
      <c r="H1630" s="11" t="str">
        <f>IF(OR(M1630&lt;=0,N1630&lt;=0),"SKIPPED - NONPOSITIVE",IF(OR(M1630&lt;L1630,N1630&lt;L1630),"SKIPPED - BELOW MIN",IF(OR(M1630&gt;J1630,N1630&gt;K1630),"SKIPPED - EXCEEDS BASE",IF(COUNTIFS($M$1602:M1629,M1630,$N$1602:N1629,N1630)&gt;0,"SKIPPED - DUPLICATE","VALID - GENERATED"))))</f>
        <v>VALID - GENERATED</v>
      </c>
      <c r="I1630" s="10" t="s">
        <v>1908</v>
      </c>
      <c r="J1630" s="12">
        <f>'05-ISO Reference'!$B$21</f>
        <v>353</v>
      </c>
      <c r="K1630" s="12">
        <f>'05-ISO Reference'!$C$21</f>
        <v>500</v>
      </c>
      <c r="L1630" s="12">
        <f>'01-Process Controls'!$G$5</f>
        <v>3</v>
      </c>
      <c r="M1630" s="12">
        <f>ROUNDDOWN(J1630*'04-Variant Rules'!$D$33,0)</f>
        <v>235</v>
      </c>
      <c r="N1630" s="12">
        <f>ROUNDDOWN(K1630*'04-Variant Rules'!$E$33,0)</f>
        <v>333</v>
      </c>
      <c r="O1630" s="9">
        <v>28</v>
      </c>
    </row>
    <row r="1631" spans="1:15" ht="21" customHeight="1">
      <c r="A1631" s="9" t="s">
        <v>1937</v>
      </c>
      <c r="B1631" s="12">
        <f>IF(LEFT(H1631,5)="VALID",M1631,"")</f>
        <v>211</v>
      </c>
      <c r="C1631" s="12">
        <f>IF(LEFT(H1631,5)="VALID",N1631,"")</f>
        <v>300</v>
      </c>
      <c r="D1631" s="10" t="s">
        <v>82</v>
      </c>
      <c r="E1631" s="10" t="s">
        <v>1907</v>
      </c>
      <c r="F1631" s="10" t="s">
        <v>198</v>
      </c>
      <c r="G1631" s="10" t="s">
        <v>186</v>
      </c>
      <c r="H1631" s="11" t="str">
        <f>IF(OR(M1631&lt;=0,N1631&lt;=0),"SKIPPED - NONPOSITIVE",IF(OR(M1631&lt;L1631,N1631&lt;L1631),"SKIPPED - BELOW MIN",IF(OR(M1631&gt;J1631,N1631&gt;K1631),"SKIPPED - EXCEEDS BASE",IF(COUNTIFS($M$1602:M1630,M1631,$N$1602:N1630,N1631)&gt;0,"SKIPPED - DUPLICATE","VALID - GENERATED"))))</f>
        <v>VALID - GENERATED</v>
      </c>
      <c r="I1631" s="10" t="s">
        <v>1908</v>
      </c>
      <c r="J1631" s="12">
        <f>'05-ISO Reference'!$B$21</f>
        <v>353</v>
      </c>
      <c r="K1631" s="12">
        <f>'05-ISO Reference'!$C$21</f>
        <v>500</v>
      </c>
      <c r="L1631" s="12">
        <f>'01-Process Controls'!$G$5</f>
        <v>3</v>
      </c>
      <c r="M1631" s="12">
        <f>ROUNDDOWN(J1631*'04-Variant Rules'!$D$34,0)</f>
        <v>211</v>
      </c>
      <c r="N1631" s="12">
        <f>ROUNDDOWN(K1631*'04-Variant Rules'!$E$34,0)</f>
        <v>300</v>
      </c>
      <c r="O1631" s="9">
        <v>29</v>
      </c>
    </row>
    <row r="1632" spans="1:15" ht="21" customHeight="1">
      <c r="A1632" s="9" t="s">
        <v>1938</v>
      </c>
      <c r="B1632" s="12">
        <f>IF(LEFT(H1632,5)="VALID",M1632,"")</f>
        <v>194</v>
      </c>
      <c r="C1632" s="12">
        <f>IF(LEFT(H1632,5)="VALID",N1632,"")</f>
        <v>275</v>
      </c>
      <c r="D1632" s="10" t="s">
        <v>82</v>
      </c>
      <c r="E1632" s="10" t="s">
        <v>1907</v>
      </c>
      <c r="F1632" s="10" t="s">
        <v>200</v>
      </c>
      <c r="G1632" s="10" t="s">
        <v>186</v>
      </c>
      <c r="H1632" s="11" t="str">
        <f>IF(OR(M1632&lt;=0,N1632&lt;=0),"SKIPPED - NONPOSITIVE",IF(OR(M1632&lt;L1632,N1632&lt;L1632),"SKIPPED - BELOW MIN",IF(OR(M1632&gt;J1632,N1632&gt;K1632),"SKIPPED - EXCEEDS BASE",IF(COUNTIFS($M$1602:M1631,M1632,$N$1602:N1631,N1632)&gt;0,"SKIPPED - DUPLICATE","VALID - GENERATED"))))</f>
        <v>VALID - GENERATED</v>
      </c>
      <c r="I1632" s="10" t="s">
        <v>1908</v>
      </c>
      <c r="J1632" s="12">
        <f>'05-ISO Reference'!$B$21</f>
        <v>353</v>
      </c>
      <c r="K1632" s="12">
        <f>'05-ISO Reference'!$C$21</f>
        <v>500</v>
      </c>
      <c r="L1632" s="12">
        <f>'01-Process Controls'!$G$5</f>
        <v>3</v>
      </c>
      <c r="M1632" s="12">
        <f>ROUNDDOWN(J1632*'04-Variant Rules'!$D$35,0)</f>
        <v>194</v>
      </c>
      <c r="N1632" s="12">
        <f>ROUNDDOWN(K1632*'04-Variant Rules'!$E$35,0)</f>
        <v>275</v>
      </c>
      <c r="O1632" s="9">
        <v>30</v>
      </c>
    </row>
    <row r="1633" spans="1:15" ht="21" customHeight="1">
      <c r="A1633" s="9" t="s">
        <v>1939</v>
      </c>
      <c r="B1633" s="12">
        <f>IF(LEFT(H1633,5)="VALID",M1633,"")</f>
        <v>158</v>
      </c>
      <c r="C1633" s="12">
        <f>IF(LEFT(H1633,5)="VALID",N1633,"")</f>
        <v>225</v>
      </c>
      <c r="D1633" s="10" t="s">
        <v>82</v>
      </c>
      <c r="E1633" s="10" t="s">
        <v>1907</v>
      </c>
      <c r="F1633" s="10" t="s">
        <v>202</v>
      </c>
      <c r="G1633" s="10" t="s">
        <v>186</v>
      </c>
      <c r="H1633" s="11" t="str">
        <f>IF(OR(M1633&lt;=0,N1633&lt;=0),"SKIPPED - NONPOSITIVE",IF(OR(M1633&lt;L1633,N1633&lt;L1633),"SKIPPED - BELOW MIN",IF(OR(M1633&gt;J1633,N1633&gt;K1633),"SKIPPED - EXCEEDS BASE",IF(COUNTIFS($M$1602:M1632,M1633,$N$1602:N1632,N1633)&gt;0,"SKIPPED - DUPLICATE","VALID - GENERATED"))))</f>
        <v>VALID - GENERATED</v>
      </c>
      <c r="I1633" s="10" t="s">
        <v>1908</v>
      </c>
      <c r="J1633" s="12">
        <f>'05-ISO Reference'!$B$21</f>
        <v>353</v>
      </c>
      <c r="K1633" s="12">
        <f>'05-ISO Reference'!$C$21</f>
        <v>500</v>
      </c>
      <c r="L1633" s="12">
        <f>'01-Process Controls'!$G$5</f>
        <v>3</v>
      </c>
      <c r="M1633" s="12">
        <f>ROUNDDOWN(J1633*'04-Variant Rules'!$D$36,0)</f>
        <v>158</v>
      </c>
      <c r="N1633" s="12">
        <f>ROUNDDOWN(K1633*'04-Variant Rules'!$E$36,0)</f>
        <v>225</v>
      </c>
      <c r="O1633" s="9">
        <v>31</v>
      </c>
    </row>
    <row r="1634" spans="1:15" ht="21" customHeight="1">
      <c r="A1634" s="9" t="s">
        <v>1940</v>
      </c>
      <c r="B1634" s="12">
        <f>IF(LEFT(H1634,5)="VALID",M1634,"")</f>
        <v>141</v>
      </c>
      <c r="C1634" s="12">
        <f>IF(LEFT(H1634,5)="VALID",N1634,"")</f>
        <v>200</v>
      </c>
      <c r="D1634" s="10" t="s">
        <v>82</v>
      </c>
      <c r="E1634" s="10" t="s">
        <v>1907</v>
      </c>
      <c r="F1634" s="10" t="s">
        <v>204</v>
      </c>
      <c r="G1634" s="10" t="s">
        <v>186</v>
      </c>
      <c r="H1634" s="11" t="str">
        <f>IF(OR(M1634&lt;=0,N1634&lt;=0),"SKIPPED - NONPOSITIVE",IF(OR(M1634&lt;L1634,N1634&lt;L1634),"SKIPPED - BELOW MIN",IF(OR(M1634&gt;J1634,N1634&gt;K1634),"SKIPPED - EXCEEDS BASE",IF(COUNTIFS($M$1602:M1633,M1634,$N$1602:N1633,N1634)&gt;0,"SKIPPED - DUPLICATE","VALID - GENERATED"))))</f>
        <v>VALID - GENERATED</v>
      </c>
      <c r="I1634" s="10" t="s">
        <v>1908</v>
      </c>
      <c r="J1634" s="12">
        <f>'05-ISO Reference'!$B$21</f>
        <v>353</v>
      </c>
      <c r="K1634" s="12">
        <f>'05-ISO Reference'!$C$21</f>
        <v>500</v>
      </c>
      <c r="L1634" s="12">
        <f>'01-Process Controls'!$G$5</f>
        <v>3</v>
      </c>
      <c r="M1634" s="12">
        <f>ROUNDDOWN(J1634*'04-Variant Rules'!$D$37,0)</f>
        <v>141</v>
      </c>
      <c r="N1634" s="12">
        <f>ROUNDDOWN(K1634*'04-Variant Rules'!$E$37,0)</f>
        <v>200</v>
      </c>
      <c r="O1634" s="9">
        <v>32</v>
      </c>
    </row>
    <row r="1635" spans="1:15" ht="21" customHeight="1">
      <c r="A1635" s="9" t="s">
        <v>1941</v>
      </c>
      <c r="B1635" s="12">
        <f>IF(LEFT(H1635,5)="VALID",M1635,"")</f>
        <v>123</v>
      </c>
      <c r="C1635" s="12">
        <f>IF(LEFT(H1635,5)="VALID",N1635,"")</f>
        <v>175</v>
      </c>
      <c r="D1635" s="10" t="s">
        <v>82</v>
      </c>
      <c r="E1635" s="10" t="s">
        <v>1907</v>
      </c>
      <c r="F1635" s="10" t="s">
        <v>206</v>
      </c>
      <c r="G1635" s="10" t="s">
        <v>186</v>
      </c>
      <c r="H1635" s="11" t="str">
        <f>IF(OR(M1635&lt;=0,N1635&lt;=0),"SKIPPED - NONPOSITIVE",IF(OR(M1635&lt;L1635,N1635&lt;L1635),"SKIPPED - BELOW MIN",IF(OR(M1635&gt;J1635,N1635&gt;K1635),"SKIPPED - EXCEEDS BASE",IF(COUNTIFS($M$1602:M1634,M1635,$N$1602:N1634,N1635)&gt;0,"SKIPPED - DUPLICATE","VALID - GENERATED"))))</f>
        <v>VALID - GENERATED</v>
      </c>
      <c r="I1635" s="10" t="s">
        <v>1908</v>
      </c>
      <c r="J1635" s="12">
        <f>'05-ISO Reference'!$B$21</f>
        <v>353</v>
      </c>
      <c r="K1635" s="12">
        <f>'05-ISO Reference'!$C$21</f>
        <v>500</v>
      </c>
      <c r="L1635" s="12">
        <f>'01-Process Controls'!$G$5</f>
        <v>3</v>
      </c>
      <c r="M1635" s="12">
        <f>ROUNDDOWN(J1635*'04-Variant Rules'!$D$38,0)</f>
        <v>123</v>
      </c>
      <c r="N1635" s="12">
        <f>ROUNDDOWN(K1635*'04-Variant Rules'!$E$38,0)</f>
        <v>175</v>
      </c>
      <c r="O1635" s="9">
        <v>33</v>
      </c>
    </row>
    <row r="1636" spans="1:15" ht="21" customHeight="1">
      <c r="A1636" s="9" t="s">
        <v>1942</v>
      </c>
      <c r="B1636" s="12">
        <f>IF(LEFT(H1636,5)="VALID",M1636,"")</f>
        <v>105</v>
      </c>
      <c r="C1636" s="12">
        <f>IF(LEFT(H1636,5)="VALID",N1636,"")</f>
        <v>150</v>
      </c>
      <c r="D1636" s="10" t="s">
        <v>82</v>
      </c>
      <c r="E1636" s="10" t="s">
        <v>1907</v>
      </c>
      <c r="F1636" s="10" t="s">
        <v>208</v>
      </c>
      <c r="G1636" s="10" t="s">
        <v>186</v>
      </c>
      <c r="H1636" s="11" t="str">
        <f>IF(OR(M1636&lt;=0,N1636&lt;=0),"SKIPPED - NONPOSITIVE",IF(OR(M1636&lt;L1636,N1636&lt;L1636),"SKIPPED - BELOW MIN",IF(OR(M1636&gt;J1636,N1636&gt;K1636),"SKIPPED - EXCEEDS BASE",IF(COUNTIFS($M$1602:M1635,M1636,$N$1602:N1635,N1636)&gt;0,"SKIPPED - DUPLICATE","VALID - GENERATED"))))</f>
        <v>VALID - GENERATED</v>
      </c>
      <c r="I1636" s="10" t="s">
        <v>1908</v>
      </c>
      <c r="J1636" s="12">
        <f>'05-ISO Reference'!$B$21</f>
        <v>353</v>
      </c>
      <c r="K1636" s="12">
        <f>'05-ISO Reference'!$C$21</f>
        <v>500</v>
      </c>
      <c r="L1636" s="12">
        <f>'01-Process Controls'!$G$5</f>
        <v>3</v>
      </c>
      <c r="M1636" s="12">
        <f>ROUNDDOWN(J1636*'04-Variant Rules'!$D$39,0)</f>
        <v>105</v>
      </c>
      <c r="N1636" s="12">
        <f>ROUNDDOWN(K1636*'04-Variant Rules'!$E$39,0)</f>
        <v>150</v>
      </c>
      <c r="O1636" s="9">
        <v>34</v>
      </c>
    </row>
    <row r="1637" spans="1:15" ht="21" customHeight="1">
      <c r="A1637" s="9" t="s">
        <v>1943</v>
      </c>
      <c r="B1637" s="12">
        <f>IF(LEFT(H1637,5)="VALID",M1637,"")</f>
        <v>70</v>
      </c>
      <c r="C1637" s="12">
        <f>IF(LEFT(H1637,5)="VALID",N1637,"")</f>
        <v>100</v>
      </c>
      <c r="D1637" s="10" t="s">
        <v>82</v>
      </c>
      <c r="E1637" s="10" t="s">
        <v>1907</v>
      </c>
      <c r="F1637" s="10" t="s">
        <v>210</v>
      </c>
      <c r="G1637" s="10" t="s">
        <v>186</v>
      </c>
      <c r="H1637" s="11" t="str">
        <f>IF(OR(M1637&lt;=0,N1637&lt;=0),"SKIPPED - NONPOSITIVE",IF(OR(M1637&lt;L1637,N1637&lt;L1637),"SKIPPED - BELOW MIN",IF(OR(M1637&gt;J1637,N1637&gt;K1637),"SKIPPED - EXCEEDS BASE",IF(COUNTIFS($M$1602:M1636,M1637,$N$1602:N1636,N1637)&gt;0,"SKIPPED - DUPLICATE","VALID - GENERATED"))))</f>
        <v>VALID - GENERATED</v>
      </c>
      <c r="I1637" s="10" t="s">
        <v>1908</v>
      </c>
      <c r="J1637" s="12">
        <f>'05-ISO Reference'!$B$21</f>
        <v>353</v>
      </c>
      <c r="K1637" s="12">
        <f>'05-ISO Reference'!$C$21</f>
        <v>500</v>
      </c>
      <c r="L1637" s="12">
        <f>'01-Process Controls'!$G$5</f>
        <v>3</v>
      </c>
      <c r="M1637" s="12">
        <f>ROUNDDOWN(J1637*'04-Variant Rules'!$D$40,0)</f>
        <v>70</v>
      </c>
      <c r="N1637" s="12">
        <f>ROUNDDOWN(K1637*'04-Variant Rules'!$E$40,0)</f>
        <v>100</v>
      </c>
      <c r="O1637" s="9">
        <v>35</v>
      </c>
    </row>
    <row r="1638" spans="1:15" ht="21" customHeight="1">
      <c r="A1638" s="9" t="s">
        <v>1944</v>
      </c>
      <c r="B1638" s="12">
        <f>IF(LEFT(H1638,5)="VALID",M1638,"")</f>
        <v>52</v>
      </c>
      <c r="C1638" s="12">
        <f>IF(LEFT(H1638,5)="VALID",N1638,"")</f>
        <v>75</v>
      </c>
      <c r="D1638" s="10" t="s">
        <v>82</v>
      </c>
      <c r="E1638" s="10" t="s">
        <v>1907</v>
      </c>
      <c r="F1638" s="10" t="s">
        <v>212</v>
      </c>
      <c r="G1638" s="10" t="s">
        <v>213</v>
      </c>
      <c r="H1638" s="11" t="str">
        <f>IF(OR(M1638&lt;=0,N1638&lt;=0),"SKIPPED - NONPOSITIVE",IF(OR(M1638&lt;L1638,N1638&lt;L1638),"SKIPPED - BELOW MIN",IF(OR(M1638&gt;J1638,N1638&gt;K1638),"SKIPPED - EXCEEDS BASE",IF(COUNTIFS($M$1602:M1637,M1638,$N$1602:N1637,N1638)&gt;0,"SKIPPED - DUPLICATE","VALID - GENERATED"))))</f>
        <v>VALID - GENERATED</v>
      </c>
      <c r="I1638" s="10" t="s">
        <v>1908</v>
      </c>
      <c r="J1638" s="12">
        <f>'05-ISO Reference'!$B$21</f>
        <v>353</v>
      </c>
      <c r="K1638" s="12">
        <f>'05-ISO Reference'!$C$21</f>
        <v>500</v>
      </c>
      <c r="L1638" s="12">
        <f>'01-Process Controls'!$G$5</f>
        <v>3</v>
      </c>
      <c r="M1638" s="12">
        <f>ROUNDDOWN(J1638*'04-Variant Rules'!$D$41,0)</f>
        <v>52</v>
      </c>
      <c r="N1638" s="12">
        <f>ROUNDDOWN(K1638*'04-Variant Rules'!$E$41,0)</f>
        <v>75</v>
      </c>
      <c r="O1638" s="9">
        <v>36</v>
      </c>
    </row>
    <row r="1639" spans="1:15" ht="21" customHeight="1">
      <c r="A1639" s="9" t="s">
        <v>1945</v>
      </c>
      <c r="B1639" s="12">
        <f>IF(LEFT(H1639,5)="VALID",M1639,"")</f>
        <v>353</v>
      </c>
      <c r="C1639" s="12">
        <f>IF(LEFT(H1639,5)="VALID",N1639,"")</f>
        <v>353</v>
      </c>
      <c r="D1639" s="10" t="s">
        <v>82</v>
      </c>
      <c r="E1639" s="10" t="s">
        <v>1907</v>
      </c>
      <c r="F1639" s="10" t="s">
        <v>215</v>
      </c>
      <c r="G1639" s="10" t="s">
        <v>216</v>
      </c>
      <c r="H1639" s="11" t="str">
        <f>IF(OR(M1639&lt;=0,N1639&lt;=0),"SKIPPED - NONPOSITIVE",IF(OR(M1639&lt;L1639,N1639&lt;L1639),"SKIPPED - BELOW MIN",IF(OR(M1639&gt;J1639,N1639&gt;K1639),"SKIPPED - EXCEEDS BASE",IF(COUNTIFS($M$1602:M1638,M1639,$N$1602:N1638,N1639)&gt;0,"SKIPPED - DUPLICATE","VALID - GENERATED"))))</f>
        <v>VALID - GENERATED</v>
      </c>
      <c r="I1639" s="10" t="s">
        <v>1908</v>
      </c>
      <c r="J1639" s="12">
        <f>'05-ISO Reference'!$B$21</f>
        <v>353</v>
      </c>
      <c r="K1639" s="12">
        <f>'05-ISO Reference'!$C$21</f>
        <v>500</v>
      </c>
      <c r="L1639" s="12">
        <f>'01-Process Controls'!$G$5</f>
        <v>3</v>
      </c>
      <c r="M1639" s="12">
        <f>ROUNDDOWN(MIN(J1639,K1639)*'04-Variant Rules'!$D$42,0)</f>
        <v>353</v>
      </c>
      <c r="N1639" s="12">
        <f>ROUNDDOWN(MIN(J1639,K1639)*'04-Variant Rules'!$D$42,0)</f>
        <v>353</v>
      </c>
      <c r="O1639" s="9">
        <v>37</v>
      </c>
    </row>
    <row r="1640" spans="1:15" ht="21" customHeight="1">
      <c r="A1640" s="9" t="s">
        <v>1946</v>
      </c>
      <c r="B1640" s="12">
        <f>IF(LEFT(H1640,5)="VALID",M1640,"")</f>
        <v>317</v>
      </c>
      <c r="C1640" s="12">
        <f>IF(LEFT(H1640,5)="VALID",N1640,"")</f>
        <v>317</v>
      </c>
      <c r="D1640" s="10" t="s">
        <v>82</v>
      </c>
      <c r="E1640" s="10" t="s">
        <v>1907</v>
      </c>
      <c r="F1640" s="10" t="s">
        <v>218</v>
      </c>
      <c r="G1640" s="10" t="s">
        <v>219</v>
      </c>
      <c r="H1640" s="11" t="str">
        <f>IF(OR(M1640&lt;=0,N1640&lt;=0),"SKIPPED - NONPOSITIVE",IF(OR(M1640&lt;L1640,N1640&lt;L1640),"SKIPPED - BELOW MIN",IF(OR(M1640&gt;J1640,N1640&gt;K1640),"SKIPPED - EXCEEDS BASE",IF(COUNTIFS($M$1602:M1639,M1640,$N$1602:N1639,N1640)&gt;0,"SKIPPED - DUPLICATE","VALID - GENERATED"))))</f>
        <v>VALID - GENERATED</v>
      </c>
      <c r="I1640" s="10" t="s">
        <v>1908</v>
      </c>
      <c r="J1640" s="12">
        <f>'05-ISO Reference'!$B$21</f>
        <v>353</v>
      </c>
      <c r="K1640" s="12">
        <f>'05-ISO Reference'!$C$21</f>
        <v>500</v>
      </c>
      <c r="L1640" s="12">
        <f>'01-Process Controls'!$G$5</f>
        <v>3</v>
      </c>
      <c r="M1640" s="12">
        <f>ROUNDDOWN(MIN(J1640,K1640)*'04-Variant Rules'!$D$43,0)</f>
        <v>317</v>
      </c>
      <c r="N1640" s="12">
        <f>ROUNDDOWN(MIN(J1640,K1640)*'04-Variant Rules'!$D$43,0)</f>
        <v>317</v>
      </c>
      <c r="O1640" s="9">
        <v>38</v>
      </c>
    </row>
    <row r="1641" spans="1:15" ht="21" customHeight="1">
      <c r="A1641" s="9" t="s">
        <v>1947</v>
      </c>
      <c r="B1641" s="12">
        <f>IF(LEFT(H1641,5)="VALID",M1641,"")</f>
        <v>282</v>
      </c>
      <c r="C1641" s="12">
        <f>IF(LEFT(H1641,5)="VALID",N1641,"")</f>
        <v>282</v>
      </c>
      <c r="D1641" s="10" t="s">
        <v>82</v>
      </c>
      <c r="E1641" s="10" t="s">
        <v>1907</v>
      </c>
      <c r="F1641" s="10" t="s">
        <v>221</v>
      </c>
      <c r="G1641" s="10" t="s">
        <v>219</v>
      </c>
      <c r="H1641" s="11" t="str">
        <f>IF(OR(M1641&lt;=0,N1641&lt;=0),"SKIPPED - NONPOSITIVE",IF(OR(M1641&lt;L1641,N1641&lt;L1641),"SKIPPED - BELOW MIN",IF(OR(M1641&gt;J1641,N1641&gt;K1641),"SKIPPED - EXCEEDS BASE",IF(COUNTIFS($M$1602:M1640,M1641,$N$1602:N1640,N1641)&gt;0,"SKIPPED - DUPLICATE","VALID - GENERATED"))))</f>
        <v>VALID - GENERATED</v>
      </c>
      <c r="I1641" s="10" t="s">
        <v>1908</v>
      </c>
      <c r="J1641" s="12">
        <f>'05-ISO Reference'!$B$21</f>
        <v>353</v>
      </c>
      <c r="K1641" s="12">
        <f>'05-ISO Reference'!$C$21</f>
        <v>500</v>
      </c>
      <c r="L1641" s="12">
        <f>'01-Process Controls'!$G$5</f>
        <v>3</v>
      </c>
      <c r="M1641" s="12">
        <f>ROUNDDOWN(MIN(J1641,K1641)*'04-Variant Rules'!$D$44,0)</f>
        <v>282</v>
      </c>
      <c r="N1641" s="12">
        <f>ROUNDDOWN(MIN(J1641,K1641)*'04-Variant Rules'!$D$44,0)</f>
        <v>282</v>
      </c>
      <c r="O1641" s="9">
        <v>39</v>
      </c>
    </row>
    <row r="1642" spans="1:15" ht="21" customHeight="1">
      <c r="A1642" s="9" t="s">
        <v>1948</v>
      </c>
      <c r="B1642" s="12">
        <f>IF(LEFT(H1642,5)="VALID",M1642,"")</f>
        <v>264</v>
      </c>
      <c r="C1642" s="12">
        <f>IF(LEFT(H1642,5)="VALID",N1642,"")</f>
        <v>264</v>
      </c>
      <c r="D1642" s="10" t="s">
        <v>82</v>
      </c>
      <c r="E1642" s="10" t="s">
        <v>1907</v>
      </c>
      <c r="F1642" s="10" t="s">
        <v>223</v>
      </c>
      <c r="G1642" s="10" t="s">
        <v>219</v>
      </c>
      <c r="H1642" s="11" t="str">
        <f>IF(OR(M1642&lt;=0,N1642&lt;=0),"SKIPPED - NONPOSITIVE",IF(OR(M1642&lt;L1642,N1642&lt;L1642),"SKIPPED - BELOW MIN",IF(OR(M1642&gt;J1642,N1642&gt;K1642),"SKIPPED - EXCEEDS BASE",IF(COUNTIFS($M$1602:M1641,M1642,$N$1602:N1641,N1642)&gt;0,"SKIPPED - DUPLICATE","VALID - GENERATED"))))</f>
        <v>VALID - GENERATED</v>
      </c>
      <c r="I1642" s="10" t="s">
        <v>1908</v>
      </c>
      <c r="J1642" s="12">
        <f>'05-ISO Reference'!$B$21</f>
        <v>353</v>
      </c>
      <c r="K1642" s="12">
        <f>'05-ISO Reference'!$C$21</f>
        <v>500</v>
      </c>
      <c r="L1642" s="12">
        <f>'01-Process Controls'!$G$5</f>
        <v>3</v>
      </c>
      <c r="M1642" s="12">
        <f>ROUNDDOWN(MIN(J1642,K1642)*'04-Variant Rules'!$D$45,0)</f>
        <v>264</v>
      </c>
      <c r="N1642" s="12">
        <f>ROUNDDOWN(MIN(J1642,K1642)*'04-Variant Rules'!$D$45,0)</f>
        <v>264</v>
      </c>
      <c r="O1642" s="9">
        <v>40</v>
      </c>
    </row>
    <row r="1643" spans="1:15" ht="21" customHeight="1">
      <c r="A1643" s="9" t="s">
        <v>1949</v>
      </c>
      <c r="B1643" s="12">
        <f>IF(LEFT(H1643,5)="VALID",M1643,"")</f>
        <v>235</v>
      </c>
      <c r="C1643" s="12">
        <f>IF(LEFT(H1643,5)="VALID",N1643,"")</f>
        <v>235</v>
      </c>
      <c r="D1643" s="10" t="s">
        <v>82</v>
      </c>
      <c r="E1643" s="10" t="s">
        <v>1907</v>
      </c>
      <c r="F1643" s="10" t="s">
        <v>225</v>
      </c>
      <c r="G1643" s="10" t="s">
        <v>219</v>
      </c>
      <c r="H1643" s="11" t="str">
        <f>IF(OR(M1643&lt;=0,N1643&lt;=0),"SKIPPED - NONPOSITIVE",IF(OR(M1643&lt;L1643,N1643&lt;L1643),"SKIPPED - BELOW MIN",IF(OR(M1643&gt;J1643,N1643&gt;K1643),"SKIPPED - EXCEEDS BASE",IF(COUNTIFS($M$1602:M1642,M1643,$N$1602:N1642,N1643)&gt;0,"SKIPPED - DUPLICATE","VALID - GENERATED"))))</f>
        <v>VALID - GENERATED</v>
      </c>
      <c r="I1643" s="10" t="s">
        <v>1908</v>
      </c>
      <c r="J1643" s="12">
        <f>'05-ISO Reference'!$B$21</f>
        <v>353</v>
      </c>
      <c r="K1643" s="12">
        <f>'05-ISO Reference'!$C$21</f>
        <v>500</v>
      </c>
      <c r="L1643" s="12">
        <f>'01-Process Controls'!$G$5</f>
        <v>3</v>
      </c>
      <c r="M1643" s="12">
        <f>ROUNDDOWN(MIN(J1643,K1643)*'04-Variant Rules'!$D$46,0)</f>
        <v>235</v>
      </c>
      <c r="N1643" s="12">
        <f>ROUNDDOWN(MIN(J1643,K1643)*'04-Variant Rules'!$D$46,0)</f>
        <v>235</v>
      </c>
      <c r="O1643" s="9">
        <v>41</v>
      </c>
    </row>
    <row r="1644" spans="1:15" ht="21" customHeight="1">
      <c r="A1644" s="9" t="s">
        <v>1950</v>
      </c>
      <c r="B1644" s="12">
        <f>IF(LEFT(H1644,5)="VALID",M1644,"")</f>
        <v>211</v>
      </c>
      <c r="C1644" s="12">
        <f>IF(LEFT(H1644,5)="VALID",N1644,"")</f>
        <v>211</v>
      </c>
      <c r="D1644" s="10" t="s">
        <v>82</v>
      </c>
      <c r="E1644" s="10" t="s">
        <v>1907</v>
      </c>
      <c r="F1644" s="10" t="s">
        <v>227</v>
      </c>
      <c r="G1644" s="10" t="s">
        <v>219</v>
      </c>
      <c r="H1644" s="11" t="str">
        <f>IF(OR(M1644&lt;=0,N1644&lt;=0),"SKIPPED - NONPOSITIVE",IF(OR(M1644&lt;L1644,N1644&lt;L1644),"SKIPPED - BELOW MIN",IF(OR(M1644&gt;J1644,N1644&gt;K1644),"SKIPPED - EXCEEDS BASE",IF(COUNTIFS($M$1602:M1643,M1644,$N$1602:N1643,N1644)&gt;0,"SKIPPED - DUPLICATE","VALID - GENERATED"))))</f>
        <v>VALID - GENERATED</v>
      </c>
      <c r="I1644" s="10" t="s">
        <v>1908</v>
      </c>
      <c r="J1644" s="12">
        <f>'05-ISO Reference'!$B$21</f>
        <v>353</v>
      </c>
      <c r="K1644" s="12">
        <f>'05-ISO Reference'!$C$21</f>
        <v>500</v>
      </c>
      <c r="L1644" s="12">
        <f>'01-Process Controls'!$G$5</f>
        <v>3</v>
      </c>
      <c r="M1644" s="12">
        <f>ROUNDDOWN(MIN(J1644,K1644)*'04-Variant Rules'!$D$47,0)</f>
        <v>211</v>
      </c>
      <c r="N1644" s="12">
        <f>ROUNDDOWN(MIN(J1644,K1644)*'04-Variant Rules'!$D$47,0)</f>
        <v>211</v>
      </c>
      <c r="O1644" s="9">
        <v>42</v>
      </c>
    </row>
    <row r="1645" spans="1:15" ht="21" customHeight="1">
      <c r="A1645" s="9" t="s">
        <v>1951</v>
      </c>
      <c r="B1645" s="12">
        <f>IF(LEFT(H1645,5)="VALID",M1645,"")</f>
        <v>176</v>
      </c>
      <c r="C1645" s="12">
        <f>IF(LEFT(H1645,5)="VALID",N1645,"")</f>
        <v>176</v>
      </c>
      <c r="D1645" s="10" t="s">
        <v>82</v>
      </c>
      <c r="E1645" s="10" t="s">
        <v>1907</v>
      </c>
      <c r="F1645" s="10" t="s">
        <v>229</v>
      </c>
      <c r="G1645" s="10" t="s">
        <v>219</v>
      </c>
      <c r="H1645" s="11" t="str">
        <f>IF(OR(M1645&lt;=0,N1645&lt;=0),"SKIPPED - NONPOSITIVE",IF(OR(M1645&lt;L1645,N1645&lt;L1645),"SKIPPED - BELOW MIN",IF(OR(M1645&gt;J1645,N1645&gt;K1645),"SKIPPED - EXCEEDS BASE",IF(COUNTIFS($M$1602:M1644,M1645,$N$1602:N1644,N1645)&gt;0,"SKIPPED - DUPLICATE","VALID - GENERATED"))))</f>
        <v>VALID - GENERATED</v>
      </c>
      <c r="I1645" s="10" t="s">
        <v>1908</v>
      </c>
      <c r="J1645" s="12">
        <f>'05-ISO Reference'!$B$21</f>
        <v>353</v>
      </c>
      <c r="K1645" s="12">
        <f>'05-ISO Reference'!$C$21</f>
        <v>500</v>
      </c>
      <c r="L1645" s="12">
        <f>'01-Process Controls'!$G$5</f>
        <v>3</v>
      </c>
      <c r="M1645" s="12">
        <f>ROUNDDOWN(MIN(J1645,K1645)*'04-Variant Rules'!$D$48,0)</f>
        <v>176</v>
      </c>
      <c r="N1645" s="12">
        <f>ROUNDDOWN(MIN(J1645,K1645)*'04-Variant Rules'!$D$48,0)</f>
        <v>176</v>
      </c>
      <c r="O1645" s="9">
        <v>43</v>
      </c>
    </row>
    <row r="1646" spans="1:15" ht="21" customHeight="1">
      <c r="A1646" s="9" t="s">
        <v>1952</v>
      </c>
      <c r="B1646" s="12">
        <f>IF(LEFT(H1646,5)="VALID",M1646,"")</f>
        <v>141</v>
      </c>
      <c r="C1646" s="12">
        <f>IF(LEFT(H1646,5)="VALID",N1646,"")</f>
        <v>141</v>
      </c>
      <c r="D1646" s="10" t="s">
        <v>82</v>
      </c>
      <c r="E1646" s="10" t="s">
        <v>1907</v>
      </c>
      <c r="F1646" s="10" t="s">
        <v>231</v>
      </c>
      <c r="G1646" s="10" t="s">
        <v>219</v>
      </c>
      <c r="H1646" s="11" t="str">
        <f>IF(OR(M1646&lt;=0,N1646&lt;=0),"SKIPPED - NONPOSITIVE",IF(OR(M1646&lt;L1646,N1646&lt;L1646),"SKIPPED - BELOW MIN",IF(OR(M1646&gt;J1646,N1646&gt;K1646),"SKIPPED - EXCEEDS BASE",IF(COUNTIFS($M$1602:M1645,M1646,$N$1602:N1645,N1646)&gt;0,"SKIPPED - DUPLICATE","VALID - GENERATED"))))</f>
        <v>VALID - GENERATED</v>
      </c>
      <c r="I1646" s="10" t="s">
        <v>1908</v>
      </c>
      <c r="J1646" s="12">
        <f>'05-ISO Reference'!$B$21</f>
        <v>353</v>
      </c>
      <c r="K1646" s="12">
        <f>'05-ISO Reference'!$C$21</f>
        <v>500</v>
      </c>
      <c r="L1646" s="12">
        <f>'01-Process Controls'!$G$5</f>
        <v>3</v>
      </c>
      <c r="M1646" s="12">
        <f>ROUNDDOWN(MIN(J1646,K1646)*'04-Variant Rules'!$D$49,0)</f>
        <v>141</v>
      </c>
      <c r="N1646" s="12">
        <f>ROUNDDOWN(MIN(J1646,K1646)*'04-Variant Rules'!$D$49,0)</f>
        <v>141</v>
      </c>
      <c r="O1646" s="9">
        <v>44</v>
      </c>
    </row>
    <row r="1647" spans="1:15" ht="21" customHeight="1">
      <c r="A1647" s="9" t="s">
        <v>1953</v>
      </c>
      <c r="B1647" s="12">
        <f>IF(LEFT(H1647,5)="VALID",M1647,"")</f>
        <v>117</v>
      </c>
      <c r="C1647" s="12">
        <f>IF(LEFT(H1647,5)="VALID",N1647,"")</f>
        <v>117</v>
      </c>
      <c r="D1647" s="10" t="s">
        <v>82</v>
      </c>
      <c r="E1647" s="10" t="s">
        <v>1907</v>
      </c>
      <c r="F1647" s="10" t="s">
        <v>233</v>
      </c>
      <c r="G1647" s="10" t="s">
        <v>219</v>
      </c>
      <c r="H1647" s="11" t="str">
        <f>IF(OR(M1647&lt;=0,N1647&lt;=0),"SKIPPED - NONPOSITIVE",IF(OR(M1647&lt;L1647,N1647&lt;L1647),"SKIPPED - BELOW MIN",IF(OR(M1647&gt;J1647,N1647&gt;K1647),"SKIPPED - EXCEEDS BASE",IF(COUNTIFS($M$1602:M1646,M1647,$N$1602:N1646,N1647)&gt;0,"SKIPPED - DUPLICATE","VALID - GENERATED"))))</f>
        <v>VALID - GENERATED</v>
      </c>
      <c r="I1647" s="10" t="s">
        <v>1908</v>
      </c>
      <c r="J1647" s="12">
        <f>'05-ISO Reference'!$B$21</f>
        <v>353</v>
      </c>
      <c r="K1647" s="12">
        <f>'05-ISO Reference'!$C$21</f>
        <v>500</v>
      </c>
      <c r="L1647" s="12">
        <f>'01-Process Controls'!$G$5</f>
        <v>3</v>
      </c>
      <c r="M1647" s="12">
        <f>ROUNDDOWN(MIN(J1647,K1647)*'04-Variant Rules'!$D$50,0)</f>
        <v>117</v>
      </c>
      <c r="N1647" s="12">
        <f>ROUNDDOWN(MIN(J1647,K1647)*'04-Variant Rules'!$D$50,0)</f>
        <v>117</v>
      </c>
      <c r="O1647" s="9">
        <v>45</v>
      </c>
    </row>
    <row r="1648" spans="1:15" ht="21" customHeight="1">
      <c r="A1648" s="9" t="s">
        <v>1954</v>
      </c>
      <c r="B1648" s="12">
        <f>IF(LEFT(H1648,5)="VALID",M1648,"")</f>
        <v>88</v>
      </c>
      <c r="C1648" s="12">
        <f>IF(LEFT(H1648,5)="VALID",N1648,"")</f>
        <v>88</v>
      </c>
      <c r="D1648" s="10" t="s">
        <v>82</v>
      </c>
      <c r="E1648" s="10" t="s">
        <v>1907</v>
      </c>
      <c r="F1648" s="10" t="s">
        <v>235</v>
      </c>
      <c r="G1648" s="10" t="s">
        <v>219</v>
      </c>
      <c r="H1648" s="11" t="str">
        <f>IF(OR(M1648&lt;=0,N1648&lt;=0),"SKIPPED - NONPOSITIVE",IF(OR(M1648&lt;L1648,N1648&lt;L1648),"SKIPPED - BELOW MIN",IF(OR(M1648&gt;J1648,N1648&gt;K1648),"SKIPPED - EXCEEDS BASE",IF(COUNTIFS($M$1602:M1647,M1648,$N$1602:N1647,N1648)&gt;0,"SKIPPED - DUPLICATE","VALID - GENERATED"))))</f>
        <v>VALID - GENERATED</v>
      </c>
      <c r="I1648" s="10" t="s">
        <v>1908</v>
      </c>
      <c r="J1648" s="12">
        <f>'05-ISO Reference'!$B$21</f>
        <v>353</v>
      </c>
      <c r="K1648" s="12">
        <f>'05-ISO Reference'!$C$21</f>
        <v>500</v>
      </c>
      <c r="L1648" s="12">
        <f>'01-Process Controls'!$G$5</f>
        <v>3</v>
      </c>
      <c r="M1648" s="12">
        <f>ROUNDDOWN(MIN(J1648,K1648)*'04-Variant Rules'!$D$51,0)</f>
        <v>88</v>
      </c>
      <c r="N1648" s="12">
        <f>ROUNDDOWN(MIN(J1648,K1648)*'04-Variant Rules'!$D$51,0)</f>
        <v>88</v>
      </c>
      <c r="O1648" s="9">
        <v>46</v>
      </c>
    </row>
    <row r="1649" spans="1:15" ht="21" customHeight="1">
      <c r="A1649" s="9" t="s">
        <v>1955</v>
      </c>
      <c r="B1649" s="12">
        <f>IF(LEFT(H1649,5)="VALID",M1649,"")</f>
        <v>70</v>
      </c>
      <c r="C1649" s="12">
        <f>IF(LEFT(H1649,5)="VALID",N1649,"")</f>
        <v>70</v>
      </c>
      <c r="D1649" s="10" t="s">
        <v>82</v>
      </c>
      <c r="E1649" s="10" t="s">
        <v>1907</v>
      </c>
      <c r="F1649" s="10" t="s">
        <v>237</v>
      </c>
      <c r="G1649" s="10" t="s">
        <v>219</v>
      </c>
      <c r="H1649" s="11" t="str">
        <f>IF(OR(M1649&lt;=0,N1649&lt;=0),"SKIPPED - NONPOSITIVE",IF(OR(M1649&lt;L1649,N1649&lt;L1649),"SKIPPED - BELOW MIN",IF(OR(M1649&gt;J1649,N1649&gt;K1649),"SKIPPED - EXCEEDS BASE",IF(COUNTIFS($M$1602:M1648,M1649,$N$1602:N1648,N1649)&gt;0,"SKIPPED - DUPLICATE","VALID - GENERATED"))))</f>
        <v>VALID - GENERATED</v>
      </c>
      <c r="I1649" s="10" t="s">
        <v>1908</v>
      </c>
      <c r="J1649" s="12">
        <f>'05-ISO Reference'!$B$21</f>
        <v>353</v>
      </c>
      <c r="K1649" s="12">
        <f>'05-ISO Reference'!$C$21</f>
        <v>500</v>
      </c>
      <c r="L1649" s="12">
        <f>'01-Process Controls'!$G$5</f>
        <v>3</v>
      </c>
      <c r="M1649" s="12">
        <f>ROUNDDOWN(MIN(J1649,K1649)*'04-Variant Rules'!$D$52,0)</f>
        <v>70</v>
      </c>
      <c r="N1649" s="12">
        <f>ROUNDDOWN(MIN(J1649,K1649)*'04-Variant Rules'!$D$52,0)</f>
        <v>70</v>
      </c>
      <c r="O1649" s="9">
        <v>47</v>
      </c>
    </row>
    <row r="1650" spans="1:15" ht="21" customHeight="1">
      <c r="A1650" s="9" t="s">
        <v>1956</v>
      </c>
      <c r="B1650" s="12">
        <f>IF(LEFT(H1650,5)="VALID",M1650,"")</f>
        <v>353</v>
      </c>
      <c r="C1650" s="12">
        <f>IF(LEFT(H1650,5)="VALID",N1650,"")</f>
        <v>264</v>
      </c>
      <c r="D1650" s="10" t="s">
        <v>82</v>
      </c>
      <c r="E1650" s="10" t="s">
        <v>1907</v>
      </c>
      <c r="F1650" s="10" t="s">
        <v>239</v>
      </c>
      <c r="G1650" s="10" t="s">
        <v>240</v>
      </c>
      <c r="H1650" s="11" t="str">
        <f>IF(OR(M1650&lt;=0,N1650&lt;=0),"SKIPPED - NONPOSITIVE",IF(OR(M1650&lt;L1650,N1650&lt;L1650),"SKIPPED - BELOW MIN",IF(OR(M1650&gt;J1650,N1650&gt;K1650),"SKIPPED - EXCEEDS BASE",IF(COUNTIFS($M$1602:M1649,M1650,$N$1602:N1649,N1650)&gt;0,"SKIPPED - DUPLICATE","VALID - GENERATED"))))</f>
        <v>VALID - GENERATED</v>
      </c>
      <c r="I1650" s="10" t="s">
        <v>1908</v>
      </c>
      <c r="J1650" s="12">
        <f>'05-ISO Reference'!$B$21</f>
        <v>353</v>
      </c>
      <c r="K1650" s="12">
        <f>'05-ISO Reference'!$C$21</f>
        <v>500</v>
      </c>
      <c r="L1650" s="12">
        <f>'01-Process Controls'!$G$5</f>
        <v>3</v>
      </c>
      <c r="M1650" s="12">
        <f>ROUNDDOWN(MIN(J1650,K1650*'04-Variant Rules'!$D$53),0)</f>
        <v>353</v>
      </c>
      <c r="N1650" s="12">
        <f>ROUNDDOWN(M1650/'04-Variant Rules'!$D$53,0)</f>
        <v>264</v>
      </c>
      <c r="O1650" s="9">
        <v>48</v>
      </c>
    </row>
    <row r="1651" spans="1:15" ht="21" customHeight="1">
      <c r="A1651" s="9" t="s">
        <v>1957</v>
      </c>
      <c r="B1651" s="12">
        <f>IF(LEFT(H1651,5)="VALID",M1651,"")</f>
        <v>353</v>
      </c>
      <c r="C1651" s="12">
        <f>IF(LEFT(H1651,5)="VALID",N1651,"")</f>
        <v>470</v>
      </c>
      <c r="D1651" s="10" t="s">
        <v>82</v>
      </c>
      <c r="E1651" s="10" t="s">
        <v>1907</v>
      </c>
      <c r="F1651" s="10" t="s">
        <v>242</v>
      </c>
      <c r="G1651" s="10" t="s">
        <v>243</v>
      </c>
      <c r="H1651" s="11" t="str">
        <f>IF(OR(M1651&lt;=0,N1651&lt;=0),"SKIPPED - NONPOSITIVE",IF(OR(M1651&lt;L1651,N1651&lt;L1651),"SKIPPED - BELOW MIN",IF(OR(M1651&gt;J1651,N1651&gt;K1651),"SKIPPED - EXCEEDS BASE",IF(COUNTIFS($M$1602:M1650,M1651,$N$1602:N1650,N1651)&gt;0,"SKIPPED - DUPLICATE","VALID - GENERATED"))))</f>
        <v>VALID - GENERATED</v>
      </c>
      <c r="I1651" s="10" t="s">
        <v>1908</v>
      </c>
      <c r="J1651" s="12">
        <f>'05-ISO Reference'!$B$21</f>
        <v>353</v>
      </c>
      <c r="K1651" s="12">
        <f>'05-ISO Reference'!$C$21</f>
        <v>500</v>
      </c>
      <c r="L1651" s="12">
        <f>'01-Process Controls'!$G$5</f>
        <v>3</v>
      </c>
      <c r="M1651" s="12">
        <f>ROUNDDOWN(MIN(J1651,K1651*'04-Variant Rules'!$D$54),0)</f>
        <v>353</v>
      </c>
      <c r="N1651" s="12">
        <f>ROUNDDOWN(M1651/'04-Variant Rules'!$D$54,0)</f>
        <v>470</v>
      </c>
      <c r="O1651" s="9">
        <v>49</v>
      </c>
    </row>
    <row r="1652" spans="1:15" ht="21" customHeight="1">
      <c r="A1652" s="9" t="s">
        <v>1958</v>
      </c>
      <c r="B1652" s="12">
        <f>IF(LEFT(H1652,5)="VALID",M1652,"")</f>
        <v>353</v>
      </c>
      <c r="C1652" s="12">
        <f>IF(LEFT(H1652,5)="VALID",N1652,"")</f>
        <v>235</v>
      </c>
      <c r="D1652" s="10" t="s">
        <v>82</v>
      </c>
      <c r="E1652" s="10" t="s">
        <v>1907</v>
      </c>
      <c r="F1652" s="10" t="s">
        <v>245</v>
      </c>
      <c r="G1652" s="10" t="s">
        <v>246</v>
      </c>
      <c r="H1652" s="11" t="str">
        <f>IF(OR(M1652&lt;=0,N1652&lt;=0),"SKIPPED - NONPOSITIVE",IF(OR(M1652&lt;L1652,N1652&lt;L1652),"SKIPPED - BELOW MIN",IF(OR(M1652&gt;J1652,N1652&gt;K1652),"SKIPPED - EXCEEDS BASE",IF(COUNTIFS($M$1602:M1651,M1652,$N$1602:N1651,N1652)&gt;0,"SKIPPED - DUPLICATE","VALID - GENERATED"))))</f>
        <v>VALID - GENERATED</v>
      </c>
      <c r="I1652" s="10" t="s">
        <v>1908</v>
      </c>
      <c r="J1652" s="12">
        <f>'05-ISO Reference'!$B$21</f>
        <v>353</v>
      </c>
      <c r="K1652" s="12">
        <f>'05-ISO Reference'!$C$21</f>
        <v>500</v>
      </c>
      <c r="L1652" s="12">
        <f>'01-Process Controls'!$G$5</f>
        <v>3</v>
      </c>
      <c r="M1652" s="12">
        <f>ROUNDDOWN(MIN(J1652,K1652*'04-Variant Rules'!$D$55),0)</f>
        <v>353</v>
      </c>
      <c r="N1652" s="12">
        <f>ROUNDDOWN(M1652/'04-Variant Rules'!$D$55,0)</f>
        <v>235</v>
      </c>
      <c r="O1652" s="9">
        <v>50</v>
      </c>
    </row>
    <row r="1653" spans="1:15" ht="21" customHeight="1">
      <c r="A1653" s="9" t="s">
        <v>1959</v>
      </c>
      <c r="B1653" s="12">
        <f>IF(LEFT(H1653,5)="VALID",M1653,"")</f>
        <v>333</v>
      </c>
      <c r="C1653" s="12">
        <f>IF(LEFT(H1653,5)="VALID",N1653,"")</f>
        <v>499</v>
      </c>
      <c r="D1653" s="10" t="s">
        <v>82</v>
      </c>
      <c r="E1653" s="10" t="s">
        <v>1907</v>
      </c>
      <c r="F1653" s="10" t="s">
        <v>248</v>
      </c>
      <c r="G1653" s="10" t="s">
        <v>249</v>
      </c>
      <c r="H1653" s="11" t="str">
        <f>IF(OR(M1653&lt;=0,N1653&lt;=0),"SKIPPED - NONPOSITIVE",IF(OR(M1653&lt;L1653,N1653&lt;L1653),"SKIPPED - BELOW MIN",IF(OR(M1653&gt;J1653,N1653&gt;K1653),"SKIPPED - EXCEEDS BASE",IF(COUNTIFS($M$1602:M1652,M1653,$N$1602:N1652,N1653)&gt;0,"SKIPPED - DUPLICATE","VALID - GENERATED"))))</f>
        <v>VALID - GENERATED</v>
      </c>
      <c r="I1653" s="10" t="s">
        <v>1908</v>
      </c>
      <c r="J1653" s="12">
        <f>'05-ISO Reference'!$B$21</f>
        <v>353</v>
      </c>
      <c r="K1653" s="12">
        <f>'05-ISO Reference'!$C$21</f>
        <v>500</v>
      </c>
      <c r="L1653" s="12">
        <f>'01-Process Controls'!$G$5</f>
        <v>3</v>
      </c>
      <c r="M1653" s="12">
        <f>ROUNDDOWN(MIN(J1653,K1653*'04-Variant Rules'!$D$56),0)</f>
        <v>333</v>
      </c>
      <c r="N1653" s="12">
        <f>ROUNDDOWN(M1653/'04-Variant Rules'!$D$56,0)</f>
        <v>499</v>
      </c>
      <c r="O1653" s="9">
        <v>51</v>
      </c>
    </row>
    <row r="1654" spans="1:15" ht="21" customHeight="1">
      <c r="A1654" s="9" t="s">
        <v>1960</v>
      </c>
      <c r="B1654" s="12">
        <f>IF(LEFT(H1654,5)="VALID",M1654,"")</f>
        <v>353</v>
      </c>
      <c r="C1654" s="12">
        <f>IF(LEFT(H1654,5)="VALID",N1654,"")</f>
        <v>198</v>
      </c>
      <c r="D1654" s="10" t="s">
        <v>82</v>
      </c>
      <c r="E1654" s="10" t="s">
        <v>1907</v>
      </c>
      <c r="F1654" s="10" t="s">
        <v>251</v>
      </c>
      <c r="G1654" s="10" t="s">
        <v>252</v>
      </c>
      <c r="H1654" s="11" t="str">
        <f>IF(OR(M1654&lt;=0,N1654&lt;=0),"SKIPPED - NONPOSITIVE",IF(OR(M1654&lt;L1654,N1654&lt;L1654),"SKIPPED - BELOW MIN",IF(OR(M1654&gt;J1654,N1654&gt;K1654),"SKIPPED - EXCEEDS BASE",IF(COUNTIFS($M$1602:M1653,M1654,$N$1602:N1653,N1654)&gt;0,"SKIPPED - DUPLICATE","VALID - GENERATED"))))</f>
        <v>VALID - GENERATED</v>
      </c>
      <c r="I1654" s="10" t="s">
        <v>1908</v>
      </c>
      <c r="J1654" s="12">
        <f>'05-ISO Reference'!$B$21</f>
        <v>353</v>
      </c>
      <c r="K1654" s="12">
        <f>'05-ISO Reference'!$C$21</f>
        <v>500</v>
      </c>
      <c r="L1654" s="12">
        <f>'01-Process Controls'!$G$5</f>
        <v>3</v>
      </c>
      <c r="M1654" s="12">
        <f>ROUNDDOWN(MIN(J1654,K1654*'04-Variant Rules'!$D$57),0)</f>
        <v>353</v>
      </c>
      <c r="N1654" s="12">
        <f>ROUNDDOWN(M1654/'04-Variant Rules'!$D$57,0)</f>
        <v>198</v>
      </c>
      <c r="O1654" s="9">
        <v>52</v>
      </c>
    </row>
    <row r="1655" spans="1:15" ht="21" customHeight="1">
      <c r="A1655" s="9" t="s">
        <v>1961</v>
      </c>
      <c r="B1655" s="12">
        <f>IF(LEFT(H1655,5)="VALID",M1655,"")</f>
        <v>281</v>
      </c>
      <c r="C1655" s="12">
        <f>IF(LEFT(H1655,5)="VALID",N1655,"")</f>
        <v>499</v>
      </c>
      <c r="D1655" s="10" t="s">
        <v>82</v>
      </c>
      <c r="E1655" s="10" t="s">
        <v>1907</v>
      </c>
      <c r="F1655" s="10" t="s">
        <v>254</v>
      </c>
      <c r="G1655" s="10" t="s">
        <v>255</v>
      </c>
      <c r="H1655" s="11" t="str">
        <f>IF(OR(M1655&lt;=0,N1655&lt;=0),"SKIPPED - NONPOSITIVE",IF(OR(M1655&lt;L1655,N1655&lt;L1655),"SKIPPED - BELOW MIN",IF(OR(M1655&gt;J1655,N1655&gt;K1655),"SKIPPED - EXCEEDS BASE",IF(COUNTIFS($M$1602:M1654,M1655,$N$1602:N1654,N1655)&gt;0,"SKIPPED - DUPLICATE","VALID - GENERATED"))))</f>
        <v>VALID - GENERATED</v>
      </c>
      <c r="I1655" s="10" t="s">
        <v>1908</v>
      </c>
      <c r="J1655" s="12">
        <f>'05-ISO Reference'!$B$21</f>
        <v>353</v>
      </c>
      <c r="K1655" s="12">
        <f>'05-ISO Reference'!$C$21</f>
        <v>500</v>
      </c>
      <c r="L1655" s="12">
        <f>'01-Process Controls'!$G$5</f>
        <v>3</v>
      </c>
      <c r="M1655" s="12">
        <f>ROUNDDOWN(MIN(J1655,K1655*'04-Variant Rules'!$D$58),0)</f>
        <v>281</v>
      </c>
      <c r="N1655" s="12">
        <f>ROUNDDOWN(M1655/'04-Variant Rules'!$D$58,0)</f>
        <v>499</v>
      </c>
      <c r="O1655" s="9">
        <v>53</v>
      </c>
    </row>
    <row r="1656" spans="1:15" ht="21" customHeight="1">
      <c r="A1656" s="9" t="s">
        <v>1962</v>
      </c>
      <c r="B1656" s="12">
        <f>IF(LEFT(H1656,5)="VALID",M1656,"")</f>
        <v>353</v>
      </c>
      <c r="C1656" s="12">
        <f>IF(LEFT(H1656,5)="VALID",N1656,"")</f>
        <v>176</v>
      </c>
      <c r="D1656" s="10" t="s">
        <v>82</v>
      </c>
      <c r="E1656" s="10" t="s">
        <v>1907</v>
      </c>
      <c r="F1656" s="10" t="s">
        <v>257</v>
      </c>
      <c r="G1656" s="10" t="s">
        <v>258</v>
      </c>
      <c r="H1656" s="11" t="str">
        <f>IF(OR(M1656&lt;=0,N1656&lt;=0),"SKIPPED - NONPOSITIVE",IF(OR(M1656&lt;L1656,N1656&lt;L1656),"SKIPPED - BELOW MIN",IF(OR(M1656&gt;J1656,N1656&gt;K1656),"SKIPPED - EXCEEDS BASE",IF(COUNTIFS($M$1602:M1655,M1656,$N$1602:N1655,N1656)&gt;0,"SKIPPED - DUPLICATE","VALID - GENERATED"))))</f>
        <v>VALID - GENERATED</v>
      </c>
      <c r="I1656" s="10" t="s">
        <v>1908</v>
      </c>
      <c r="J1656" s="12">
        <f>'05-ISO Reference'!$B$21</f>
        <v>353</v>
      </c>
      <c r="K1656" s="12">
        <f>'05-ISO Reference'!$C$21</f>
        <v>500</v>
      </c>
      <c r="L1656" s="12">
        <f>'01-Process Controls'!$G$5</f>
        <v>3</v>
      </c>
      <c r="M1656" s="12">
        <f>ROUNDDOWN(MIN(J1656,K1656*'04-Variant Rules'!$D$59),0)</f>
        <v>353</v>
      </c>
      <c r="N1656" s="12">
        <f>ROUNDDOWN(M1656/'04-Variant Rules'!$D$59,0)</f>
        <v>176</v>
      </c>
      <c r="O1656" s="9">
        <v>54</v>
      </c>
    </row>
    <row r="1657" spans="1:15" ht="21" customHeight="1">
      <c r="A1657" s="9" t="s">
        <v>1963</v>
      </c>
      <c r="B1657" s="12">
        <f>IF(LEFT(H1657,5)="VALID",M1657,"")</f>
        <v>250</v>
      </c>
      <c r="C1657" s="12">
        <f>IF(LEFT(H1657,5)="VALID",N1657,"")</f>
        <v>500</v>
      </c>
      <c r="D1657" s="10" t="s">
        <v>82</v>
      </c>
      <c r="E1657" s="10" t="s">
        <v>1907</v>
      </c>
      <c r="F1657" s="10" t="s">
        <v>260</v>
      </c>
      <c r="G1657" s="10" t="s">
        <v>261</v>
      </c>
      <c r="H1657" s="11" t="str">
        <f>IF(OR(M1657&lt;=0,N1657&lt;=0),"SKIPPED - NONPOSITIVE",IF(OR(M1657&lt;L1657,N1657&lt;L1657),"SKIPPED - BELOW MIN",IF(OR(M1657&gt;J1657,N1657&gt;K1657),"SKIPPED - EXCEEDS BASE",IF(COUNTIFS($M$1602:M1656,M1657,$N$1602:N1656,N1657)&gt;0,"SKIPPED - DUPLICATE","VALID - GENERATED"))))</f>
        <v>VALID - GENERATED</v>
      </c>
      <c r="I1657" s="10" t="s">
        <v>1908</v>
      </c>
      <c r="J1657" s="12">
        <f>'05-ISO Reference'!$B$21</f>
        <v>353</v>
      </c>
      <c r="K1657" s="12">
        <f>'05-ISO Reference'!$C$21</f>
        <v>500</v>
      </c>
      <c r="L1657" s="12">
        <f>'01-Process Controls'!$G$5</f>
        <v>3</v>
      </c>
      <c r="M1657" s="12">
        <f>ROUNDDOWN(MIN(J1657,K1657*'04-Variant Rules'!$D$60),0)</f>
        <v>250</v>
      </c>
      <c r="N1657" s="12">
        <f>ROUNDDOWN(M1657/'04-Variant Rules'!$D$60,0)</f>
        <v>500</v>
      </c>
      <c r="O1657" s="9">
        <v>55</v>
      </c>
    </row>
    <row r="1658" spans="1:15" ht="21" customHeight="1">
      <c r="A1658" s="9" t="s">
        <v>1964</v>
      </c>
      <c r="B1658" s="48"/>
      <c r="C1658" s="48"/>
      <c r="D1658" s="10" t="s">
        <v>263</v>
      </c>
      <c r="E1658" s="10" t="s">
        <v>1965</v>
      </c>
      <c r="F1658" s="10" t="s">
        <v>265</v>
      </c>
      <c r="G1658" s="10" t="s">
        <v>266</v>
      </c>
      <c r="H1658" s="11" t="str">
        <f>IF(AND(B1658="",C1658=""),"CUSTOM BLANK",IF(OR(B1658="",C1658=""),"ERROR - ENTER BOTH",IF(OR(B1658&lt;=0,C1658&lt;=0),"ERROR - NONPOSITIVE",IF(OR(B1658&lt;L1658,C1658&lt;L1658),"ERROR - BELOW MIN",IF(OR(AND(B1658&lt;=J1658,C1658&lt;=K1658),AND(B1658&lt;=K1658,C1658&lt;=J1658)),"VALID - CUSTOM","ERROR - EXCEEDS BASE")))))</f>
        <v>CUSTOM BLANK</v>
      </c>
      <c r="I1658" s="10" t="s">
        <v>267</v>
      </c>
      <c r="J1658" s="12">
        <f>'05-ISO Reference'!$B$21</f>
        <v>353</v>
      </c>
      <c r="K1658" s="12">
        <f>'05-ISO Reference'!$C$21</f>
        <v>500</v>
      </c>
      <c r="L1658" s="12">
        <f>'01-Process Controls'!$G$5</f>
        <v>3</v>
      </c>
      <c r="M1658" s="8"/>
      <c r="N1658" s="8"/>
    </row>
    <row r="1659" spans="1:15" ht="21" customHeight="1">
      <c r="A1659" s="9" t="s">
        <v>1966</v>
      </c>
      <c r="B1659" s="48"/>
      <c r="C1659" s="48"/>
      <c r="D1659" s="10" t="s">
        <v>263</v>
      </c>
      <c r="E1659" s="10" t="s">
        <v>1965</v>
      </c>
      <c r="F1659" s="10" t="s">
        <v>265</v>
      </c>
      <c r="G1659" s="10" t="s">
        <v>266</v>
      </c>
      <c r="H1659" s="11" t="str">
        <f>IF(AND(B1659="",C1659=""),"CUSTOM BLANK",IF(OR(B1659="",C1659=""),"ERROR - ENTER BOTH",IF(OR(B1659&lt;=0,C1659&lt;=0),"ERROR - NONPOSITIVE",IF(OR(B1659&lt;L1659,C1659&lt;L1659),"ERROR - BELOW MIN",IF(OR(AND(B1659&lt;=J1659,C1659&lt;=K1659),AND(B1659&lt;=K1659,C1659&lt;=J1659)),"VALID - CUSTOM","ERROR - EXCEEDS BASE")))))</f>
        <v>CUSTOM BLANK</v>
      </c>
      <c r="I1659" s="10" t="s">
        <v>267</v>
      </c>
      <c r="J1659" s="12">
        <f>'05-ISO Reference'!$B$21</f>
        <v>353</v>
      </c>
      <c r="K1659" s="12">
        <f>'05-ISO Reference'!$C$21</f>
        <v>500</v>
      </c>
      <c r="L1659" s="12">
        <f>'01-Process Controls'!$G$5</f>
        <v>3</v>
      </c>
      <c r="M1659" s="8"/>
      <c r="N1659" s="8"/>
    </row>
    <row r="1660" spans="1:15" ht="21" customHeight="1">
      <c r="A1660" s="9" t="s">
        <v>1967</v>
      </c>
      <c r="B1660" s="48"/>
      <c r="C1660" s="48"/>
      <c r="D1660" s="10" t="s">
        <v>263</v>
      </c>
      <c r="E1660" s="10" t="s">
        <v>1965</v>
      </c>
      <c r="F1660" s="10" t="s">
        <v>265</v>
      </c>
      <c r="G1660" s="10" t="s">
        <v>266</v>
      </c>
      <c r="H1660" s="11" t="str">
        <f>IF(AND(B1660="",C1660=""),"CUSTOM BLANK",IF(OR(B1660="",C1660=""),"ERROR - ENTER BOTH",IF(OR(B1660&lt;=0,C1660&lt;=0),"ERROR - NONPOSITIVE",IF(OR(B1660&lt;L1660,C1660&lt;L1660),"ERROR - BELOW MIN",IF(OR(AND(B1660&lt;=J1660,C1660&lt;=K1660),AND(B1660&lt;=K1660,C1660&lt;=J1660)),"VALID - CUSTOM","ERROR - EXCEEDS BASE")))))</f>
        <v>CUSTOM BLANK</v>
      </c>
      <c r="I1660" s="10" t="s">
        <v>267</v>
      </c>
      <c r="J1660" s="12">
        <f>'05-ISO Reference'!$B$21</f>
        <v>353</v>
      </c>
      <c r="K1660" s="12">
        <f>'05-ISO Reference'!$C$21</f>
        <v>500</v>
      </c>
      <c r="L1660" s="12">
        <f>'01-Process Controls'!$G$5</f>
        <v>3</v>
      </c>
      <c r="M1660" s="8"/>
      <c r="N1660" s="8"/>
    </row>
    <row r="1661" spans="1:15" ht="21" customHeight="1">
      <c r="A1661" s="9" t="s">
        <v>1968</v>
      </c>
      <c r="B1661" s="48"/>
      <c r="C1661" s="48"/>
      <c r="D1661" s="10" t="s">
        <v>263</v>
      </c>
      <c r="E1661" s="10" t="s">
        <v>1965</v>
      </c>
      <c r="F1661" s="10" t="s">
        <v>265</v>
      </c>
      <c r="G1661" s="10" t="s">
        <v>266</v>
      </c>
      <c r="H1661" s="11" t="str">
        <f>IF(AND(B1661="",C1661=""),"CUSTOM BLANK",IF(OR(B1661="",C1661=""),"ERROR - ENTER BOTH",IF(OR(B1661&lt;=0,C1661&lt;=0),"ERROR - NONPOSITIVE",IF(OR(B1661&lt;L1661,C1661&lt;L1661),"ERROR - BELOW MIN",IF(OR(AND(B1661&lt;=J1661,C1661&lt;=K1661),AND(B1661&lt;=K1661,C1661&lt;=J1661)),"VALID - CUSTOM","ERROR - EXCEEDS BASE")))))</f>
        <v>CUSTOM BLANK</v>
      </c>
      <c r="I1661" s="10" t="s">
        <v>267</v>
      </c>
      <c r="J1661" s="12">
        <f>'05-ISO Reference'!$B$21</f>
        <v>353</v>
      </c>
      <c r="K1661" s="12">
        <f>'05-ISO Reference'!$C$21</f>
        <v>500</v>
      </c>
      <c r="L1661" s="12">
        <f>'01-Process Controls'!$G$5</f>
        <v>3</v>
      </c>
      <c r="M1661" s="8"/>
      <c r="N1661" s="8"/>
    </row>
    <row r="1662" spans="1:15" ht="21" customHeight="1">
      <c r="A1662" s="9" t="s">
        <v>1969</v>
      </c>
      <c r="B1662" s="48"/>
      <c r="C1662" s="48"/>
      <c r="D1662" s="10" t="s">
        <v>263</v>
      </c>
      <c r="E1662" s="10" t="s">
        <v>1965</v>
      </c>
      <c r="F1662" s="10" t="s">
        <v>265</v>
      </c>
      <c r="G1662" s="10" t="s">
        <v>266</v>
      </c>
      <c r="H1662" s="11" t="str">
        <f>IF(AND(B1662="",C1662=""),"CUSTOM BLANK",IF(OR(B1662="",C1662=""),"ERROR - ENTER BOTH",IF(OR(B1662&lt;=0,C1662&lt;=0),"ERROR - NONPOSITIVE",IF(OR(B1662&lt;L1662,C1662&lt;L1662),"ERROR - BELOW MIN",IF(OR(AND(B1662&lt;=J1662,C1662&lt;=K1662),AND(B1662&lt;=K1662,C1662&lt;=J1662)),"VALID - CUSTOM","ERROR - EXCEEDS BASE")))))</f>
        <v>CUSTOM BLANK</v>
      </c>
      <c r="I1662" s="10" t="s">
        <v>267</v>
      </c>
      <c r="J1662" s="12">
        <f>'05-ISO Reference'!$B$21</f>
        <v>353</v>
      </c>
      <c r="K1662" s="12">
        <f>'05-ISO Reference'!$C$21</f>
        <v>500</v>
      </c>
      <c r="L1662" s="12">
        <f>'01-Process Controls'!$G$5</f>
        <v>3</v>
      </c>
      <c r="M1662" s="8"/>
      <c r="N1662" s="8"/>
    </row>
    <row r="1663" spans="1:15" ht="21" customHeight="1">
      <c r="A1663" s="9" t="s">
        <v>1970</v>
      </c>
      <c r="B1663" s="48"/>
      <c r="C1663" s="48"/>
      <c r="D1663" s="10" t="s">
        <v>263</v>
      </c>
      <c r="E1663" s="10" t="s">
        <v>1965</v>
      </c>
      <c r="F1663" s="10" t="s">
        <v>265</v>
      </c>
      <c r="G1663" s="10" t="s">
        <v>266</v>
      </c>
      <c r="H1663" s="11" t="str">
        <f>IF(AND(B1663="",C1663=""),"CUSTOM BLANK",IF(OR(B1663="",C1663=""),"ERROR - ENTER BOTH",IF(OR(B1663&lt;=0,C1663&lt;=0),"ERROR - NONPOSITIVE",IF(OR(B1663&lt;L1663,C1663&lt;L1663),"ERROR - BELOW MIN",IF(OR(AND(B1663&lt;=J1663,C1663&lt;=K1663),AND(B1663&lt;=K1663,C1663&lt;=J1663)),"VALID - CUSTOM","ERROR - EXCEEDS BASE")))))</f>
        <v>CUSTOM BLANK</v>
      </c>
      <c r="I1663" s="10" t="s">
        <v>267</v>
      </c>
      <c r="J1663" s="12">
        <f>'05-ISO Reference'!$B$21</f>
        <v>353</v>
      </c>
      <c r="K1663" s="12">
        <f>'05-ISO Reference'!$C$21</f>
        <v>500</v>
      </c>
      <c r="L1663" s="12">
        <f>'01-Process Controls'!$G$5</f>
        <v>3</v>
      </c>
      <c r="M1663" s="8"/>
      <c r="N1663" s="8"/>
    </row>
    <row r="1664" spans="1:15" ht="21" customHeight="1">
      <c r="A1664" s="9" t="s">
        <v>1971</v>
      </c>
      <c r="B1664" s="48"/>
      <c r="C1664" s="48"/>
      <c r="D1664" s="10" t="s">
        <v>263</v>
      </c>
      <c r="E1664" s="10" t="s">
        <v>1965</v>
      </c>
      <c r="F1664" s="10" t="s">
        <v>265</v>
      </c>
      <c r="G1664" s="10" t="s">
        <v>266</v>
      </c>
      <c r="H1664" s="11" t="str">
        <f>IF(AND(B1664="",C1664=""),"CUSTOM BLANK",IF(OR(B1664="",C1664=""),"ERROR - ENTER BOTH",IF(OR(B1664&lt;=0,C1664&lt;=0),"ERROR - NONPOSITIVE",IF(OR(B1664&lt;L1664,C1664&lt;L1664),"ERROR - BELOW MIN",IF(OR(AND(B1664&lt;=J1664,C1664&lt;=K1664),AND(B1664&lt;=K1664,C1664&lt;=J1664)),"VALID - CUSTOM","ERROR - EXCEEDS BASE")))))</f>
        <v>CUSTOM BLANK</v>
      </c>
      <c r="I1664" s="10" t="s">
        <v>267</v>
      </c>
      <c r="J1664" s="12">
        <f>'05-ISO Reference'!$B$21</f>
        <v>353</v>
      </c>
      <c r="K1664" s="12">
        <f>'05-ISO Reference'!$C$21</f>
        <v>500</v>
      </c>
      <c r="L1664" s="12">
        <f>'01-Process Controls'!$G$5</f>
        <v>3</v>
      </c>
      <c r="M1664" s="8"/>
      <c r="N1664" s="8"/>
    </row>
    <row r="1665" spans="1:15" ht="21" customHeight="1">
      <c r="A1665" s="9" t="s">
        <v>1972</v>
      </c>
      <c r="B1665" s="48"/>
      <c r="C1665" s="48"/>
      <c r="D1665" s="10" t="s">
        <v>263</v>
      </c>
      <c r="E1665" s="10" t="s">
        <v>1965</v>
      </c>
      <c r="F1665" s="10" t="s">
        <v>265</v>
      </c>
      <c r="G1665" s="10" t="s">
        <v>266</v>
      </c>
      <c r="H1665" s="11" t="str">
        <f>IF(AND(B1665="",C1665=""),"CUSTOM BLANK",IF(OR(B1665="",C1665=""),"ERROR - ENTER BOTH",IF(OR(B1665&lt;=0,C1665&lt;=0),"ERROR - NONPOSITIVE",IF(OR(B1665&lt;L1665,C1665&lt;L1665),"ERROR - BELOW MIN",IF(OR(AND(B1665&lt;=J1665,C1665&lt;=K1665),AND(B1665&lt;=K1665,C1665&lt;=J1665)),"VALID - CUSTOM","ERROR - EXCEEDS BASE")))))</f>
        <v>CUSTOM BLANK</v>
      </c>
      <c r="I1665" s="10" t="s">
        <v>267</v>
      </c>
      <c r="J1665" s="12">
        <f>'05-ISO Reference'!$B$21</f>
        <v>353</v>
      </c>
      <c r="K1665" s="12">
        <f>'05-ISO Reference'!$C$21</f>
        <v>500</v>
      </c>
      <c r="L1665" s="12">
        <f>'01-Process Controls'!$G$5</f>
        <v>3</v>
      </c>
      <c r="M1665" s="8"/>
      <c r="N1665" s="8"/>
    </row>
    <row r="1666" spans="1:15" ht="21" customHeight="1">
      <c r="A1666" s="9" t="s">
        <v>1973</v>
      </c>
      <c r="B1666" s="48"/>
      <c r="C1666" s="48"/>
      <c r="D1666" s="10" t="s">
        <v>263</v>
      </c>
      <c r="E1666" s="10" t="s">
        <v>1965</v>
      </c>
      <c r="F1666" s="10" t="s">
        <v>265</v>
      </c>
      <c r="G1666" s="10" t="s">
        <v>266</v>
      </c>
      <c r="H1666" s="11" t="str">
        <f>IF(AND(B1666="",C1666=""),"CUSTOM BLANK",IF(OR(B1666="",C1666=""),"ERROR - ENTER BOTH",IF(OR(B1666&lt;=0,C1666&lt;=0),"ERROR - NONPOSITIVE",IF(OR(B1666&lt;L1666,C1666&lt;L1666),"ERROR - BELOW MIN",IF(OR(AND(B1666&lt;=J1666,C1666&lt;=K1666),AND(B1666&lt;=K1666,C1666&lt;=J1666)),"VALID - CUSTOM","ERROR - EXCEEDS BASE")))))</f>
        <v>CUSTOM BLANK</v>
      </c>
      <c r="I1666" s="10" t="s">
        <v>267</v>
      </c>
      <c r="J1666" s="12">
        <f>'05-ISO Reference'!$B$21</f>
        <v>353</v>
      </c>
      <c r="K1666" s="12">
        <f>'05-ISO Reference'!$C$21</f>
        <v>500</v>
      </c>
      <c r="L1666" s="12">
        <f>'01-Process Controls'!$G$5</f>
        <v>3</v>
      </c>
      <c r="M1666" s="8"/>
      <c r="N1666" s="8"/>
    </row>
    <row r="1667" spans="1:15" ht="21" customHeight="1">
      <c r="A1667" s="9" t="s">
        <v>1974</v>
      </c>
      <c r="B1667" s="48"/>
      <c r="C1667" s="48"/>
      <c r="D1667" s="10" t="s">
        <v>263</v>
      </c>
      <c r="E1667" s="10" t="s">
        <v>1965</v>
      </c>
      <c r="F1667" s="10" t="s">
        <v>265</v>
      </c>
      <c r="G1667" s="10" t="s">
        <v>266</v>
      </c>
      <c r="H1667" s="11" t="str">
        <f>IF(AND(B1667="",C1667=""),"CUSTOM BLANK",IF(OR(B1667="",C1667=""),"ERROR - ENTER BOTH",IF(OR(B1667&lt;=0,C1667&lt;=0),"ERROR - NONPOSITIVE",IF(OR(B1667&lt;L1667,C1667&lt;L1667),"ERROR - BELOW MIN",IF(OR(AND(B1667&lt;=J1667,C1667&lt;=K1667),AND(B1667&lt;=K1667,C1667&lt;=J1667)),"VALID - CUSTOM","ERROR - EXCEEDS BASE")))))</f>
        <v>CUSTOM BLANK</v>
      </c>
      <c r="I1667" s="10" t="s">
        <v>267</v>
      </c>
      <c r="J1667" s="12">
        <f>'05-ISO Reference'!$B$21</f>
        <v>353</v>
      </c>
      <c r="K1667" s="12">
        <f>'05-ISO Reference'!$C$21</f>
        <v>500</v>
      </c>
      <c r="L1667" s="12">
        <f>'01-Process Controls'!$G$5</f>
        <v>3</v>
      </c>
      <c r="M1667" s="8"/>
      <c r="N1667" s="8"/>
    </row>
    <row r="1668" spans="1:15" ht="21" customHeight="1">
      <c r="A1668" s="9" t="s">
        <v>1975</v>
      </c>
      <c r="B1668" s="48"/>
      <c r="C1668" s="48"/>
      <c r="D1668" s="10" t="s">
        <v>263</v>
      </c>
      <c r="E1668" s="10" t="s">
        <v>1965</v>
      </c>
      <c r="F1668" s="10" t="s">
        <v>265</v>
      </c>
      <c r="G1668" s="10" t="s">
        <v>266</v>
      </c>
      <c r="H1668" s="11" t="str">
        <f>IF(AND(B1668="",C1668=""),"CUSTOM BLANK",IF(OR(B1668="",C1668=""),"ERROR - ENTER BOTH",IF(OR(B1668&lt;=0,C1668&lt;=0),"ERROR - NONPOSITIVE",IF(OR(B1668&lt;L1668,C1668&lt;L1668),"ERROR - BELOW MIN",IF(OR(AND(B1668&lt;=J1668,C1668&lt;=K1668),AND(B1668&lt;=K1668,C1668&lt;=J1668)),"VALID - CUSTOM","ERROR - EXCEEDS BASE")))))</f>
        <v>CUSTOM BLANK</v>
      </c>
      <c r="I1668" s="10" t="s">
        <v>267</v>
      </c>
      <c r="J1668" s="12">
        <f>'05-ISO Reference'!$B$21</f>
        <v>353</v>
      </c>
      <c r="K1668" s="12">
        <f>'05-ISO Reference'!$C$21</f>
        <v>500</v>
      </c>
      <c r="L1668" s="12">
        <f>'01-Process Controls'!$G$5</f>
        <v>3</v>
      </c>
      <c r="M1668" s="8"/>
      <c r="N1668" s="8"/>
    </row>
    <row r="1669" spans="1:15" ht="21" customHeight="1">
      <c r="A1669" s="9" t="s">
        <v>1976</v>
      </c>
      <c r="B1669" s="48"/>
      <c r="C1669" s="48"/>
      <c r="D1669" s="10" t="s">
        <v>263</v>
      </c>
      <c r="E1669" s="10" t="s">
        <v>1965</v>
      </c>
      <c r="F1669" s="10" t="s">
        <v>265</v>
      </c>
      <c r="G1669" s="10" t="s">
        <v>266</v>
      </c>
      <c r="H1669" s="11" t="str">
        <f>IF(AND(B1669="",C1669=""),"CUSTOM BLANK",IF(OR(B1669="",C1669=""),"ERROR - ENTER BOTH",IF(OR(B1669&lt;=0,C1669&lt;=0),"ERROR - NONPOSITIVE",IF(OR(B1669&lt;L1669,C1669&lt;L1669),"ERROR - BELOW MIN",IF(OR(AND(B1669&lt;=J1669,C1669&lt;=K1669),AND(B1669&lt;=K1669,C1669&lt;=J1669)),"VALID - CUSTOM","ERROR - EXCEEDS BASE")))))</f>
        <v>CUSTOM BLANK</v>
      </c>
      <c r="I1669" s="10" t="s">
        <v>267</v>
      </c>
      <c r="J1669" s="12">
        <f>'05-ISO Reference'!$B$21</f>
        <v>353</v>
      </c>
      <c r="K1669" s="12">
        <f>'05-ISO Reference'!$C$21</f>
        <v>500</v>
      </c>
      <c r="L1669" s="12">
        <f>'01-Process Controls'!$G$5</f>
        <v>3</v>
      </c>
      <c r="M1669" s="8"/>
      <c r="N1669" s="8"/>
    </row>
    <row r="1670" spans="1:15" ht="21" customHeight="1">
      <c r="A1670" s="9" t="s">
        <v>1977</v>
      </c>
      <c r="B1670" s="48"/>
      <c r="C1670" s="48"/>
      <c r="D1670" s="10" t="s">
        <v>263</v>
      </c>
      <c r="E1670" s="10" t="s">
        <v>1965</v>
      </c>
      <c r="F1670" s="10" t="s">
        <v>265</v>
      </c>
      <c r="G1670" s="10" t="s">
        <v>266</v>
      </c>
      <c r="H1670" s="11" t="str">
        <f>IF(AND(B1670="",C1670=""),"CUSTOM BLANK",IF(OR(B1670="",C1670=""),"ERROR - ENTER BOTH",IF(OR(B1670&lt;=0,C1670&lt;=0),"ERROR - NONPOSITIVE",IF(OR(B1670&lt;L1670,C1670&lt;L1670),"ERROR - BELOW MIN",IF(OR(AND(B1670&lt;=J1670,C1670&lt;=K1670),AND(B1670&lt;=K1670,C1670&lt;=J1670)),"VALID - CUSTOM","ERROR - EXCEEDS BASE")))))</f>
        <v>CUSTOM BLANK</v>
      </c>
      <c r="I1670" s="10" t="s">
        <v>267</v>
      </c>
      <c r="J1670" s="12">
        <f>'05-ISO Reference'!$B$21</f>
        <v>353</v>
      </c>
      <c r="K1670" s="12">
        <f>'05-ISO Reference'!$C$21</f>
        <v>500</v>
      </c>
      <c r="L1670" s="12">
        <f>'01-Process Controls'!$G$5</f>
        <v>3</v>
      </c>
      <c r="M1670" s="8"/>
      <c r="N1670" s="8"/>
    </row>
    <row r="1671" spans="1:15" ht="21" customHeight="1">
      <c r="A1671" s="9" t="s">
        <v>1978</v>
      </c>
      <c r="B1671" s="48"/>
      <c r="C1671" s="48"/>
      <c r="D1671" s="10" t="s">
        <v>263</v>
      </c>
      <c r="E1671" s="10" t="s">
        <v>1965</v>
      </c>
      <c r="F1671" s="10" t="s">
        <v>265</v>
      </c>
      <c r="G1671" s="10" t="s">
        <v>266</v>
      </c>
      <c r="H1671" s="11" t="str">
        <f>IF(AND(B1671="",C1671=""),"CUSTOM BLANK",IF(OR(B1671="",C1671=""),"ERROR - ENTER BOTH",IF(OR(B1671&lt;=0,C1671&lt;=0),"ERROR - NONPOSITIVE",IF(OR(B1671&lt;L1671,C1671&lt;L1671),"ERROR - BELOW MIN",IF(OR(AND(B1671&lt;=J1671,C1671&lt;=K1671),AND(B1671&lt;=K1671,C1671&lt;=J1671)),"VALID - CUSTOM","ERROR - EXCEEDS BASE")))))</f>
        <v>CUSTOM BLANK</v>
      </c>
      <c r="I1671" s="10" t="s">
        <v>267</v>
      </c>
      <c r="J1671" s="12">
        <f>'05-ISO Reference'!$B$21</f>
        <v>353</v>
      </c>
      <c r="K1671" s="12">
        <f>'05-ISO Reference'!$C$21</f>
        <v>500</v>
      </c>
      <c r="L1671" s="12">
        <f>'01-Process Controls'!$G$5</f>
        <v>3</v>
      </c>
      <c r="M1671" s="8"/>
      <c r="N1671" s="8"/>
    </row>
    <row r="1672" spans="1:15" ht="21" customHeight="1">
      <c r="A1672" s="9" t="s">
        <v>1979</v>
      </c>
      <c r="B1672" s="48"/>
      <c r="C1672" s="48"/>
      <c r="D1672" s="10" t="s">
        <v>263</v>
      </c>
      <c r="E1672" s="10" t="s">
        <v>1965</v>
      </c>
      <c r="F1672" s="10" t="s">
        <v>265</v>
      </c>
      <c r="G1672" s="10" t="s">
        <v>266</v>
      </c>
      <c r="H1672" s="11" t="str">
        <f>IF(AND(B1672="",C1672=""),"CUSTOM BLANK",IF(OR(B1672="",C1672=""),"ERROR - ENTER BOTH",IF(OR(B1672&lt;=0,C1672&lt;=0),"ERROR - NONPOSITIVE",IF(OR(B1672&lt;L1672,C1672&lt;L1672),"ERROR - BELOW MIN",IF(OR(AND(B1672&lt;=J1672,C1672&lt;=K1672),AND(B1672&lt;=K1672,C1672&lt;=J1672)),"VALID - CUSTOM","ERROR - EXCEEDS BASE")))))</f>
        <v>CUSTOM BLANK</v>
      </c>
      <c r="I1672" s="10" t="s">
        <v>267</v>
      </c>
      <c r="J1672" s="12">
        <f>'05-ISO Reference'!$B$21</f>
        <v>353</v>
      </c>
      <c r="K1672" s="12">
        <f>'05-ISO Reference'!$C$21</f>
        <v>500</v>
      </c>
      <c r="L1672" s="12">
        <f>'01-Process Controls'!$G$5</f>
        <v>3</v>
      </c>
      <c r="M1672" s="8"/>
      <c r="N1672" s="8"/>
    </row>
    <row r="1673" spans="1:15" ht="21" customHeight="1">
      <c r="A1673" s="44" t="s">
        <v>1980</v>
      </c>
      <c r="B1673" s="45">
        <f>IF(LEFT(H1673,5)="VALID",M1673,"")</f>
        <v>250</v>
      </c>
      <c r="C1673" s="45">
        <f>IF(LEFT(H1673,5)="VALID",N1673,"")</f>
        <v>353</v>
      </c>
      <c r="D1673" s="46" t="s">
        <v>82</v>
      </c>
      <c r="E1673" s="46" t="s">
        <v>1981</v>
      </c>
      <c r="F1673" s="46" t="s">
        <v>122</v>
      </c>
      <c r="G1673" s="46" t="s">
        <v>123</v>
      </c>
      <c r="H1673" s="47" t="str">
        <f>"VALID - BASE"</f>
        <v>VALID - BASE</v>
      </c>
      <c r="I1673" s="46" t="s">
        <v>1982</v>
      </c>
      <c r="J1673" s="12">
        <f>'05-ISO Reference'!$B$22</f>
        <v>250</v>
      </c>
      <c r="K1673" s="12">
        <f>'05-ISO Reference'!$C$22</f>
        <v>353</v>
      </c>
      <c r="L1673" s="12">
        <f>'01-Process Controls'!$G$5</f>
        <v>3</v>
      </c>
      <c r="M1673" s="12">
        <f>ROUNDDOWN(J1673,0)</f>
        <v>250</v>
      </c>
      <c r="N1673" s="12">
        <f>ROUNDDOWN(K1673,0)</f>
        <v>353</v>
      </c>
      <c r="O1673" s="9">
        <v>0</v>
      </c>
    </row>
    <row r="1674" spans="1:15" ht="21" customHeight="1">
      <c r="A1674" s="9" t="s">
        <v>1983</v>
      </c>
      <c r="B1674" s="12">
        <f>IF(LEFT(H1674,5)="VALID",M1674,"")</f>
        <v>125</v>
      </c>
      <c r="C1674" s="12">
        <f>IF(LEFT(H1674,5)="VALID",N1674,"")</f>
        <v>353</v>
      </c>
      <c r="D1674" s="10" t="s">
        <v>82</v>
      </c>
      <c r="E1674" s="10" t="s">
        <v>1981</v>
      </c>
      <c r="F1674" s="10" t="s">
        <v>126</v>
      </c>
      <c r="G1674" s="10" t="s">
        <v>127</v>
      </c>
      <c r="H1674" s="11" t="str">
        <f>IF(OR(M1674&lt;=0,N1674&lt;=0),"SKIPPED - NONPOSITIVE",IF(OR(M1674&lt;L1674,N1674&lt;L1674),"SKIPPED - BELOW MIN",IF(OR(M1674&gt;J1674,N1674&gt;K1674),"SKIPPED - EXCEEDS BASE",IF(COUNTIFS($M$1673:M1673,M1674,$N$1673:N1673,N1674)&gt;0,"SKIPPED - DUPLICATE","VALID - GENERATED"))))</f>
        <v>VALID - GENERATED</v>
      </c>
      <c r="I1674" s="10" t="s">
        <v>1982</v>
      </c>
      <c r="J1674" s="12">
        <f>'05-ISO Reference'!$B$22</f>
        <v>250</v>
      </c>
      <c r="K1674" s="12">
        <f>'05-ISO Reference'!$C$22</f>
        <v>353</v>
      </c>
      <c r="L1674" s="12">
        <f>'01-Process Controls'!$G$5</f>
        <v>3</v>
      </c>
      <c r="M1674" s="12">
        <f>ROUNDDOWN(J1674*'04-Variant Rules'!$D$6,0)</f>
        <v>125</v>
      </c>
      <c r="N1674" s="12">
        <f>ROUNDDOWN(K1674,0)</f>
        <v>353</v>
      </c>
      <c r="O1674" s="9">
        <v>1</v>
      </c>
    </row>
    <row r="1675" spans="1:15" ht="21" customHeight="1">
      <c r="A1675" s="9" t="s">
        <v>1984</v>
      </c>
      <c r="B1675" s="12">
        <f>IF(LEFT(H1675,5)="VALID",M1675,"")</f>
        <v>83</v>
      </c>
      <c r="C1675" s="12">
        <f>IF(LEFT(H1675,5)="VALID",N1675,"")</f>
        <v>353</v>
      </c>
      <c r="D1675" s="10" t="s">
        <v>82</v>
      </c>
      <c r="E1675" s="10" t="s">
        <v>1981</v>
      </c>
      <c r="F1675" s="10" t="s">
        <v>129</v>
      </c>
      <c r="G1675" s="10" t="s">
        <v>130</v>
      </c>
      <c r="H1675" s="11" t="str">
        <f>IF(OR(M1675&lt;=0,N1675&lt;=0),"SKIPPED - NONPOSITIVE",IF(OR(M1675&lt;L1675,N1675&lt;L1675),"SKIPPED - BELOW MIN",IF(OR(M1675&gt;J1675,N1675&gt;K1675),"SKIPPED - EXCEEDS BASE",IF(COUNTIFS($M$1673:M1674,M1675,$N$1673:N1674,N1675)&gt;0,"SKIPPED - DUPLICATE","VALID - GENERATED"))))</f>
        <v>VALID - GENERATED</v>
      </c>
      <c r="I1675" s="10" t="s">
        <v>1982</v>
      </c>
      <c r="J1675" s="12">
        <f>'05-ISO Reference'!$B$22</f>
        <v>250</v>
      </c>
      <c r="K1675" s="12">
        <f>'05-ISO Reference'!$C$22</f>
        <v>353</v>
      </c>
      <c r="L1675" s="12">
        <f>'01-Process Controls'!$G$5</f>
        <v>3</v>
      </c>
      <c r="M1675" s="12">
        <f>ROUNDDOWN(J1675*'04-Variant Rules'!$D$7,0)</f>
        <v>83</v>
      </c>
      <c r="N1675" s="12">
        <f>ROUNDDOWN(K1675,0)</f>
        <v>353</v>
      </c>
      <c r="O1675" s="9">
        <v>2</v>
      </c>
    </row>
    <row r="1676" spans="1:15" ht="21" customHeight="1">
      <c r="A1676" s="9" t="s">
        <v>1985</v>
      </c>
      <c r="B1676" s="12">
        <f>IF(LEFT(H1676,5)="VALID",M1676,"")</f>
        <v>62</v>
      </c>
      <c r="C1676" s="12">
        <f>IF(LEFT(H1676,5)="VALID",N1676,"")</f>
        <v>353</v>
      </c>
      <c r="D1676" s="10" t="s">
        <v>82</v>
      </c>
      <c r="E1676" s="10" t="s">
        <v>1981</v>
      </c>
      <c r="F1676" s="10" t="s">
        <v>132</v>
      </c>
      <c r="G1676" s="10" t="s">
        <v>133</v>
      </c>
      <c r="H1676" s="11" t="str">
        <f>IF(OR(M1676&lt;=0,N1676&lt;=0),"SKIPPED - NONPOSITIVE",IF(OR(M1676&lt;L1676,N1676&lt;L1676),"SKIPPED - BELOW MIN",IF(OR(M1676&gt;J1676,N1676&gt;K1676),"SKIPPED - EXCEEDS BASE",IF(COUNTIFS($M$1673:M1675,M1676,$N$1673:N1675,N1676)&gt;0,"SKIPPED - DUPLICATE","VALID - GENERATED"))))</f>
        <v>VALID - GENERATED</v>
      </c>
      <c r="I1676" s="10" t="s">
        <v>1982</v>
      </c>
      <c r="J1676" s="12">
        <f>'05-ISO Reference'!$B$22</f>
        <v>250</v>
      </c>
      <c r="K1676" s="12">
        <f>'05-ISO Reference'!$C$22</f>
        <v>353</v>
      </c>
      <c r="L1676" s="12">
        <f>'01-Process Controls'!$G$5</f>
        <v>3</v>
      </c>
      <c r="M1676" s="12">
        <f>ROUNDDOWN(J1676*'04-Variant Rules'!$D$8,0)</f>
        <v>62</v>
      </c>
      <c r="N1676" s="12">
        <f>ROUNDDOWN(K1676,0)</f>
        <v>353</v>
      </c>
      <c r="O1676" s="9">
        <v>3</v>
      </c>
    </row>
    <row r="1677" spans="1:15" ht="21" customHeight="1">
      <c r="A1677" s="9" t="s">
        <v>1986</v>
      </c>
      <c r="B1677" s="12">
        <f>IF(LEFT(H1677,5)="VALID",M1677,"")</f>
        <v>166</v>
      </c>
      <c r="C1677" s="12">
        <f>IF(LEFT(H1677,5)="VALID",N1677,"")</f>
        <v>353</v>
      </c>
      <c r="D1677" s="10" t="s">
        <v>82</v>
      </c>
      <c r="E1677" s="10" t="s">
        <v>1981</v>
      </c>
      <c r="F1677" s="10" t="s">
        <v>135</v>
      </c>
      <c r="G1677" s="10" t="s">
        <v>136</v>
      </c>
      <c r="H1677" s="11" t="str">
        <f>IF(OR(M1677&lt;=0,N1677&lt;=0),"SKIPPED - NONPOSITIVE",IF(OR(M1677&lt;L1677,N1677&lt;L1677),"SKIPPED - BELOW MIN",IF(OR(M1677&gt;J1677,N1677&gt;K1677),"SKIPPED - EXCEEDS BASE",IF(COUNTIFS($M$1673:M1676,M1677,$N$1673:N1676,N1677)&gt;0,"SKIPPED - DUPLICATE","VALID - GENERATED"))))</f>
        <v>VALID - GENERATED</v>
      </c>
      <c r="I1677" s="10" t="s">
        <v>1982</v>
      </c>
      <c r="J1677" s="12">
        <f>'05-ISO Reference'!$B$22</f>
        <v>250</v>
      </c>
      <c r="K1677" s="12">
        <f>'05-ISO Reference'!$C$22</f>
        <v>353</v>
      </c>
      <c r="L1677" s="12">
        <f>'01-Process Controls'!$G$5</f>
        <v>3</v>
      </c>
      <c r="M1677" s="12">
        <f>ROUNDDOWN(J1677*'04-Variant Rules'!$D$9,0)</f>
        <v>166</v>
      </c>
      <c r="N1677" s="12">
        <f>ROUNDDOWN(K1677,0)</f>
        <v>353</v>
      </c>
      <c r="O1677" s="9">
        <v>4</v>
      </c>
    </row>
    <row r="1678" spans="1:15" ht="21" customHeight="1">
      <c r="A1678" s="9" t="s">
        <v>1987</v>
      </c>
      <c r="B1678" s="12">
        <f>IF(LEFT(H1678,5)="VALID",M1678,"")</f>
        <v>187</v>
      </c>
      <c r="C1678" s="12">
        <f>IF(LEFT(H1678,5)="VALID",N1678,"")</f>
        <v>353</v>
      </c>
      <c r="D1678" s="10" t="s">
        <v>82</v>
      </c>
      <c r="E1678" s="10" t="s">
        <v>1981</v>
      </c>
      <c r="F1678" s="10" t="s">
        <v>138</v>
      </c>
      <c r="G1678" s="10" t="s">
        <v>139</v>
      </c>
      <c r="H1678" s="11" t="str">
        <f>IF(OR(M1678&lt;=0,N1678&lt;=0),"SKIPPED - NONPOSITIVE",IF(OR(M1678&lt;L1678,N1678&lt;L1678),"SKIPPED - BELOW MIN",IF(OR(M1678&gt;J1678,N1678&gt;K1678),"SKIPPED - EXCEEDS BASE",IF(COUNTIFS($M$1673:M1677,M1678,$N$1673:N1677,N1678)&gt;0,"SKIPPED - DUPLICATE","VALID - GENERATED"))))</f>
        <v>VALID - GENERATED</v>
      </c>
      <c r="I1678" s="10" t="s">
        <v>1982</v>
      </c>
      <c r="J1678" s="12">
        <f>'05-ISO Reference'!$B$22</f>
        <v>250</v>
      </c>
      <c r="K1678" s="12">
        <f>'05-ISO Reference'!$C$22</f>
        <v>353</v>
      </c>
      <c r="L1678" s="12">
        <f>'01-Process Controls'!$G$5</f>
        <v>3</v>
      </c>
      <c r="M1678" s="12">
        <f>ROUNDDOWN(J1678*'04-Variant Rules'!$D$10,0)</f>
        <v>187</v>
      </c>
      <c r="N1678" s="12">
        <f>ROUNDDOWN(K1678,0)</f>
        <v>353</v>
      </c>
      <c r="O1678" s="9">
        <v>5</v>
      </c>
    </row>
    <row r="1679" spans="1:15" ht="21" customHeight="1">
      <c r="A1679" s="9" t="s">
        <v>1988</v>
      </c>
      <c r="B1679" s="12">
        <f>IF(LEFT(H1679,5)="VALID",M1679,"")</f>
        <v>250</v>
      </c>
      <c r="C1679" s="12">
        <f>IF(LEFT(H1679,5)="VALID",N1679,"")</f>
        <v>176</v>
      </c>
      <c r="D1679" s="10" t="s">
        <v>82</v>
      </c>
      <c r="E1679" s="10" t="s">
        <v>1981</v>
      </c>
      <c r="F1679" s="10" t="s">
        <v>141</v>
      </c>
      <c r="G1679" s="10" t="s">
        <v>142</v>
      </c>
      <c r="H1679" s="11" t="str">
        <f>IF(OR(M1679&lt;=0,N1679&lt;=0),"SKIPPED - NONPOSITIVE",IF(OR(M1679&lt;L1679,N1679&lt;L1679),"SKIPPED - BELOW MIN",IF(OR(M1679&gt;J1679,N1679&gt;K1679),"SKIPPED - EXCEEDS BASE",IF(COUNTIFS($M$1673:M1678,M1679,$N$1673:N1678,N1679)&gt;0,"SKIPPED - DUPLICATE","VALID - GENERATED"))))</f>
        <v>VALID - GENERATED</v>
      </c>
      <c r="I1679" s="10" t="s">
        <v>1982</v>
      </c>
      <c r="J1679" s="12">
        <f>'05-ISO Reference'!$B$22</f>
        <v>250</v>
      </c>
      <c r="K1679" s="12">
        <f>'05-ISO Reference'!$C$22</f>
        <v>353</v>
      </c>
      <c r="L1679" s="12">
        <f>'01-Process Controls'!$G$5</f>
        <v>3</v>
      </c>
      <c r="M1679" s="12">
        <f>ROUNDDOWN(J1679,0)</f>
        <v>250</v>
      </c>
      <c r="N1679" s="12">
        <f>ROUNDDOWN(K1679*'04-Variant Rules'!$D$11,0)</f>
        <v>176</v>
      </c>
      <c r="O1679" s="9">
        <v>6</v>
      </c>
    </row>
    <row r="1680" spans="1:15" ht="21" customHeight="1">
      <c r="A1680" s="9" t="s">
        <v>1989</v>
      </c>
      <c r="B1680" s="12">
        <f>IF(LEFT(H1680,5)="VALID",M1680,"")</f>
        <v>250</v>
      </c>
      <c r="C1680" s="12">
        <f>IF(LEFT(H1680,5)="VALID",N1680,"")</f>
        <v>117</v>
      </c>
      <c r="D1680" s="10" t="s">
        <v>82</v>
      </c>
      <c r="E1680" s="10" t="s">
        <v>1981</v>
      </c>
      <c r="F1680" s="10" t="s">
        <v>144</v>
      </c>
      <c r="G1680" s="10" t="s">
        <v>145</v>
      </c>
      <c r="H1680" s="11" t="str">
        <f>IF(OR(M1680&lt;=0,N1680&lt;=0),"SKIPPED - NONPOSITIVE",IF(OR(M1680&lt;L1680,N1680&lt;L1680),"SKIPPED - BELOW MIN",IF(OR(M1680&gt;J1680,N1680&gt;K1680),"SKIPPED - EXCEEDS BASE",IF(COUNTIFS($M$1673:M1679,M1680,$N$1673:N1679,N1680)&gt;0,"SKIPPED - DUPLICATE","VALID - GENERATED"))))</f>
        <v>VALID - GENERATED</v>
      </c>
      <c r="I1680" s="10" t="s">
        <v>1982</v>
      </c>
      <c r="J1680" s="12">
        <f>'05-ISO Reference'!$B$22</f>
        <v>250</v>
      </c>
      <c r="K1680" s="12">
        <f>'05-ISO Reference'!$C$22</f>
        <v>353</v>
      </c>
      <c r="L1680" s="12">
        <f>'01-Process Controls'!$G$5</f>
        <v>3</v>
      </c>
      <c r="M1680" s="12">
        <f>ROUNDDOWN(J1680,0)</f>
        <v>250</v>
      </c>
      <c r="N1680" s="12">
        <f>ROUNDDOWN(K1680*'04-Variant Rules'!$D$12,0)</f>
        <v>117</v>
      </c>
      <c r="O1680" s="9">
        <v>7</v>
      </c>
    </row>
    <row r="1681" spans="1:15" ht="21" customHeight="1">
      <c r="A1681" s="9" t="s">
        <v>1990</v>
      </c>
      <c r="B1681" s="12">
        <f>IF(LEFT(H1681,5)="VALID",M1681,"")</f>
        <v>250</v>
      </c>
      <c r="C1681" s="12">
        <f>IF(LEFT(H1681,5)="VALID",N1681,"")</f>
        <v>88</v>
      </c>
      <c r="D1681" s="10" t="s">
        <v>82</v>
      </c>
      <c r="E1681" s="10" t="s">
        <v>1981</v>
      </c>
      <c r="F1681" s="10" t="s">
        <v>147</v>
      </c>
      <c r="G1681" s="10" t="s">
        <v>148</v>
      </c>
      <c r="H1681" s="11" t="str">
        <f>IF(OR(M1681&lt;=0,N1681&lt;=0),"SKIPPED - NONPOSITIVE",IF(OR(M1681&lt;L1681,N1681&lt;L1681),"SKIPPED - BELOW MIN",IF(OR(M1681&gt;J1681,N1681&gt;K1681),"SKIPPED - EXCEEDS BASE",IF(COUNTIFS($M$1673:M1680,M1681,$N$1673:N1680,N1681)&gt;0,"SKIPPED - DUPLICATE","VALID - GENERATED"))))</f>
        <v>VALID - GENERATED</v>
      </c>
      <c r="I1681" s="10" t="s">
        <v>1982</v>
      </c>
      <c r="J1681" s="12">
        <f>'05-ISO Reference'!$B$22</f>
        <v>250</v>
      </c>
      <c r="K1681" s="12">
        <f>'05-ISO Reference'!$C$22</f>
        <v>353</v>
      </c>
      <c r="L1681" s="12">
        <f>'01-Process Controls'!$G$5</f>
        <v>3</v>
      </c>
      <c r="M1681" s="12">
        <f>ROUNDDOWN(J1681,0)</f>
        <v>250</v>
      </c>
      <c r="N1681" s="12">
        <f>ROUNDDOWN(K1681*'04-Variant Rules'!$D$13,0)</f>
        <v>88</v>
      </c>
      <c r="O1681" s="9">
        <v>8</v>
      </c>
    </row>
    <row r="1682" spans="1:15" ht="21" customHeight="1">
      <c r="A1682" s="9" t="s">
        <v>1991</v>
      </c>
      <c r="B1682" s="12">
        <f>IF(LEFT(H1682,5)="VALID",M1682,"")</f>
        <v>250</v>
      </c>
      <c r="C1682" s="12">
        <f>IF(LEFT(H1682,5)="VALID",N1682,"")</f>
        <v>235</v>
      </c>
      <c r="D1682" s="10" t="s">
        <v>82</v>
      </c>
      <c r="E1682" s="10" t="s">
        <v>1981</v>
      </c>
      <c r="F1682" s="10" t="s">
        <v>150</v>
      </c>
      <c r="G1682" s="10" t="s">
        <v>151</v>
      </c>
      <c r="H1682" s="11" t="str">
        <f>IF(OR(M1682&lt;=0,N1682&lt;=0),"SKIPPED - NONPOSITIVE",IF(OR(M1682&lt;L1682,N1682&lt;L1682),"SKIPPED - BELOW MIN",IF(OR(M1682&gt;J1682,N1682&gt;K1682),"SKIPPED - EXCEEDS BASE",IF(COUNTIFS($M$1673:M1681,M1682,$N$1673:N1681,N1682)&gt;0,"SKIPPED - DUPLICATE","VALID - GENERATED"))))</f>
        <v>VALID - GENERATED</v>
      </c>
      <c r="I1682" s="10" t="s">
        <v>1982</v>
      </c>
      <c r="J1682" s="12">
        <f>'05-ISO Reference'!$B$22</f>
        <v>250</v>
      </c>
      <c r="K1682" s="12">
        <f>'05-ISO Reference'!$C$22</f>
        <v>353</v>
      </c>
      <c r="L1682" s="12">
        <f>'01-Process Controls'!$G$5</f>
        <v>3</v>
      </c>
      <c r="M1682" s="12">
        <f>ROUNDDOWN(J1682,0)</f>
        <v>250</v>
      </c>
      <c r="N1682" s="12">
        <f>ROUNDDOWN(K1682*'04-Variant Rules'!$D$14,0)</f>
        <v>235</v>
      </c>
      <c r="O1682" s="9">
        <v>9</v>
      </c>
    </row>
    <row r="1683" spans="1:15" ht="21" customHeight="1">
      <c r="A1683" s="9" t="s">
        <v>1992</v>
      </c>
      <c r="B1683" s="12">
        <f>IF(LEFT(H1683,5)="VALID",M1683,"")</f>
        <v>250</v>
      </c>
      <c r="C1683" s="12">
        <f>IF(LEFT(H1683,5)="VALID",N1683,"")</f>
        <v>264</v>
      </c>
      <c r="D1683" s="10" t="s">
        <v>82</v>
      </c>
      <c r="E1683" s="10" t="s">
        <v>1981</v>
      </c>
      <c r="F1683" s="10" t="s">
        <v>153</v>
      </c>
      <c r="G1683" s="10" t="s">
        <v>154</v>
      </c>
      <c r="H1683" s="11" t="str">
        <f>IF(OR(M1683&lt;=0,N1683&lt;=0),"SKIPPED - NONPOSITIVE",IF(OR(M1683&lt;L1683,N1683&lt;L1683),"SKIPPED - BELOW MIN",IF(OR(M1683&gt;J1683,N1683&gt;K1683),"SKIPPED - EXCEEDS BASE",IF(COUNTIFS($M$1673:M1682,M1683,$N$1673:N1682,N1683)&gt;0,"SKIPPED - DUPLICATE","VALID - GENERATED"))))</f>
        <v>VALID - GENERATED</v>
      </c>
      <c r="I1683" s="10" t="s">
        <v>1982</v>
      </c>
      <c r="J1683" s="12">
        <f>'05-ISO Reference'!$B$22</f>
        <v>250</v>
      </c>
      <c r="K1683" s="12">
        <f>'05-ISO Reference'!$C$22</f>
        <v>353</v>
      </c>
      <c r="L1683" s="12">
        <f>'01-Process Controls'!$G$5</f>
        <v>3</v>
      </c>
      <c r="M1683" s="12">
        <f>ROUNDDOWN(J1683,0)</f>
        <v>250</v>
      </c>
      <c r="N1683" s="12">
        <f>ROUNDDOWN(K1683*'04-Variant Rules'!$D$15,0)</f>
        <v>264</v>
      </c>
      <c r="O1683" s="9">
        <v>10</v>
      </c>
    </row>
    <row r="1684" spans="1:15" ht="21" customHeight="1">
      <c r="A1684" s="9" t="s">
        <v>1993</v>
      </c>
      <c r="B1684" s="12">
        <f>IF(LEFT(H1684,5)="VALID",M1684,"")</f>
        <v>125</v>
      </c>
      <c r="C1684" s="12">
        <f>IF(LEFT(H1684,5)="VALID",N1684,"")</f>
        <v>176</v>
      </c>
      <c r="D1684" s="10" t="s">
        <v>82</v>
      </c>
      <c r="E1684" s="10" t="s">
        <v>1981</v>
      </c>
      <c r="F1684" s="10" t="s">
        <v>156</v>
      </c>
      <c r="G1684" s="10" t="s">
        <v>157</v>
      </c>
      <c r="H1684" s="11" t="str">
        <f>IF(OR(M1684&lt;=0,N1684&lt;=0),"SKIPPED - NONPOSITIVE",IF(OR(M1684&lt;L1684,N1684&lt;L1684),"SKIPPED - BELOW MIN",IF(OR(M1684&gt;J1684,N1684&gt;K1684),"SKIPPED - EXCEEDS BASE",IF(COUNTIFS($M$1673:M1683,M1684,$N$1673:N1683,N1684)&gt;0,"SKIPPED - DUPLICATE","VALID - GENERATED"))))</f>
        <v>VALID - GENERATED</v>
      </c>
      <c r="I1684" s="10" t="s">
        <v>1982</v>
      </c>
      <c r="J1684" s="12">
        <f>'05-ISO Reference'!$B$22</f>
        <v>250</v>
      </c>
      <c r="K1684" s="12">
        <f>'05-ISO Reference'!$C$22</f>
        <v>353</v>
      </c>
      <c r="L1684" s="12">
        <f>'01-Process Controls'!$G$5</f>
        <v>3</v>
      </c>
      <c r="M1684" s="12">
        <f>ROUNDDOWN(J1684*'04-Variant Rules'!$D$16,0)</f>
        <v>125</v>
      </c>
      <c r="N1684" s="12">
        <f>ROUNDDOWN(K1684*'04-Variant Rules'!$E$16,0)</f>
        <v>176</v>
      </c>
      <c r="O1684" s="9">
        <v>11</v>
      </c>
    </row>
    <row r="1685" spans="1:15" ht="21" customHeight="1">
      <c r="A1685" s="9" t="s">
        <v>1994</v>
      </c>
      <c r="B1685" s="12">
        <f>IF(LEFT(H1685,5)="VALID",M1685,"")</f>
        <v>83</v>
      </c>
      <c r="C1685" s="12">
        <f>IF(LEFT(H1685,5)="VALID",N1685,"")</f>
        <v>117</v>
      </c>
      <c r="D1685" s="10" t="s">
        <v>82</v>
      </c>
      <c r="E1685" s="10" t="s">
        <v>1981</v>
      </c>
      <c r="F1685" s="10" t="s">
        <v>159</v>
      </c>
      <c r="G1685" s="10" t="s">
        <v>160</v>
      </c>
      <c r="H1685" s="11" t="str">
        <f>IF(OR(M1685&lt;=0,N1685&lt;=0),"SKIPPED - NONPOSITIVE",IF(OR(M1685&lt;L1685,N1685&lt;L1685),"SKIPPED - BELOW MIN",IF(OR(M1685&gt;J1685,N1685&gt;K1685),"SKIPPED - EXCEEDS BASE",IF(COUNTIFS($M$1673:M1684,M1685,$N$1673:N1684,N1685)&gt;0,"SKIPPED - DUPLICATE","VALID - GENERATED"))))</f>
        <v>VALID - GENERATED</v>
      </c>
      <c r="I1685" s="10" t="s">
        <v>1982</v>
      </c>
      <c r="J1685" s="12">
        <f>'05-ISO Reference'!$B$22</f>
        <v>250</v>
      </c>
      <c r="K1685" s="12">
        <f>'05-ISO Reference'!$C$22</f>
        <v>353</v>
      </c>
      <c r="L1685" s="12">
        <f>'01-Process Controls'!$G$5</f>
        <v>3</v>
      </c>
      <c r="M1685" s="12">
        <f>ROUNDDOWN(J1685*'04-Variant Rules'!$D$17,0)</f>
        <v>83</v>
      </c>
      <c r="N1685" s="12">
        <f>ROUNDDOWN(K1685*'04-Variant Rules'!$E$17,0)</f>
        <v>117</v>
      </c>
      <c r="O1685" s="9">
        <v>12</v>
      </c>
    </row>
    <row r="1686" spans="1:15" ht="21" customHeight="1">
      <c r="A1686" s="9" t="s">
        <v>1995</v>
      </c>
      <c r="B1686" s="12">
        <f>IF(LEFT(H1686,5)="VALID",M1686,"")</f>
        <v>62</v>
      </c>
      <c r="C1686" s="12">
        <f>IF(LEFT(H1686,5)="VALID",N1686,"")</f>
        <v>88</v>
      </c>
      <c r="D1686" s="10" t="s">
        <v>82</v>
      </c>
      <c r="E1686" s="10" t="s">
        <v>1981</v>
      </c>
      <c r="F1686" s="10" t="s">
        <v>162</v>
      </c>
      <c r="G1686" s="10" t="s">
        <v>163</v>
      </c>
      <c r="H1686" s="11" t="str">
        <f>IF(OR(M1686&lt;=0,N1686&lt;=0),"SKIPPED - NONPOSITIVE",IF(OR(M1686&lt;L1686,N1686&lt;L1686),"SKIPPED - BELOW MIN",IF(OR(M1686&gt;J1686,N1686&gt;K1686),"SKIPPED - EXCEEDS BASE",IF(COUNTIFS($M$1673:M1685,M1686,$N$1673:N1685,N1686)&gt;0,"SKIPPED - DUPLICATE","VALID - GENERATED"))))</f>
        <v>VALID - GENERATED</v>
      </c>
      <c r="I1686" s="10" t="s">
        <v>1982</v>
      </c>
      <c r="J1686" s="12">
        <f>'05-ISO Reference'!$B$22</f>
        <v>250</v>
      </c>
      <c r="K1686" s="12">
        <f>'05-ISO Reference'!$C$22</f>
        <v>353</v>
      </c>
      <c r="L1686" s="12">
        <f>'01-Process Controls'!$G$5</f>
        <v>3</v>
      </c>
      <c r="M1686" s="12">
        <f>ROUNDDOWN(J1686*'04-Variant Rules'!$D$18,0)</f>
        <v>62</v>
      </c>
      <c r="N1686" s="12">
        <f>ROUNDDOWN(K1686*'04-Variant Rules'!$E$18,0)</f>
        <v>88</v>
      </c>
      <c r="O1686" s="9">
        <v>13</v>
      </c>
    </row>
    <row r="1687" spans="1:15" ht="21" customHeight="1">
      <c r="A1687" s="9" t="s">
        <v>1996</v>
      </c>
      <c r="B1687" s="12">
        <f>IF(LEFT(H1687,5)="VALID",M1687,"")</f>
        <v>125</v>
      </c>
      <c r="C1687" s="12">
        <f>IF(LEFT(H1687,5)="VALID",N1687,"")</f>
        <v>117</v>
      </c>
      <c r="D1687" s="10" t="s">
        <v>82</v>
      </c>
      <c r="E1687" s="10" t="s">
        <v>1981</v>
      </c>
      <c r="F1687" s="10" t="s">
        <v>165</v>
      </c>
      <c r="G1687" s="10" t="s">
        <v>166</v>
      </c>
      <c r="H1687" s="11" t="str">
        <f>IF(OR(M1687&lt;=0,N1687&lt;=0),"SKIPPED - NONPOSITIVE",IF(OR(M1687&lt;L1687,N1687&lt;L1687),"SKIPPED - BELOW MIN",IF(OR(M1687&gt;J1687,N1687&gt;K1687),"SKIPPED - EXCEEDS BASE",IF(COUNTIFS($M$1673:M1686,M1687,$N$1673:N1686,N1687)&gt;0,"SKIPPED - DUPLICATE","VALID - GENERATED"))))</f>
        <v>VALID - GENERATED</v>
      </c>
      <c r="I1687" s="10" t="s">
        <v>1982</v>
      </c>
      <c r="J1687" s="12">
        <f>'05-ISO Reference'!$B$22</f>
        <v>250</v>
      </c>
      <c r="K1687" s="12">
        <f>'05-ISO Reference'!$C$22</f>
        <v>353</v>
      </c>
      <c r="L1687" s="12">
        <f>'01-Process Controls'!$G$5</f>
        <v>3</v>
      </c>
      <c r="M1687" s="12">
        <f>ROUNDDOWN(J1687*'04-Variant Rules'!$D$19,0)</f>
        <v>125</v>
      </c>
      <c r="N1687" s="12">
        <f>ROUNDDOWN(K1687*'04-Variant Rules'!$E$19,0)</f>
        <v>117</v>
      </c>
      <c r="O1687" s="9">
        <v>14</v>
      </c>
    </row>
    <row r="1688" spans="1:15" ht="21" customHeight="1">
      <c r="A1688" s="9" t="s">
        <v>1997</v>
      </c>
      <c r="B1688" s="12">
        <f>IF(LEFT(H1688,5)="VALID",M1688,"")</f>
        <v>83</v>
      </c>
      <c r="C1688" s="12">
        <f>IF(LEFT(H1688,5)="VALID",N1688,"")</f>
        <v>176</v>
      </c>
      <c r="D1688" s="10" t="s">
        <v>82</v>
      </c>
      <c r="E1688" s="10" t="s">
        <v>1981</v>
      </c>
      <c r="F1688" s="10" t="s">
        <v>168</v>
      </c>
      <c r="G1688" s="10" t="s">
        <v>166</v>
      </c>
      <c r="H1688" s="11" t="str">
        <f>IF(OR(M1688&lt;=0,N1688&lt;=0),"SKIPPED - NONPOSITIVE",IF(OR(M1688&lt;L1688,N1688&lt;L1688),"SKIPPED - BELOW MIN",IF(OR(M1688&gt;J1688,N1688&gt;K1688),"SKIPPED - EXCEEDS BASE",IF(COUNTIFS($M$1673:M1687,M1688,$N$1673:N1687,N1688)&gt;0,"SKIPPED - DUPLICATE","VALID - GENERATED"))))</f>
        <v>VALID - GENERATED</v>
      </c>
      <c r="I1688" s="10" t="s">
        <v>1982</v>
      </c>
      <c r="J1688" s="12">
        <f>'05-ISO Reference'!$B$22</f>
        <v>250</v>
      </c>
      <c r="K1688" s="12">
        <f>'05-ISO Reference'!$C$22</f>
        <v>353</v>
      </c>
      <c r="L1688" s="12">
        <f>'01-Process Controls'!$G$5</f>
        <v>3</v>
      </c>
      <c r="M1688" s="12">
        <f>ROUNDDOWN(J1688*'04-Variant Rules'!$D$20,0)</f>
        <v>83</v>
      </c>
      <c r="N1688" s="12">
        <f>ROUNDDOWN(K1688*'04-Variant Rules'!$E$20,0)</f>
        <v>176</v>
      </c>
      <c r="O1688" s="9">
        <v>15</v>
      </c>
    </row>
    <row r="1689" spans="1:15" ht="21" customHeight="1">
      <c r="A1689" s="9" t="s">
        <v>1998</v>
      </c>
      <c r="B1689" s="12">
        <f>IF(LEFT(H1689,5)="VALID",M1689,"")</f>
        <v>125</v>
      </c>
      <c r="C1689" s="12">
        <f>IF(LEFT(H1689,5)="VALID",N1689,"")</f>
        <v>88</v>
      </c>
      <c r="D1689" s="10" t="s">
        <v>82</v>
      </c>
      <c r="E1689" s="10" t="s">
        <v>1981</v>
      </c>
      <c r="F1689" s="10" t="s">
        <v>170</v>
      </c>
      <c r="G1689" s="10" t="s">
        <v>166</v>
      </c>
      <c r="H1689" s="11" t="str">
        <f>IF(OR(M1689&lt;=0,N1689&lt;=0),"SKIPPED - NONPOSITIVE",IF(OR(M1689&lt;L1689,N1689&lt;L1689),"SKIPPED - BELOW MIN",IF(OR(M1689&gt;J1689,N1689&gt;K1689),"SKIPPED - EXCEEDS BASE",IF(COUNTIFS($M$1673:M1688,M1689,$N$1673:N1688,N1689)&gt;0,"SKIPPED - DUPLICATE","VALID - GENERATED"))))</f>
        <v>VALID - GENERATED</v>
      </c>
      <c r="I1689" s="10" t="s">
        <v>1982</v>
      </c>
      <c r="J1689" s="12">
        <f>'05-ISO Reference'!$B$22</f>
        <v>250</v>
      </c>
      <c r="K1689" s="12">
        <f>'05-ISO Reference'!$C$22</f>
        <v>353</v>
      </c>
      <c r="L1689" s="12">
        <f>'01-Process Controls'!$G$5</f>
        <v>3</v>
      </c>
      <c r="M1689" s="12">
        <f>ROUNDDOWN(J1689*'04-Variant Rules'!$D$21,0)</f>
        <v>125</v>
      </c>
      <c r="N1689" s="12">
        <f>ROUNDDOWN(K1689*'04-Variant Rules'!$E$21,0)</f>
        <v>88</v>
      </c>
      <c r="O1689" s="9">
        <v>16</v>
      </c>
    </row>
    <row r="1690" spans="1:15" ht="21" customHeight="1">
      <c r="A1690" s="9" t="s">
        <v>1999</v>
      </c>
      <c r="B1690" s="12">
        <f>IF(LEFT(H1690,5)="VALID",M1690,"")</f>
        <v>62</v>
      </c>
      <c r="C1690" s="12">
        <f>IF(LEFT(H1690,5)="VALID",N1690,"")</f>
        <v>176</v>
      </c>
      <c r="D1690" s="10" t="s">
        <v>82</v>
      </c>
      <c r="E1690" s="10" t="s">
        <v>1981</v>
      </c>
      <c r="F1690" s="10" t="s">
        <v>172</v>
      </c>
      <c r="G1690" s="10" t="s">
        <v>166</v>
      </c>
      <c r="H1690" s="11" t="str">
        <f>IF(OR(M1690&lt;=0,N1690&lt;=0),"SKIPPED - NONPOSITIVE",IF(OR(M1690&lt;L1690,N1690&lt;L1690),"SKIPPED - BELOW MIN",IF(OR(M1690&gt;J1690,N1690&gt;K1690),"SKIPPED - EXCEEDS BASE",IF(COUNTIFS($M$1673:M1689,M1690,$N$1673:N1689,N1690)&gt;0,"SKIPPED - DUPLICATE","VALID - GENERATED"))))</f>
        <v>VALID - GENERATED</v>
      </c>
      <c r="I1690" s="10" t="s">
        <v>1982</v>
      </c>
      <c r="J1690" s="12">
        <f>'05-ISO Reference'!$B$22</f>
        <v>250</v>
      </c>
      <c r="K1690" s="12">
        <f>'05-ISO Reference'!$C$22</f>
        <v>353</v>
      </c>
      <c r="L1690" s="12">
        <f>'01-Process Controls'!$G$5</f>
        <v>3</v>
      </c>
      <c r="M1690" s="12">
        <f>ROUNDDOWN(J1690*'04-Variant Rules'!$D$22,0)</f>
        <v>62</v>
      </c>
      <c r="N1690" s="12">
        <f>ROUNDDOWN(K1690*'04-Variant Rules'!$E$22,0)</f>
        <v>176</v>
      </c>
      <c r="O1690" s="9">
        <v>17</v>
      </c>
    </row>
    <row r="1691" spans="1:15" ht="21" customHeight="1">
      <c r="A1691" s="9" t="s">
        <v>2000</v>
      </c>
      <c r="B1691" s="12">
        <f>IF(LEFT(H1691,5)="VALID",M1691,"")</f>
        <v>166</v>
      </c>
      <c r="C1691" s="12">
        <f>IF(LEFT(H1691,5)="VALID",N1691,"")</f>
        <v>176</v>
      </c>
      <c r="D1691" s="10" t="s">
        <v>82</v>
      </c>
      <c r="E1691" s="10" t="s">
        <v>1981</v>
      </c>
      <c r="F1691" s="10" t="s">
        <v>174</v>
      </c>
      <c r="G1691" s="10" t="s">
        <v>166</v>
      </c>
      <c r="H1691" s="11" t="str">
        <f>IF(OR(M1691&lt;=0,N1691&lt;=0),"SKIPPED - NONPOSITIVE",IF(OR(M1691&lt;L1691,N1691&lt;L1691),"SKIPPED - BELOW MIN",IF(OR(M1691&gt;J1691,N1691&gt;K1691),"SKIPPED - EXCEEDS BASE",IF(COUNTIFS($M$1673:M1690,M1691,$N$1673:N1690,N1691)&gt;0,"SKIPPED - DUPLICATE","VALID - GENERATED"))))</f>
        <v>VALID - GENERATED</v>
      </c>
      <c r="I1691" s="10" t="s">
        <v>1982</v>
      </c>
      <c r="J1691" s="12">
        <f>'05-ISO Reference'!$B$22</f>
        <v>250</v>
      </c>
      <c r="K1691" s="12">
        <f>'05-ISO Reference'!$C$22</f>
        <v>353</v>
      </c>
      <c r="L1691" s="12">
        <f>'01-Process Controls'!$G$5</f>
        <v>3</v>
      </c>
      <c r="M1691" s="12">
        <f>ROUNDDOWN(J1691*'04-Variant Rules'!$D$23,0)</f>
        <v>166</v>
      </c>
      <c r="N1691" s="12">
        <f>ROUNDDOWN(K1691*'04-Variant Rules'!$E$23,0)</f>
        <v>176</v>
      </c>
      <c r="O1691" s="9">
        <v>18</v>
      </c>
    </row>
    <row r="1692" spans="1:15" ht="21" customHeight="1">
      <c r="A1692" s="9" t="s">
        <v>2001</v>
      </c>
      <c r="B1692" s="12">
        <f>IF(LEFT(H1692,5)="VALID",M1692,"")</f>
        <v>125</v>
      </c>
      <c r="C1692" s="12">
        <f>IF(LEFT(H1692,5)="VALID",N1692,"")</f>
        <v>235</v>
      </c>
      <c r="D1692" s="10" t="s">
        <v>82</v>
      </c>
      <c r="E1692" s="10" t="s">
        <v>1981</v>
      </c>
      <c r="F1692" s="10" t="s">
        <v>176</v>
      </c>
      <c r="G1692" s="10" t="s">
        <v>166</v>
      </c>
      <c r="H1692" s="11" t="str">
        <f>IF(OR(M1692&lt;=0,N1692&lt;=0),"SKIPPED - NONPOSITIVE",IF(OR(M1692&lt;L1692,N1692&lt;L1692),"SKIPPED - BELOW MIN",IF(OR(M1692&gt;J1692,N1692&gt;K1692),"SKIPPED - EXCEEDS BASE",IF(COUNTIFS($M$1673:M1691,M1692,$N$1673:N1691,N1692)&gt;0,"SKIPPED - DUPLICATE","VALID - GENERATED"))))</f>
        <v>VALID - GENERATED</v>
      </c>
      <c r="I1692" s="10" t="s">
        <v>1982</v>
      </c>
      <c r="J1692" s="12">
        <f>'05-ISO Reference'!$B$22</f>
        <v>250</v>
      </c>
      <c r="K1692" s="12">
        <f>'05-ISO Reference'!$C$22</f>
        <v>353</v>
      </c>
      <c r="L1692" s="12">
        <f>'01-Process Controls'!$G$5</f>
        <v>3</v>
      </c>
      <c r="M1692" s="12">
        <f>ROUNDDOWN(J1692*'04-Variant Rules'!$D$24,0)</f>
        <v>125</v>
      </c>
      <c r="N1692" s="12">
        <f>ROUNDDOWN(K1692*'04-Variant Rules'!$E$24,0)</f>
        <v>235</v>
      </c>
      <c r="O1692" s="9">
        <v>19</v>
      </c>
    </row>
    <row r="1693" spans="1:15" ht="21" customHeight="1">
      <c r="A1693" s="9" t="s">
        <v>2002</v>
      </c>
      <c r="B1693" s="12">
        <f>IF(LEFT(H1693,5)="VALID",M1693,"")</f>
        <v>187</v>
      </c>
      <c r="C1693" s="12">
        <f>IF(LEFT(H1693,5)="VALID",N1693,"")</f>
        <v>176</v>
      </c>
      <c r="D1693" s="10" t="s">
        <v>82</v>
      </c>
      <c r="E1693" s="10" t="s">
        <v>1981</v>
      </c>
      <c r="F1693" s="10" t="s">
        <v>178</v>
      </c>
      <c r="G1693" s="10" t="s">
        <v>166</v>
      </c>
      <c r="H1693" s="11" t="str">
        <f>IF(OR(M1693&lt;=0,N1693&lt;=0),"SKIPPED - NONPOSITIVE",IF(OR(M1693&lt;L1693,N1693&lt;L1693),"SKIPPED - BELOW MIN",IF(OR(M1693&gt;J1693,N1693&gt;K1693),"SKIPPED - EXCEEDS BASE",IF(COUNTIFS($M$1673:M1692,M1693,$N$1673:N1692,N1693)&gt;0,"SKIPPED - DUPLICATE","VALID - GENERATED"))))</f>
        <v>VALID - GENERATED</v>
      </c>
      <c r="I1693" s="10" t="s">
        <v>1982</v>
      </c>
      <c r="J1693" s="12">
        <f>'05-ISO Reference'!$B$22</f>
        <v>250</v>
      </c>
      <c r="K1693" s="12">
        <f>'05-ISO Reference'!$C$22</f>
        <v>353</v>
      </c>
      <c r="L1693" s="12">
        <f>'01-Process Controls'!$G$5</f>
        <v>3</v>
      </c>
      <c r="M1693" s="12">
        <f>ROUNDDOWN(J1693*'04-Variant Rules'!$D$25,0)</f>
        <v>187</v>
      </c>
      <c r="N1693" s="12">
        <f>ROUNDDOWN(K1693*'04-Variant Rules'!$E$25,0)</f>
        <v>176</v>
      </c>
      <c r="O1693" s="9">
        <v>20</v>
      </c>
    </row>
    <row r="1694" spans="1:15" ht="21" customHeight="1">
      <c r="A1694" s="9" t="s">
        <v>2003</v>
      </c>
      <c r="B1694" s="12">
        <f>IF(LEFT(H1694,5)="VALID",M1694,"")</f>
        <v>125</v>
      </c>
      <c r="C1694" s="12">
        <f>IF(LEFT(H1694,5)="VALID",N1694,"")</f>
        <v>264</v>
      </c>
      <c r="D1694" s="10" t="s">
        <v>82</v>
      </c>
      <c r="E1694" s="10" t="s">
        <v>1981</v>
      </c>
      <c r="F1694" s="10" t="s">
        <v>180</v>
      </c>
      <c r="G1694" s="10" t="s">
        <v>166</v>
      </c>
      <c r="H1694" s="11" t="str">
        <f>IF(OR(M1694&lt;=0,N1694&lt;=0),"SKIPPED - NONPOSITIVE",IF(OR(M1694&lt;L1694,N1694&lt;L1694),"SKIPPED - BELOW MIN",IF(OR(M1694&gt;J1694,N1694&gt;K1694),"SKIPPED - EXCEEDS BASE",IF(COUNTIFS($M$1673:M1693,M1694,$N$1673:N1693,N1694)&gt;0,"SKIPPED - DUPLICATE","VALID - GENERATED"))))</f>
        <v>VALID - GENERATED</v>
      </c>
      <c r="I1694" s="10" t="s">
        <v>1982</v>
      </c>
      <c r="J1694" s="12">
        <f>'05-ISO Reference'!$B$22</f>
        <v>250</v>
      </c>
      <c r="K1694" s="12">
        <f>'05-ISO Reference'!$C$22</f>
        <v>353</v>
      </c>
      <c r="L1694" s="12">
        <f>'01-Process Controls'!$G$5</f>
        <v>3</v>
      </c>
      <c r="M1694" s="12">
        <f>ROUNDDOWN(J1694*'04-Variant Rules'!$D$26,0)</f>
        <v>125</v>
      </c>
      <c r="N1694" s="12">
        <f>ROUNDDOWN(K1694*'04-Variant Rules'!$E$26,0)</f>
        <v>264</v>
      </c>
      <c r="O1694" s="9">
        <v>21</v>
      </c>
    </row>
    <row r="1695" spans="1:15" ht="21" customHeight="1">
      <c r="A1695" s="9" t="s">
        <v>2004</v>
      </c>
      <c r="B1695" s="12">
        <f>IF(LEFT(H1695,5)="VALID",M1695,"")</f>
        <v>237</v>
      </c>
      <c r="C1695" s="12">
        <f>IF(LEFT(H1695,5)="VALID",N1695,"")</f>
        <v>335</v>
      </c>
      <c r="D1695" s="10" t="s">
        <v>82</v>
      </c>
      <c r="E1695" s="10" t="s">
        <v>1981</v>
      </c>
      <c r="F1695" s="10" t="s">
        <v>182</v>
      </c>
      <c r="G1695" s="10" t="s">
        <v>183</v>
      </c>
      <c r="H1695" s="11" t="str">
        <f>IF(OR(M1695&lt;=0,N1695&lt;=0),"SKIPPED - NONPOSITIVE",IF(OR(M1695&lt;L1695,N1695&lt;L1695),"SKIPPED - BELOW MIN",IF(OR(M1695&gt;J1695,N1695&gt;K1695),"SKIPPED - EXCEEDS BASE",IF(COUNTIFS($M$1673:M1694,M1695,$N$1673:N1694,N1695)&gt;0,"SKIPPED - DUPLICATE","VALID - GENERATED"))))</f>
        <v>VALID - GENERATED</v>
      </c>
      <c r="I1695" s="10" t="s">
        <v>1982</v>
      </c>
      <c r="J1695" s="12">
        <f>'05-ISO Reference'!$B$22</f>
        <v>250</v>
      </c>
      <c r="K1695" s="12">
        <f>'05-ISO Reference'!$C$22</f>
        <v>353</v>
      </c>
      <c r="L1695" s="12">
        <f>'01-Process Controls'!$G$5</f>
        <v>3</v>
      </c>
      <c r="M1695" s="12">
        <f>ROUNDDOWN(J1695*'04-Variant Rules'!$D$27,0)</f>
        <v>237</v>
      </c>
      <c r="N1695" s="12">
        <f>ROUNDDOWN(K1695*'04-Variant Rules'!$E$27,0)</f>
        <v>335</v>
      </c>
      <c r="O1695" s="9">
        <v>22</v>
      </c>
    </row>
    <row r="1696" spans="1:15" ht="21" customHeight="1">
      <c r="A1696" s="9" t="s">
        <v>2005</v>
      </c>
      <c r="B1696" s="12">
        <f>IF(LEFT(H1696,5)="VALID",M1696,"")</f>
        <v>225</v>
      </c>
      <c r="C1696" s="12">
        <f>IF(LEFT(H1696,5)="VALID",N1696,"")</f>
        <v>317</v>
      </c>
      <c r="D1696" s="10" t="s">
        <v>82</v>
      </c>
      <c r="E1696" s="10" t="s">
        <v>1981</v>
      </c>
      <c r="F1696" s="10" t="s">
        <v>185</v>
      </c>
      <c r="G1696" s="10" t="s">
        <v>186</v>
      </c>
      <c r="H1696" s="11" t="str">
        <f>IF(OR(M1696&lt;=0,N1696&lt;=0),"SKIPPED - NONPOSITIVE",IF(OR(M1696&lt;L1696,N1696&lt;L1696),"SKIPPED - BELOW MIN",IF(OR(M1696&gt;J1696,N1696&gt;K1696),"SKIPPED - EXCEEDS BASE",IF(COUNTIFS($M$1673:M1695,M1696,$N$1673:N1695,N1696)&gt;0,"SKIPPED - DUPLICATE","VALID - GENERATED"))))</f>
        <v>VALID - GENERATED</v>
      </c>
      <c r="I1696" s="10" t="s">
        <v>1982</v>
      </c>
      <c r="J1696" s="12">
        <f>'05-ISO Reference'!$B$22</f>
        <v>250</v>
      </c>
      <c r="K1696" s="12">
        <f>'05-ISO Reference'!$C$22</f>
        <v>353</v>
      </c>
      <c r="L1696" s="12">
        <f>'01-Process Controls'!$G$5</f>
        <v>3</v>
      </c>
      <c r="M1696" s="12">
        <f>ROUNDDOWN(J1696*'04-Variant Rules'!$D$28,0)</f>
        <v>225</v>
      </c>
      <c r="N1696" s="12">
        <f>ROUNDDOWN(K1696*'04-Variant Rules'!$E$28,0)</f>
        <v>317</v>
      </c>
      <c r="O1696" s="9">
        <v>23</v>
      </c>
    </row>
    <row r="1697" spans="1:15" ht="21" customHeight="1">
      <c r="A1697" s="9" t="s">
        <v>2006</v>
      </c>
      <c r="B1697" s="12">
        <f>IF(LEFT(H1697,5)="VALID",M1697,"")</f>
        <v>212</v>
      </c>
      <c r="C1697" s="12">
        <f>IF(LEFT(H1697,5)="VALID",N1697,"")</f>
        <v>300</v>
      </c>
      <c r="D1697" s="10" t="s">
        <v>82</v>
      </c>
      <c r="E1697" s="10" t="s">
        <v>1981</v>
      </c>
      <c r="F1697" s="10" t="s">
        <v>188</v>
      </c>
      <c r="G1697" s="10" t="s">
        <v>186</v>
      </c>
      <c r="H1697" s="11" t="str">
        <f>IF(OR(M1697&lt;=0,N1697&lt;=0),"SKIPPED - NONPOSITIVE",IF(OR(M1697&lt;L1697,N1697&lt;L1697),"SKIPPED - BELOW MIN",IF(OR(M1697&gt;J1697,N1697&gt;K1697),"SKIPPED - EXCEEDS BASE",IF(COUNTIFS($M$1673:M1696,M1697,$N$1673:N1696,N1697)&gt;0,"SKIPPED - DUPLICATE","VALID - GENERATED"))))</f>
        <v>VALID - GENERATED</v>
      </c>
      <c r="I1697" s="10" t="s">
        <v>1982</v>
      </c>
      <c r="J1697" s="12">
        <f>'05-ISO Reference'!$B$22</f>
        <v>250</v>
      </c>
      <c r="K1697" s="12">
        <f>'05-ISO Reference'!$C$22</f>
        <v>353</v>
      </c>
      <c r="L1697" s="12">
        <f>'01-Process Controls'!$G$5</f>
        <v>3</v>
      </c>
      <c r="M1697" s="12">
        <f>ROUNDDOWN(J1697*'04-Variant Rules'!$D$29,0)</f>
        <v>212</v>
      </c>
      <c r="N1697" s="12">
        <f>ROUNDDOWN(K1697*'04-Variant Rules'!$E$29,0)</f>
        <v>300</v>
      </c>
      <c r="O1697" s="9">
        <v>24</v>
      </c>
    </row>
    <row r="1698" spans="1:15" ht="21" customHeight="1">
      <c r="A1698" s="9" t="s">
        <v>2007</v>
      </c>
      <c r="B1698" s="12">
        <f>IF(LEFT(H1698,5)="VALID",M1698,"")</f>
        <v>200</v>
      </c>
      <c r="C1698" s="12">
        <f>IF(LEFT(H1698,5)="VALID",N1698,"")</f>
        <v>282</v>
      </c>
      <c r="D1698" s="10" t="s">
        <v>82</v>
      </c>
      <c r="E1698" s="10" t="s">
        <v>1981</v>
      </c>
      <c r="F1698" s="10" t="s">
        <v>190</v>
      </c>
      <c r="G1698" s="10" t="s">
        <v>186</v>
      </c>
      <c r="H1698" s="11" t="str">
        <f>IF(OR(M1698&lt;=0,N1698&lt;=0),"SKIPPED - NONPOSITIVE",IF(OR(M1698&lt;L1698,N1698&lt;L1698),"SKIPPED - BELOW MIN",IF(OR(M1698&gt;J1698,N1698&gt;K1698),"SKIPPED - EXCEEDS BASE",IF(COUNTIFS($M$1673:M1697,M1698,$N$1673:N1697,N1698)&gt;0,"SKIPPED - DUPLICATE","VALID - GENERATED"))))</f>
        <v>VALID - GENERATED</v>
      </c>
      <c r="I1698" s="10" t="s">
        <v>1982</v>
      </c>
      <c r="J1698" s="12">
        <f>'05-ISO Reference'!$B$22</f>
        <v>250</v>
      </c>
      <c r="K1698" s="12">
        <f>'05-ISO Reference'!$C$22</f>
        <v>353</v>
      </c>
      <c r="L1698" s="12">
        <f>'01-Process Controls'!$G$5</f>
        <v>3</v>
      </c>
      <c r="M1698" s="12">
        <f>ROUNDDOWN(J1698*'04-Variant Rules'!$D$30,0)</f>
        <v>200</v>
      </c>
      <c r="N1698" s="12">
        <f>ROUNDDOWN(K1698*'04-Variant Rules'!$E$30,0)</f>
        <v>282</v>
      </c>
      <c r="O1698" s="9">
        <v>25</v>
      </c>
    </row>
    <row r="1699" spans="1:15" ht="21" customHeight="1">
      <c r="A1699" s="9" t="s">
        <v>2008</v>
      </c>
      <c r="B1699" s="12">
        <f>IF(LEFT(H1699,5)="VALID",M1699,"")</f>
        <v>187</v>
      </c>
      <c r="C1699" s="12">
        <f>IF(LEFT(H1699,5)="VALID",N1699,"")</f>
        <v>264</v>
      </c>
      <c r="D1699" s="10" t="s">
        <v>82</v>
      </c>
      <c r="E1699" s="10" t="s">
        <v>1981</v>
      </c>
      <c r="F1699" s="10" t="s">
        <v>192</v>
      </c>
      <c r="G1699" s="10" t="s">
        <v>186</v>
      </c>
      <c r="H1699" s="11" t="str">
        <f>IF(OR(M1699&lt;=0,N1699&lt;=0),"SKIPPED - NONPOSITIVE",IF(OR(M1699&lt;L1699,N1699&lt;L1699),"SKIPPED - BELOW MIN",IF(OR(M1699&gt;J1699,N1699&gt;K1699),"SKIPPED - EXCEEDS BASE",IF(COUNTIFS($M$1673:M1698,M1699,$N$1673:N1698,N1699)&gt;0,"SKIPPED - DUPLICATE","VALID - GENERATED"))))</f>
        <v>VALID - GENERATED</v>
      </c>
      <c r="I1699" s="10" t="s">
        <v>1982</v>
      </c>
      <c r="J1699" s="12">
        <f>'05-ISO Reference'!$B$22</f>
        <v>250</v>
      </c>
      <c r="K1699" s="12">
        <f>'05-ISO Reference'!$C$22</f>
        <v>353</v>
      </c>
      <c r="L1699" s="12">
        <f>'01-Process Controls'!$G$5</f>
        <v>3</v>
      </c>
      <c r="M1699" s="12">
        <f>ROUNDDOWN(J1699*'04-Variant Rules'!$D$31,0)</f>
        <v>187</v>
      </c>
      <c r="N1699" s="12">
        <f>ROUNDDOWN(K1699*'04-Variant Rules'!$E$31,0)</f>
        <v>264</v>
      </c>
      <c r="O1699" s="9">
        <v>26</v>
      </c>
    </row>
    <row r="1700" spans="1:15" ht="21" customHeight="1">
      <c r="A1700" s="9" t="s">
        <v>2009</v>
      </c>
      <c r="B1700" s="12">
        <f>IF(LEFT(H1700,5)="VALID",M1700,"")</f>
        <v>175</v>
      </c>
      <c r="C1700" s="12">
        <f>IF(LEFT(H1700,5)="VALID",N1700,"")</f>
        <v>247</v>
      </c>
      <c r="D1700" s="10" t="s">
        <v>82</v>
      </c>
      <c r="E1700" s="10" t="s">
        <v>1981</v>
      </c>
      <c r="F1700" s="10" t="s">
        <v>194</v>
      </c>
      <c r="G1700" s="10" t="s">
        <v>186</v>
      </c>
      <c r="H1700" s="11" t="str">
        <f>IF(OR(M1700&lt;=0,N1700&lt;=0),"SKIPPED - NONPOSITIVE",IF(OR(M1700&lt;L1700,N1700&lt;L1700),"SKIPPED - BELOW MIN",IF(OR(M1700&gt;J1700,N1700&gt;K1700),"SKIPPED - EXCEEDS BASE",IF(COUNTIFS($M$1673:M1699,M1700,$N$1673:N1699,N1700)&gt;0,"SKIPPED - DUPLICATE","VALID - GENERATED"))))</f>
        <v>VALID - GENERATED</v>
      </c>
      <c r="I1700" s="10" t="s">
        <v>1982</v>
      </c>
      <c r="J1700" s="12">
        <f>'05-ISO Reference'!$B$22</f>
        <v>250</v>
      </c>
      <c r="K1700" s="12">
        <f>'05-ISO Reference'!$C$22</f>
        <v>353</v>
      </c>
      <c r="L1700" s="12">
        <f>'01-Process Controls'!$G$5</f>
        <v>3</v>
      </c>
      <c r="M1700" s="12">
        <f>ROUNDDOWN(J1700*'04-Variant Rules'!$D$32,0)</f>
        <v>175</v>
      </c>
      <c r="N1700" s="12">
        <f>ROUNDDOWN(K1700*'04-Variant Rules'!$E$32,0)</f>
        <v>247</v>
      </c>
      <c r="O1700" s="9">
        <v>27</v>
      </c>
    </row>
    <row r="1701" spans="1:15" ht="21" customHeight="1">
      <c r="A1701" s="9" t="s">
        <v>2010</v>
      </c>
      <c r="B1701" s="12">
        <f>IF(LEFT(H1701,5)="VALID",M1701,"")</f>
        <v>166</v>
      </c>
      <c r="C1701" s="12">
        <f>IF(LEFT(H1701,5)="VALID",N1701,"")</f>
        <v>235</v>
      </c>
      <c r="D1701" s="10" t="s">
        <v>82</v>
      </c>
      <c r="E1701" s="10" t="s">
        <v>1981</v>
      </c>
      <c r="F1701" s="10" t="s">
        <v>196</v>
      </c>
      <c r="G1701" s="10" t="s">
        <v>186</v>
      </c>
      <c r="H1701" s="11" t="str">
        <f>IF(OR(M1701&lt;=0,N1701&lt;=0),"SKIPPED - NONPOSITIVE",IF(OR(M1701&lt;L1701,N1701&lt;L1701),"SKIPPED - BELOW MIN",IF(OR(M1701&gt;J1701,N1701&gt;K1701),"SKIPPED - EXCEEDS BASE",IF(COUNTIFS($M$1673:M1700,M1701,$N$1673:N1700,N1701)&gt;0,"SKIPPED - DUPLICATE","VALID - GENERATED"))))</f>
        <v>VALID - GENERATED</v>
      </c>
      <c r="I1701" s="10" t="s">
        <v>1982</v>
      </c>
      <c r="J1701" s="12">
        <f>'05-ISO Reference'!$B$22</f>
        <v>250</v>
      </c>
      <c r="K1701" s="12">
        <f>'05-ISO Reference'!$C$22</f>
        <v>353</v>
      </c>
      <c r="L1701" s="12">
        <f>'01-Process Controls'!$G$5</f>
        <v>3</v>
      </c>
      <c r="M1701" s="12">
        <f>ROUNDDOWN(J1701*'04-Variant Rules'!$D$33,0)</f>
        <v>166</v>
      </c>
      <c r="N1701" s="12">
        <f>ROUNDDOWN(K1701*'04-Variant Rules'!$E$33,0)</f>
        <v>235</v>
      </c>
      <c r="O1701" s="9">
        <v>28</v>
      </c>
    </row>
    <row r="1702" spans="1:15" ht="21" customHeight="1">
      <c r="A1702" s="9" t="s">
        <v>2011</v>
      </c>
      <c r="B1702" s="12">
        <f>IF(LEFT(H1702,5)="VALID",M1702,"")</f>
        <v>150</v>
      </c>
      <c r="C1702" s="12">
        <f>IF(LEFT(H1702,5)="VALID",N1702,"")</f>
        <v>211</v>
      </c>
      <c r="D1702" s="10" t="s">
        <v>82</v>
      </c>
      <c r="E1702" s="10" t="s">
        <v>1981</v>
      </c>
      <c r="F1702" s="10" t="s">
        <v>198</v>
      </c>
      <c r="G1702" s="10" t="s">
        <v>186</v>
      </c>
      <c r="H1702" s="11" t="str">
        <f>IF(OR(M1702&lt;=0,N1702&lt;=0),"SKIPPED - NONPOSITIVE",IF(OR(M1702&lt;L1702,N1702&lt;L1702),"SKIPPED - BELOW MIN",IF(OR(M1702&gt;J1702,N1702&gt;K1702),"SKIPPED - EXCEEDS BASE",IF(COUNTIFS($M$1673:M1701,M1702,$N$1673:N1701,N1702)&gt;0,"SKIPPED - DUPLICATE","VALID - GENERATED"))))</f>
        <v>VALID - GENERATED</v>
      </c>
      <c r="I1702" s="10" t="s">
        <v>1982</v>
      </c>
      <c r="J1702" s="12">
        <f>'05-ISO Reference'!$B$22</f>
        <v>250</v>
      </c>
      <c r="K1702" s="12">
        <f>'05-ISO Reference'!$C$22</f>
        <v>353</v>
      </c>
      <c r="L1702" s="12">
        <f>'01-Process Controls'!$G$5</f>
        <v>3</v>
      </c>
      <c r="M1702" s="12">
        <f>ROUNDDOWN(J1702*'04-Variant Rules'!$D$34,0)</f>
        <v>150</v>
      </c>
      <c r="N1702" s="12">
        <f>ROUNDDOWN(K1702*'04-Variant Rules'!$E$34,0)</f>
        <v>211</v>
      </c>
      <c r="O1702" s="9">
        <v>29</v>
      </c>
    </row>
    <row r="1703" spans="1:15" ht="21" customHeight="1">
      <c r="A1703" s="9" t="s">
        <v>2012</v>
      </c>
      <c r="B1703" s="12">
        <f>IF(LEFT(H1703,5)="VALID",M1703,"")</f>
        <v>137</v>
      </c>
      <c r="C1703" s="12">
        <f>IF(LEFT(H1703,5)="VALID",N1703,"")</f>
        <v>194</v>
      </c>
      <c r="D1703" s="10" t="s">
        <v>82</v>
      </c>
      <c r="E1703" s="10" t="s">
        <v>1981</v>
      </c>
      <c r="F1703" s="10" t="s">
        <v>200</v>
      </c>
      <c r="G1703" s="10" t="s">
        <v>186</v>
      </c>
      <c r="H1703" s="11" t="str">
        <f>IF(OR(M1703&lt;=0,N1703&lt;=0),"SKIPPED - NONPOSITIVE",IF(OR(M1703&lt;L1703,N1703&lt;L1703),"SKIPPED - BELOW MIN",IF(OR(M1703&gt;J1703,N1703&gt;K1703),"SKIPPED - EXCEEDS BASE",IF(COUNTIFS($M$1673:M1702,M1703,$N$1673:N1702,N1703)&gt;0,"SKIPPED - DUPLICATE","VALID - GENERATED"))))</f>
        <v>VALID - GENERATED</v>
      </c>
      <c r="I1703" s="10" t="s">
        <v>1982</v>
      </c>
      <c r="J1703" s="12">
        <f>'05-ISO Reference'!$B$22</f>
        <v>250</v>
      </c>
      <c r="K1703" s="12">
        <f>'05-ISO Reference'!$C$22</f>
        <v>353</v>
      </c>
      <c r="L1703" s="12">
        <f>'01-Process Controls'!$G$5</f>
        <v>3</v>
      </c>
      <c r="M1703" s="12">
        <f>ROUNDDOWN(J1703*'04-Variant Rules'!$D$35,0)</f>
        <v>137</v>
      </c>
      <c r="N1703" s="12">
        <f>ROUNDDOWN(K1703*'04-Variant Rules'!$E$35,0)</f>
        <v>194</v>
      </c>
      <c r="O1703" s="9">
        <v>30</v>
      </c>
    </row>
    <row r="1704" spans="1:15" ht="21" customHeight="1">
      <c r="A1704" s="9" t="s">
        <v>2013</v>
      </c>
      <c r="B1704" s="12">
        <f>IF(LEFT(H1704,5)="VALID",M1704,"")</f>
        <v>112</v>
      </c>
      <c r="C1704" s="12">
        <f>IF(LEFT(H1704,5)="VALID",N1704,"")</f>
        <v>158</v>
      </c>
      <c r="D1704" s="10" t="s">
        <v>82</v>
      </c>
      <c r="E1704" s="10" t="s">
        <v>1981</v>
      </c>
      <c r="F1704" s="10" t="s">
        <v>202</v>
      </c>
      <c r="G1704" s="10" t="s">
        <v>186</v>
      </c>
      <c r="H1704" s="11" t="str">
        <f>IF(OR(M1704&lt;=0,N1704&lt;=0),"SKIPPED - NONPOSITIVE",IF(OR(M1704&lt;L1704,N1704&lt;L1704),"SKIPPED - BELOW MIN",IF(OR(M1704&gt;J1704,N1704&gt;K1704),"SKIPPED - EXCEEDS BASE",IF(COUNTIFS($M$1673:M1703,M1704,$N$1673:N1703,N1704)&gt;0,"SKIPPED - DUPLICATE","VALID - GENERATED"))))</f>
        <v>VALID - GENERATED</v>
      </c>
      <c r="I1704" s="10" t="s">
        <v>1982</v>
      </c>
      <c r="J1704" s="12">
        <f>'05-ISO Reference'!$B$22</f>
        <v>250</v>
      </c>
      <c r="K1704" s="12">
        <f>'05-ISO Reference'!$C$22</f>
        <v>353</v>
      </c>
      <c r="L1704" s="12">
        <f>'01-Process Controls'!$G$5</f>
        <v>3</v>
      </c>
      <c r="M1704" s="12">
        <f>ROUNDDOWN(J1704*'04-Variant Rules'!$D$36,0)</f>
        <v>112</v>
      </c>
      <c r="N1704" s="12">
        <f>ROUNDDOWN(K1704*'04-Variant Rules'!$E$36,0)</f>
        <v>158</v>
      </c>
      <c r="O1704" s="9">
        <v>31</v>
      </c>
    </row>
    <row r="1705" spans="1:15" ht="21" customHeight="1">
      <c r="A1705" s="9" t="s">
        <v>2014</v>
      </c>
      <c r="B1705" s="12">
        <f>IF(LEFT(H1705,5)="VALID",M1705,"")</f>
        <v>100</v>
      </c>
      <c r="C1705" s="12">
        <f>IF(LEFT(H1705,5)="VALID",N1705,"")</f>
        <v>141</v>
      </c>
      <c r="D1705" s="10" t="s">
        <v>82</v>
      </c>
      <c r="E1705" s="10" t="s">
        <v>1981</v>
      </c>
      <c r="F1705" s="10" t="s">
        <v>204</v>
      </c>
      <c r="G1705" s="10" t="s">
        <v>186</v>
      </c>
      <c r="H1705" s="11" t="str">
        <f>IF(OR(M1705&lt;=0,N1705&lt;=0),"SKIPPED - NONPOSITIVE",IF(OR(M1705&lt;L1705,N1705&lt;L1705),"SKIPPED - BELOW MIN",IF(OR(M1705&gt;J1705,N1705&gt;K1705),"SKIPPED - EXCEEDS BASE",IF(COUNTIFS($M$1673:M1704,M1705,$N$1673:N1704,N1705)&gt;0,"SKIPPED - DUPLICATE","VALID - GENERATED"))))</f>
        <v>VALID - GENERATED</v>
      </c>
      <c r="I1705" s="10" t="s">
        <v>1982</v>
      </c>
      <c r="J1705" s="12">
        <f>'05-ISO Reference'!$B$22</f>
        <v>250</v>
      </c>
      <c r="K1705" s="12">
        <f>'05-ISO Reference'!$C$22</f>
        <v>353</v>
      </c>
      <c r="L1705" s="12">
        <f>'01-Process Controls'!$G$5</f>
        <v>3</v>
      </c>
      <c r="M1705" s="12">
        <f>ROUNDDOWN(J1705*'04-Variant Rules'!$D$37,0)</f>
        <v>100</v>
      </c>
      <c r="N1705" s="12">
        <f>ROUNDDOWN(K1705*'04-Variant Rules'!$E$37,0)</f>
        <v>141</v>
      </c>
      <c r="O1705" s="9">
        <v>32</v>
      </c>
    </row>
    <row r="1706" spans="1:15" ht="21" customHeight="1">
      <c r="A1706" s="9" t="s">
        <v>2015</v>
      </c>
      <c r="B1706" s="12">
        <f>IF(LEFT(H1706,5)="VALID",M1706,"")</f>
        <v>87</v>
      </c>
      <c r="C1706" s="12">
        <f>IF(LEFT(H1706,5)="VALID",N1706,"")</f>
        <v>123</v>
      </c>
      <c r="D1706" s="10" t="s">
        <v>82</v>
      </c>
      <c r="E1706" s="10" t="s">
        <v>1981</v>
      </c>
      <c r="F1706" s="10" t="s">
        <v>206</v>
      </c>
      <c r="G1706" s="10" t="s">
        <v>186</v>
      </c>
      <c r="H1706" s="11" t="str">
        <f>IF(OR(M1706&lt;=0,N1706&lt;=0),"SKIPPED - NONPOSITIVE",IF(OR(M1706&lt;L1706,N1706&lt;L1706),"SKIPPED - BELOW MIN",IF(OR(M1706&gt;J1706,N1706&gt;K1706),"SKIPPED - EXCEEDS BASE",IF(COUNTIFS($M$1673:M1705,M1706,$N$1673:N1705,N1706)&gt;0,"SKIPPED - DUPLICATE","VALID - GENERATED"))))</f>
        <v>VALID - GENERATED</v>
      </c>
      <c r="I1706" s="10" t="s">
        <v>1982</v>
      </c>
      <c r="J1706" s="12">
        <f>'05-ISO Reference'!$B$22</f>
        <v>250</v>
      </c>
      <c r="K1706" s="12">
        <f>'05-ISO Reference'!$C$22</f>
        <v>353</v>
      </c>
      <c r="L1706" s="12">
        <f>'01-Process Controls'!$G$5</f>
        <v>3</v>
      </c>
      <c r="M1706" s="12">
        <f>ROUNDDOWN(J1706*'04-Variant Rules'!$D$38,0)</f>
        <v>87</v>
      </c>
      <c r="N1706" s="12">
        <f>ROUNDDOWN(K1706*'04-Variant Rules'!$E$38,0)</f>
        <v>123</v>
      </c>
      <c r="O1706" s="9">
        <v>33</v>
      </c>
    </row>
    <row r="1707" spans="1:15" ht="21" customHeight="1">
      <c r="A1707" s="9" t="s">
        <v>2016</v>
      </c>
      <c r="B1707" s="12">
        <f>IF(LEFT(H1707,5)="VALID",M1707,"")</f>
        <v>75</v>
      </c>
      <c r="C1707" s="12">
        <f>IF(LEFT(H1707,5)="VALID",N1707,"")</f>
        <v>105</v>
      </c>
      <c r="D1707" s="10" t="s">
        <v>82</v>
      </c>
      <c r="E1707" s="10" t="s">
        <v>1981</v>
      </c>
      <c r="F1707" s="10" t="s">
        <v>208</v>
      </c>
      <c r="G1707" s="10" t="s">
        <v>186</v>
      </c>
      <c r="H1707" s="11" t="str">
        <f>IF(OR(M1707&lt;=0,N1707&lt;=0),"SKIPPED - NONPOSITIVE",IF(OR(M1707&lt;L1707,N1707&lt;L1707),"SKIPPED - BELOW MIN",IF(OR(M1707&gt;J1707,N1707&gt;K1707),"SKIPPED - EXCEEDS BASE",IF(COUNTIFS($M$1673:M1706,M1707,$N$1673:N1706,N1707)&gt;0,"SKIPPED - DUPLICATE","VALID - GENERATED"))))</f>
        <v>VALID - GENERATED</v>
      </c>
      <c r="I1707" s="10" t="s">
        <v>1982</v>
      </c>
      <c r="J1707" s="12">
        <f>'05-ISO Reference'!$B$22</f>
        <v>250</v>
      </c>
      <c r="K1707" s="12">
        <f>'05-ISO Reference'!$C$22</f>
        <v>353</v>
      </c>
      <c r="L1707" s="12">
        <f>'01-Process Controls'!$G$5</f>
        <v>3</v>
      </c>
      <c r="M1707" s="12">
        <f>ROUNDDOWN(J1707*'04-Variant Rules'!$D$39,0)</f>
        <v>75</v>
      </c>
      <c r="N1707" s="12">
        <f>ROUNDDOWN(K1707*'04-Variant Rules'!$E$39,0)</f>
        <v>105</v>
      </c>
      <c r="O1707" s="9">
        <v>34</v>
      </c>
    </row>
    <row r="1708" spans="1:15" ht="21" customHeight="1">
      <c r="A1708" s="9" t="s">
        <v>2017</v>
      </c>
      <c r="B1708" s="12">
        <f>IF(LEFT(H1708,5)="VALID",M1708,"")</f>
        <v>50</v>
      </c>
      <c r="C1708" s="12">
        <f>IF(LEFT(H1708,5)="VALID",N1708,"")</f>
        <v>70</v>
      </c>
      <c r="D1708" s="10" t="s">
        <v>82</v>
      </c>
      <c r="E1708" s="10" t="s">
        <v>1981</v>
      </c>
      <c r="F1708" s="10" t="s">
        <v>210</v>
      </c>
      <c r="G1708" s="10" t="s">
        <v>186</v>
      </c>
      <c r="H1708" s="11" t="str">
        <f>IF(OR(M1708&lt;=0,N1708&lt;=0),"SKIPPED - NONPOSITIVE",IF(OR(M1708&lt;L1708,N1708&lt;L1708),"SKIPPED - BELOW MIN",IF(OR(M1708&gt;J1708,N1708&gt;K1708),"SKIPPED - EXCEEDS BASE",IF(COUNTIFS($M$1673:M1707,M1708,$N$1673:N1707,N1708)&gt;0,"SKIPPED - DUPLICATE","VALID - GENERATED"))))</f>
        <v>VALID - GENERATED</v>
      </c>
      <c r="I1708" s="10" t="s">
        <v>1982</v>
      </c>
      <c r="J1708" s="12">
        <f>'05-ISO Reference'!$B$22</f>
        <v>250</v>
      </c>
      <c r="K1708" s="12">
        <f>'05-ISO Reference'!$C$22</f>
        <v>353</v>
      </c>
      <c r="L1708" s="12">
        <f>'01-Process Controls'!$G$5</f>
        <v>3</v>
      </c>
      <c r="M1708" s="12">
        <f>ROUNDDOWN(J1708*'04-Variant Rules'!$D$40,0)</f>
        <v>50</v>
      </c>
      <c r="N1708" s="12">
        <f>ROUNDDOWN(K1708*'04-Variant Rules'!$E$40,0)</f>
        <v>70</v>
      </c>
      <c r="O1708" s="9">
        <v>35</v>
      </c>
    </row>
    <row r="1709" spans="1:15" ht="21" customHeight="1">
      <c r="A1709" s="9" t="s">
        <v>2018</v>
      </c>
      <c r="B1709" s="12">
        <f>IF(LEFT(H1709,5)="VALID",M1709,"")</f>
        <v>37</v>
      </c>
      <c r="C1709" s="12">
        <f>IF(LEFT(H1709,5)="VALID",N1709,"")</f>
        <v>52</v>
      </c>
      <c r="D1709" s="10" t="s">
        <v>82</v>
      </c>
      <c r="E1709" s="10" t="s">
        <v>1981</v>
      </c>
      <c r="F1709" s="10" t="s">
        <v>212</v>
      </c>
      <c r="G1709" s="10" t="s">
        <v>213</v>
      </c>
      <c r="H1709" s="11" t="str">
        <f>IF(OR(M1709&lt;=0,N1709&lt;=0),"SKIPPED - NONPOSITIVE",IF(OR(M1709&lt;L1709,N1709&lt;L1709),"SKIPPED - BELOW MIN",IF(OR(M1709&gt;J1709,N1709&gt;K1709),"SKIPPED - EXCEEDS BASE",IF(COUNTIFS($M$1673:M1708,M1709,$N$1673:N1708,N1709)&gt;0,"SKIPPED - DUPLICATE","VALID - GENERATED"))))</f>
        <v>VALID - GENERATED</v>
      </c>
      <c r="I1709" s="10" t="s">
        <v>1982</v>
      </c>
      <c r="J1709" s="12">
        <f>'05-ISO Reference'!$B$22</f>
        <v>250</v>
      </c>
      <c r="K1709" s="12">
        <f>'05-ISO Reference'!$C$22</f>
        <v>353</v>
      </c>
      <c r="L1709" s="12">
        <f>'01-Process Controls'!$G$5</f>
        <v>3</v>
      </c>
      <c r="M1709" s="12">
        <f>ROUNDDOWN(J1709*'04-Variant Rules'!$D$41,0)</f>
        <v>37</v>
      </c>
      <c r="N1709" s="12">
        <f>ROUNDDOWN(K1709*'04-Variant Rules'!$E$41,0)</f>
        <v>52</v>
      </c>
      <c r="O1709" s="9">
        <v>36</v>
      </c>
    </row>
    <row r="1710" spans="1:15" ht="21" customHeight="1">
      <c r="A1710" s="9" t="s">
        <v>2019</v>
      </c>
      <c r="B1710" s="12">
        <f>IF(LEFT(H1710,5)="VALID",M1710,"")</f>
        <v>250</v>
      </c>
      <c r="C1710" s="12">
        <f>IF(LEFT(H1710,5)="VALID",N1710,"")</f>
        <v>250</v>
      </c>
      <c r="D1710" s="10" t="s">
        <v>82</v>
      </c>
      <c r="E1710" s="10" t="s">
        <v>1981</v>
      </c>
      <c r="F1710" s="10" t="s">
        <v>215</v>
      </c>
      <c r="G1710" s="10" t="s">
        <v>216</v>
      </c>
      <c r="H1710" s="11" t="str">
        <f>IF(OR(M1710&lt;=0,N1710&lt;=0),"SKIPPED - NONPOSITIVE",IF(OR(M1710&lt;L1710,N1710&lt;L1710),"SKIPPED - BELOW MIN",IF(OR(M1710&gt;J1710,N1710&gt;K1710),"SKIPPED - EXCEEDS BASE",IF(COUNTIFS($M$1673:M1709,M1710,$N$1673:N1709,N1710)&gt;0,"SKIPPED - DUPLICATE","VALID - GENERATED"))))</f>
        <v>VALID - GENERATED</v>
      </c>
      <c r="I1710" s="10" t="s">
        <v>1982</v>
      </c>
      <c r="J1710" s="12">
        <f>'05-ISO Reference'!$B$22</f>
        <v>250</v>
      </c>
      <c r="K1710" s="12">
        <f>'05-ISO Reference'!$C$22</f>
        <v>353</v>
      </c>
      <c r="L1710" s="12">
        <f>'01-Process Controls'!$G$5</f>
        <v>3</v>
      </c>
      <c r="M1710" s="12">
        <f>ROUNDDOWN(MIN(J1710,K1710)*'04-Variant Rules'!$D$42,0)</f>
        <v>250</v>
      </c>
      <c r="N1710" s="12">
        <f>ROUNDDOWN(MIN(J1710,K1710)*'04-Variant Rules'!$D$42,0)</f>
        <v>250</v>
      </c>
      <c r="O1710" s="9">
        <v>37</v>
      </c>
    </row>
    <row r="1711" spans="1:15" ht="21" customHeight="1">
      <c r="A1711" s="9" t="s">
        <v>2020</v>
      </c>
      <c r="B1711" s="12">
        <f>IF(LEFT(H1711,5)="VALID",M1711,"")</f>
        <v>225</v>
      </c>
      <c r="C1711" s="12">
        <f>IF(LEFT(H1711,5)="VALID",N1711,"")</f>
        <v>225</v>
      </c>
      <c r="D1711" s="10" t="s">
        <v>82</v>
      </c>
      <c r="E1711" s="10" t="s">
        <v>1981</v>
      </c>
      <c r="F1711" s="10" t="s">
        <v>218</v>
      </c>
      <c r="G1711" s="10" t="s">
        <v>219</v>
      </c>
      <c r="H1711" s="11" t="str">
        <f>IF(OR(M1711&lt;=0,N1711&lt;=0),"SKIPPED - NONPOSITIVE",IF(OR(M1711&lt;L1711,N1711&lt;L1711),"SKIPPED - BELOW MIN",IF(OR(M1711&gt;J1711,N1711&gt;K1711),"SKIPPED - EXCEEDS BASE",IF(COUNTIFS($M$1673:M1710,M1711,$N$1673:N1710,N1711)&gt;0,"SKIPPED - DUPLICATE","VALID - GENERATED"))))</f>
        <v>VALID - GENERATED</v>
      </c>
      <c r="I1711" s="10" t="s">
        <v>1982</v>
      </c>
      <c r="J1711" s="12">
        <f>'05-ISO Reference'!$B$22</f>
        <v>250</v>
      </c>
      <c r="K1711" s="12">
        <f>'05-ISO Reference'!$C$22</f>
        <v>353</v>
      </c>
      <c r="L1711" s="12">
        <f>'01-Process Controls'!$G$5</f>
        <v>3</v>
      </c>
      <c r="M1711" s="12">
        <f>ROUNDDOWN(MIN(J1711,K1711)*'04-Variant Rules'!$D$43,0)</f>
        <v>225</v>
      </c>
      <c r="N1711" s="12">
        <f>ROUNDDOWN(MIN(J1711,K1711)*'04-Variant Rules'!$D$43,0)</f>
        <v>225</v>
      </c>
      <c r="O1711" s="9">
        <v>38</v>
      </c>
    </row>
    <row r="1712" spans="1:15" ht="21" customHeight="1">
      <c r="A1712" s="9" t="s">
        <v>2021</v>
      </c>
      <c r="B1712" s="12">
        <f>IF(LEFT(H1712,5)="VALID",M1712,"")</f>
        <v>200</v>
      </c>
      <c r="C1712" s="12">
        <f>IF(LEFT(H1712,5)="VALID",N1712,"")</f>
        <v>200</v>
      </c>
      <c r="D1712" s="10" t="s">
        <v>82</v>
      </c>
      <c r="E1712" s="10" t="s">
        <v>1981</v>
      </c>
      <c r="F1712" s="10" t="s">
        <v>221</v>
      </c>
      <c r="G1712" s="10" t="s">
        <v>219</v>
      </c>
      <c r="H1712" s="11" t="str">
        <f>IF(OR(M1712&lt;=0,N1712&lt;=0),"SKIPPED - NONPOSITIVE",IF(OR(M1712&lt;L1712,N1712&lt;L1712),"SKIPPED - BELOW MIN",IF(OR(M1712&gt;J1712,N1712&gt;K1712),"SKIPPED - EXCEEDS BASE",IF(COUNTIFS($M$1673:M1711,M1712,$N$1673:N1711,N1712)&gt;0,"SKIPPED - DUPLICATE","VALID - GENERATED"))))</f>
        <v>VALID - GENERATED</v>
      </c>
      <c r="I1712" s="10" t="s">
        <v>1982</v>
      </c>
      <c r="J1712" s="12">
        <f>'05-ISO Reference'!$B$22</f>
        <v>250</v>
      </c>
      <c r="K1712" s="12">
        <f>'05-ISO Reference'!$C$22</f>
        <v>353</v>
      </c>
      <c r="L1712" s="12">
        <f>'01-Process Controls'!$G$5</f>
        <v>3</v>
      </c>
      <c r="M1712" s="12">
        <f>ROUNDDOWN(MIN(J1712,K1712)*'04-Variant Rules'!$D$44,0)</f>
        <v>200</v>
      </c>
      <c r="N1712" s="12">
        <f>ROUNDDOWN(MIN(J1712,K1712)*'04-Variant Rules'!$D$44,0)</f>
        <v>200</v>
      </c>
      <c r="O1712" s="9">
        <v>39</v>
      </c>
    </row>
    <row r="1713" spans="1:15" ht="21" customHeight="1">
      <c r="A1713" s="9" t="s">
        <v>2022</v>
      </c>
      <c r="B1713" s="12">
        <f>IF(LEFT(H1713,5)="VALID",M1713,"")</f>
        <v>187</v>
      </c>
      <c r="C1713" s="12">
        <f>IF(LEFT(H1713,5)="VALID",N1713,"")</f>
        <v>187</v>
      </c>
      <c r="D1713" s="10" t="s">
        <v>82</v>
      </c>
      <c r="E1713" s="10" t="s">
        <v>1981</v>
      </c>
      <c r="F1713" s="10" t="s">
        <v>223</v>
      </c>
      <c r="G1713" s="10" t="s">
        <v>219</v>
      </c>
      <c r="H1713" s="11" t="str">
        <f>IF(OR(M1713&lt;=0,N1713&lt;=0),"SKIPPED - NONPOSITIVE",IF(OR(M1713&lt;L1713,N1713&lt;L1713),"SKIPPED - BELOW MIN",IF(OR(M1713&gt;J1713,N1713&gt;K1713),"SKIPPED - EXCEEDS BASE",IF(COUNTIFS($M$1673:M1712,M1713,$N$1673:N1712,N1713)&gt;0,"SKIPPED - DUPLICATE","VALID - GENERATED"))))</f>
        <v>VALID - GENERATED</v>
      </c>
      <c r="I1713" s="10" t="s">
        <v>1982</v>
      </c>
      <c r="J1713" s="12">
        <f>'05-ISO Reference'!$B$22</f>
        <v>250</v>
      </c>
      <c r="K1713" s="12">
        <f>'05-ISO Reference'!$C$22</f>
        <v>353</v>
      </c>
      <c r="L1713" s="12">
        <f>'01-Process Controls'!$G$5</f>
        <v>3</v>
      </c>
      <c r="M1713" s="12">
        <f>ROUNDDOWN(MIN(J1713,K1713)*'04-Variant Rules'!$D$45,0)</f>
        <v>187</v>
      </c>
      <c r="N1713" s="12">
        <f>ROUNDDOWN(MIN(J1713,K1713)*'04-Variant Rules'!$D$45,0)</f>
        <v>187</v>
      </c>
      <c r="O1713" s="9">
        <v>40</v>
      </c>
    </row>
    <row r="1714" spans="1:15" ht="21" customHeight="1">
      <c r="A1714" s="9" t="s">
        <v>2023</v>
      </c>
      <c r="B1714" s="12">
        <f>IF(LEFT(H1714,5)="VALID",M1714,"")</f>
        <v>166</v>
      </c>
      <c r="C1714" s="12">
        <f>IF(LEFT(H1714,5)="VALID",N1714,"")</f>
        <v>166</v>
      </c>
      <c r="D1714" s="10" t="s">
        <v>82</v>
      </c>
      <c r="E1714" s="10" t="s">
        <v>1981</v>
      </c>
      <c r="F1714" s="10" t="s">
        <v>225</v>
      </c>
      <c r="G1714" s="10" t="s">
        <v>219</v>
      </c>
      <c r="H1714" s="11" t="str">
        <f>IF(OR(M1714&lt;=0,N1714&lt;=0),"SKIPPED - NONPOSITIVE",IF(OR(M1714&lt;L1714,N1714&lt;L1714),"SKIPPED - BELOW MIN",IF(OR(M1714&gt;J1714,N1714&gt;K1714),"SKIPPED - EXCEEDS BASE",IF(COUNTIFS($M$1673:M1713,M1714,$N$1673:N1713,N1714)&gt;0,"SKIPPED - DUPLICATE","VALID - GENERATED"))))</f>
        <v>VALID - GENERATED</v>
      </c>
      <c r="I1714" s="10" t="s">
        <v>1982</v>
      </c>
      <c r="J1714" s="12">
        <f>'05-ISO Reference'!$B$22</f>
        <v>250</v>
      </c>
      <c r="K1714" s="12">
        <f>'05-ISO Reference'!$C$22</f>
        <v>353</v>
      </c>
      <c r="L1714" s="12">
        <f>'01-Process Controls'!$G$5</f>
        <v>3</v>
      </c>
      <c r="M1714" s="12">
        <f>ROUNDDOWN(MIN(J1714,K1714)*'04-Variant Rules'!$D$46,0)</f>
        <v>166</v>
      </c>
      <c r="N1714" s="12">
        <f>ROUNDDOWN(MIN(J1714,K1714)*'04-Variant Rules'!$D$46,0)</f>
        <v>166</v>
      </c>
      <c r="O1714" s="9">
        <v>41</v>
      </c>
    </row>
    <row r="1715" spans="1:15" ht="21" customHeight="1">
      <c r="A1715" s="9" t="s">
        <v>2024</v>
      </c>
      <c r="B1715" s="12">
        <f>IF(LEFT(H1715,5)="VALID",M1715,"")</f>
        <v>150</v>
      </c>
      <c r="C1715" s="12">
        <f>IF(LEFT(H1715,5)="VALID",N1715,"")</f>
        <v>150</v>
      </c>
      <c r="D1715" s="10" t="s">
        <v>82</v>
      </c>
      <c r="E1715" s="10" t="s">
        <v>1981</v>
      </c>
      <c r="F1715" s="10" t="s">
        <v>227</v>
      </c>
      <c r="G1715" s="10" t="s">
        <v>219</v>
      </c>
      <c r="H1715" s="11" t="str">
        <f>IF(OR(M1715&lt;=0,N1715&lt;=0),"SKIPPED - NONPOSITIVE",IF(OR(M1715&lt;L1715,N1715&lt;L1715),"SKIPPED - BELOW MIN",IF(OR(M1715&gt;J1715,N1715&gt;K1715),"SKIPPED - EXCEEDS BASE",IF(COUNTIFS($M$1673:M1714,M1715,$N$1673:N1714,N1715)&gt;0,"SKIPPED - DUPLICATE","VALID - GENERATED"))))</f>
        <v>VALID - GENERATED</v>
      </c>
      <c r="I1715" s="10" t="s">
        <v>1982</v>
      </c>
      <c r="J1715" s="12">
        <f>'05-ISO Reference'!$B$22</f>
        <v>250</v>
      </c>
      <c r="K1715" s="12">
        <f>'05-ISO Reference'!$C$22</f>
        <v>353</v>
      </c>
      <c r="L1715" s="12">
        <f>'01-Process Controls'!$G$5</f>
        <v>3</v>
      </c>
      <c r="M1715" s="12">
        <f>ROUNDDOWN(MIN(J1715,K1715)*'04-Variant Rules'!$D$47,0)</f>
        <v>150</v>
      </c>
      <c r="N1715" s="12">
        <f>ROUNDDOWN(MIN(J1715,K1715)*'04-Variant Rules'!$D$47,0)</f>
        <v>150</v>
      </c>
      <c r="O1715" s="9">
        <v>42</v>
      </c>
    </row>
    <row r="1716" spans="1:15" ht="21" customHeight="1">
      <c r="A1716" s="9" t="s">
        <v>2025</v>
      </c>
      <c r="B1716" s="12">
        <f>IF(LEFT(H1716,5)="VALID",M1716,"")</f>
        <v>125</v>
      </c>
      <c r="C1716" s="12">
        <f>IF(LEFT(H1716,5)="VALID",N1716,"")</f>
        <v>125</v>
      </c>
      <c r="D1716" s="10" t="s">
        <v>82</v>
      </c>
      <c r="E1716" s="10" t="s">
        <v>1981</v>
      </c>
      <c r="F1716" s="10" t="s">
        <v>229</v>
      </c>
      <c r="G1716" s="10" t="s">
        <v>219</v>
      </c>
      <c r="H1716" s="11" t="str">
        <f>IF(OR(M1716&lt;=0,N1716&lt;=0),"SKIPPED - NONPOSITIVE",IF(OR(M1716&lt;L1716,N1716&lt;L1716),"SKIPPED - BELOW MIN",IF(OR(M1716&gt;J1716,N1716&gt;K1716),"SKIPPED - EXCEEDS BASE",IF(COUNTIFS($M$1673:M1715,M1716,$N$1673:N1715,N1716)&gt;0,"SKIPPED - DUPLICATE","VALID - GENERATED"))))</f>
        <v>VALID - GENERATED</v>
      </c>
      <c r="I1716" s="10" t="s">
        <v>1982</v>
      </c>
      <c r="J1716" s="12">
        <f>'05-ISO Reference'!$B$22</f>
        <v>250</v>
      </c>
      <c r="K1716" s="12">
        <f>'05-ISO Reference'!$C$22</f>
        <v>353</v>
      </c>
      <c r="L1716" s="12">
        <f>'01-Process Controls'!$G$5</f>
        <v>3</v>
      </c>
      <c r="M1716" s="12">
        <f>ROUNDDOWN(MIN(J1716,K1716)*'04-Variant Rules'!$D$48,0)</f>
        <v>125</v>
      </c>
      <c r="N1716" s="12">
        <f>ROUNDDOWN(MIN(J1716,K1716)*'04-Variant Rules'!$D$48,0)</f>
        <v>125</v>
      </c>
      <c r="O1716" s="9">
        <v>43</v>
      </c>
    </row>
    <row r="1717" spans="1:15" ht="21" customHeight="1">
      <c r="A1717" s="9" t="s">
        <v>2026</v>
      </c>
      <c r="B1717" s="12">
        <f>IF(LEFT(H1717,5)="VALID",M1717,"")</f>
        <v>100</v>
      </c>
      <c r="C1717" s="12">
        <f>IF(LEFT(H1717,5)="VALID",N1717,"")</f>
        <v>100</v>
      </c>
      <c r="D1717" s="10" t="s">
        <v>82</v>
      </c>
      <c r="E1717" s="10" t="s">
        <v>1981</v>
      </c>
      <c r="F1717" s="10" t="s">
        <v>231</v>
      </c>
      <c r="G1717" s="10" t="s">
        <v>219</v>
      </c>
      <c r="H1717" s="11" t="str">
        <f>IF(OR(M1717&lt;=0,N1717&lt;=0),"SKIPPED - NONPOSITIVE",IF(OR(M1717&lt;L1717,N1717&lt;L1717),"SKIPPED - BELOW MIN",IF(OR(M1717&gt;J1717,N1717&gt;K1717),"SKIPPED - EXCEEDS BASE",IF(COUNTIFS($M$1673:M1716,M1717,$N$1673:N1716,N1717)&gt;0,"SKIPPED - DUPLICATE","VALID - GENERATED"))))</f>
        <v>VALID - GENERATED</v>
      </c>
      <c r="I1717" s="10" t="s">
        <v>1982</v>
      </c>
      <c r="J1717" s="12">
        <f>'05-ISO Reference'!$B$22</f>
        <v>250</v>
      </c>
      <c r="K1717" s="12">
        <f>'05-ISO Reference'!$C$22</f>
        <v>353</v>
      </c>
      <c r="L1717" s="12">
        <f>'01-Process Controls'!$G$5</f>
        <v>3</v>
      </c>
      <c r="M1717" s="12">
        <f>ROUNDDOWN(MIN(J1717,K1717)*'04-Variant Rules'!$D$49,0)</f>
        <v>100</v>
      </c>
      <c r="N1717" s="12">
        <f>ROUNDDOWN(MIN(J1717,K1717)*'04-Variant Rules'!$D$49,0)</f>
        <v>100</v>
      </c>
      <c r="O1717" s="9">
        <v>44</v>
      </c>
    </row>
    <row r="1718" spans="1:15" ht="21" customHeight="1">
      <c r="A1718" s="9" t="s">
        <v>2027</v>
      </c>
      <c r="B1718" s="12">
        <f>IF(LEFT(H1718,5)="VALID",M1718,"")</f>
        <v>83</v>
      </c>
      <c r="C1718" s="12">
        <f>IF(LEFT(H1718,5)="VALID",N1718,"")</f>
        <v>83</v>
      </c>
      <c r="D1718" s="10" t="s">
        <v>82</v>
      </c>
      <c r="E1718" s="10" t="s">
        <v>1981</v>
      </c>
      <c r="F1718" s="10" t="s">
        <v>233</v>
      </c>
      <c r="G1718" s="10" t="s">
        <v>219</v>
      </c>
      <c r="H1718" s="11" t="str">
        <f>IF(OR(M1718&lt;=0,N1718&lt;=0),"SKIPPED - NONPOSITIVE",IF(OR(M1718&lt;L1718,N1718&lt;L1718),"SKIPPED - BELOW MIN",IF(OR(M1718&gt;J1718,N1718&gt;K1718),"SKIPPED - EXCEEDS BASE",IF(COUNTIFS($M$1673:M1717,M1718,$N$1673:N1717,N1718)&gt;0,"SKIPPED - DUPLICATE","VALID - GENERATED"))))</f>
        <v>VALID - GENERATED</v>
      </c>
      <c r="I1718" s="10" t="s">
        <v>1982</v>
      </c>
      <c r="J1718" s="12">
        <f>'05-ISO Reference'!$B$22</f>
        <v>250</v>
      </c>
      <c r="K1718" s="12">
        <f>'05-ISO Reference'!$C$22</f>
        <v>353</v>
      </c>
      <c r="L1718" s="12">
        <f>'01-Process Controls'!$G$5</f>
        <v>3</v>
      </c>
      <c r="M1718" s="12">
        <f>ROUNDDOWN(MIN(J1718,K1718)*'04-Variant Rules'!$D$50,0)</f>
        <v>83</v>
      </c>
      <c r="N1718" s="12">
        <f>ROUNDDOWN(MIN(J1718,K1718)*'04-Variant Rules'!$D$50,0)</f>
        <v>83</v>
      </c>
      <c r="O1718" s="9">
        <v>45</v>
      </c>
    </row>
    <row r="1719" spans="1:15" ht="21" customHeight="1">
      <c r="A1719" s="9" t="s">
        <v>2028</v>
      </c>
      <c r="B1719" s="12">
        <f>IF(LEFT(H1719,5)="VALID",M1719,"")</f>
        <v>62</v>
      </c>
      <c r="C1719" s="12">
        <f>IF(LEFT(H1719,5)="VALID",N1719,"")</f>
        <v>62</v>
      </c>
      <c r="D1719" s="10" t="s">
        <v>82</v>
      </c>
      <c r="E1719" s="10" t="s">
        <v>1981</v>
      </c>
      <c r="F1719" s="10" t="s">
        <v>235</v>
      </c>
      <c r="G1719" s="10" t="s">
        <v>219</v>
      </c>
      <c r="H1719" s="11" t="str">
        <f>IF(OR(M1719&lt;=0,N1719&lt;=0),"SKIPPED - NONPOSITIVE",IF(OR(M1719&lt;L1719,N1719&lt;L1719),"SKIPPED - BELOW MIN",IF(OR(M1719&gt;J1719,N1719&gt;K1719),"SKIPPED - EXCEEDS BASE",IF(COUNTIFS($M$1673:M1718,M1719,$N$1673:N1718,N1719)&gt;0,"SKIPPED - DUPLICATE","VALID - GENERATED"))))</f>
        <v>VALID - GENERATED</v>
      </c>
      <c r="I1719" s="10" t="s">
        <v>1982</v>
      </c>
      <c r="J1719" s="12">
        <f>'05-ISO Reference'!$B$22</f>
        <v>250</v>
      </c>
      <c r="K1719" s="12">
        <f>'05-ISO Reference'!$C$22</f>
        <v>353</v>
      </c>
      <c r="L1719" s="12">
        <f>'01-Process Controls'!$G$5</f>
        <v>3</v>
      </c>
      <c r="M1719" s="12">
        <f>ROUNDDOWN(MIN(J1719,K1719)*'04-Variant Rules'!$D$51,0)</f>
        <v>62</v>
      </c>
      <c r="N1719" s="12">
        <f>ROUNDDOWN(MIN(J1719,K1719)*'04-Variant Rules'!$D$51,0)</f>
        <v>62</v>
      </c>
      <c r="O1719" s="9">
        <v>46</v>
      </c>
    </row>
    <row r="1720" spans="1:15" ht="21" customHeight="1">
      <c r="A1720" s="9" t="s">
        <v>2029</v>
      </c>
      <c r="B1720" s="12">
        <f>IF(LEFT(H1720,5)="VALID",M1720,"")</f>
        <v>50</v>
      </c>
      <c r="C1720" s="12">
        <f>IF(LEFT(H1720,5)="VALID",N1720,"")</f>
        <v>50</v>
      </c>
      <c r="D1720" s="10" t="s">
        <v>82</v>
      </c>
      <c r="E1720" s="10" t="s">
        <v>1981</v>
      </c>
      <c r="F1720" s="10" t="s">
        <v>237</v>
      </c>
      <c r="G1720" s="10" t="s">
        <v>219</v>
      </c>
      <c r="H1720" s="11" t="str">
        <f>IF(OR(M1720&lt;=0,N1720&lt;=0),"SKIPPED - NONPOSITIVE",IF(OR(M1720&lt;L1720,N1720&lt;L1720),"SKIPPED - BELOW MIN",IF(OR(M1720&gt;J1720,N1720&gt;K1720),"SKIPPED - EXCEEDS BASE",IF(COUNTIFS($M$1673:M1719,M1720,$N$1673:N1719,N1720)&gt;0,"SKIPPED - DUPLICATE","VALID - GENERATED"))))</f>
        <v>VALID - GENERATED</v>
      </c>
      <c r="I1720" s="10" t="s">
        <v>1982</v>
      </c>
      <c r="J1720" s="12">
        <f>'05-ISO Reference'!$B$22</f>
        <v>250</v>
      </c>
      <c r="K1720" s="12">
        <f>'05-ISO Reference'!$C$22</f>
        <v>353</v>
      </c>
      <c r="L1720" s="12">
        <f>'01-Process Controls'!$G$5</f>
        <v>3</v>
      </c>
      <c r="M1720" s="12">
        <f>ROUNDDOWN(MIN(J1720,K1720)*'04-Variant Rules'!$D$52,0)</f>
        <v>50</v>
      </c>
      <c r="N1720" s="12">
        <f>ROUNDDOWN(MIN(J1720,K1720)*'04-Variant Rules'!$D$52,0)</f>
        <v>50</v>
      </c>
      <c r="O1720" s="9">
        <v>47</v>
      </c>
    </row>
    <row r="1721" spans="1:15" ht="21" customHeight="1">
      <c r="A1721" s="9" t="s">
        <v>2030</v>
      </c>
      <c r="B1721" s="12">
        <f>IF(LEFT(H1721,5)="VALID",M1721,"")</f>
        <v>250</v>
      </c>
      <c r="C1721" s="12">
        <f>IF(LEFT(H1721,5)="VALID",N1721,"")</f>
        <v>187</v>
      </c>
      <c r="D1721" s="10" t="s">
        <v>82</v>
      </c>
      <c r="E1721" s="10" t="s">
        <v>1981</v>
      </c>
      <c r="F1721" s="10" t="s">
        <v>239</v>
      </c>
      <c r="G1721" s="10" t="s">
        <v>240</v>
      </c>
      <c r="H1721" s="11" t="str">
        <f>IF(OR(M1721&lt;=0,N1721&lt;=0),"SKIPPED - NONPOSITIVE",IF(OR(M1721&lt;L1721,N1721&lt;L1721),"SKIPPED - BELOW MIN",IF(OR(M1721&gt;J1721,N1721&gt;K1721),"SKIPPED - EXCEEDS BASE",IF(COUNTIFS($M$1673:M1720,M1721,$N$1673:N1720,N1721)&gt;0,"SKIPPED - DUPLICATE","VALID - GENERATED"))))</f>
        <v>VALID - GENERATED</v>
      </c>
      <c r="I1721" s="10" t="s">
        <v>1982</v>
      </c>
      <c r="J1721" s="12">
        <f>'05-ISO Reference'!$B$22</f>
        <v>250</v>
      </c>
      <c r="K1721" s="12">
        <f>'05-ISO Reference'!$C$22</f>
        <v>353</v>
      </c>
      <c r="L1721" s="12">
        <f>'01-Process Controls'!$G$5</f>
        <v>3</v>
      </c>
      <c r="M1721" s="12">
        <f>ROUNDDOWN(MIN(J1721,K1721*'04-Variant Rules'!$D$53),0)</f>
        <v>250</v>
      </c>
      <c r="N1721" s="12">
        <f>ROUNDDOWN(M1721/'04-Variant Rules'!$D$53,0)</f>
        <v>187</v>
      </c>
      <c r="O1721" s="9">
        <v>48</v>
      </c>
    </row>
    <row r="1722" spans="1:15" ht="21" customHeight="1">
      <c r="A1722" s="9" t="s">
        <v>2031</v>
      </c>
      <c r="B1722" s="12">
        <f>IF(LEFT(H1722,5)="VALID",M1722,"")</f>
        <v>250</v>
      </c>
      <c r="C1722" s="12">
        <f>IF(LEFT(H1722,5)="VALID",N1722,"")</f>
        <v>333</v>
      </c>
      <c r="D1722" s="10" t="s">
        <v>82</v>
      </c>
      <c r="E1722" s="10" t="s">
        <v>1981</v>
      </c>
      <c r="F1722" s="10" t="s">
        <v>242</v>
      </c>
      <c r="G1722" s="10" t="s">
        <v>243</v>
      </c>
      <c r="H1722" s="11" t="str">
        <f>IF(OR(M1722&lt;=0,N1722&lt;=0),"SKIPPED - NONPOSITIVE",IF(OR(M1722&lt;L1722,N1722&lt;L1722),"SKIPPED - BELOW MIN",IF(OR(M1722&gt;J1722,N1722&gt;K1722),"SKIPPED - EXCEEDS BASE",IF(COUNTIFS($M$1673:M1721,M1722,$N$1673:N1721,N1722)&gt;0,"SKIPPED - DUPLICATE","VALID - GENERATED"))))</f>
        <v>VALID - GENERATED</v>
      </c>
      <c r="I1722" s="10" t="s">
        <v>1982</v>
      </c>
      <c r="J1722" s="12">
        <f>'05-ISO Reference'!$B$22</f>
        <v>250</v>
      </c>
      <c r="K1722" s="12">
        <f>'05-ISO Reference'!$C$22</f>
        <v>353</v>
      </c>
      <c r="L1722" s="12">
        <f>'01-Process Controls'!$G$5</f>
        <v>3</v>
      </c>
      <c r="M1722" s="12">
        <f>ROUNDDOWN(MIN(J1722,K1722*'04-Variant Rules'!$D$54),0)</f>
        <v>250</v>
      </c>
      <c r="N1722" s="12">
        <f>ROUNDDOWN(M1722/'04-Variant Rules'!$D$54,0)</f>
        <v>333</v>
      </c>
      <c r="O1722" s="9">
        <v>49</v>
      </c>
    </row>
    <row r="1723" spans="1:15" ht="21" customHeight="1">
      <c r="A1723" s="9" t="s">
        <v>2032</v>
      </c>
      <c r="B1723" s="12">
        <f>IF(LEFT(H1723,5)="VALID",M1723,"")</f>
        <v>250</v>
      </c>
      <c r="C1723" s="12">
        <f>IF(LEFT(H1723,5)="VALID",N1723,"")</f>
        <v>166</v>
      </c>
      <c r="D1723" s="10" t="s">
        <v>82</v>
      </c>
      <c r="E1723" s="10" t="s">
        <v>1981</v>
      </c>
      <c r="F1723" s="10" t="s">
        <v>245</v>
      </c>
      <c r="G1723" s="10" t="s">
        <v>246</v>
      </c>
      <c r="H1723" s="11" t="str">
        <f>IF(OR(M1723&lt;=0,N1723&lt;=0),"SKIPPED - NONPOSITIVE",IF(OR(M1723&lt;L1723,N1723&lt;L1723),"SKIPPED - BELOW MIN",IF(OR(M1723&gt;J1723,N1723&gt;K1723),"SKIPPED - EXCEEDS BASE",IF(COUNTIFS($M$1673:M1722,M1723,$N$1673:N1722,N1723)&gt;0,"SKIPPED - DUPLICATE","VALID - GENERATED"))))</f>
        <v>VALID - GENERATED</v>
      </c>
      <c r="I1723" s="10" t="s">
        <v>1982</v>
      </c>
      <c r="J1723" s="12">
        <f>'05-ISO Reference'!$B$22</f>
        <v>250</v>
      </c>
      <c r="K1723" s="12">
        <f>'05-ISO Reference'!$C$22</f>
        <v>353</v>
      </c>
      <c r="L1723" s="12">
        <f>'01-Process Controls'!$G$5</f>
        <v>3</v>
      </c>
      <c r="M1723" s="12">
        <f>ROUNDDOWN(MIN(J1723,K1723*'04-Variant Rules'!$D$55),0)</f>
        <v>250</v>
      </c>
      <c r="N1723" s="12">
        <f>ROUNDDOWN(M1723/'04-Variant Rules'!$D$55,0)</f>
        <v>166</v>
      </c>
      <c r="O1723" s="9">
        <v>50</v>
      </c>
    </row>
    <row r="1724" spans="1:15" ht="21" customHeight="1">
      <c r="A1724" s="9" t="s">
        <v>2033</v>
      </c>
      <c r="B1724" s="12">
        <f>IF(LEFT(H1724,5)="VALID",M1724,"")</f>
        <v>235</v>
      </c>
      <c r="C1724" s="12">
        <f>IF(LEFT(H1724,5)="VALID",N1724,"")</f>
        <v>352</v>
      </c>
      <c r="D1724" s="10" t="s">
        <v>82</v>
      </c>
      <c r="E1724" s="10" t="s">
        <v>1981</v>
      </c>
      <c r="F1724" s="10" t="s">
        <v>248</v>
      </c>
      <c r="G1724" s="10" t="s">
        <v>249</v>
      </c>
      <c r="H1724" s="11" t="str">
        <f>IF(OR(M1724&lt;=0,N1724&lt;=0),"SKIPPED - NONPOSITIVE",IF(OR(M1724&lt;L1724,N1724&lt;L1724),"SKIPPED - BELOW MIN",IF(OR(M1724&gt;J1724,N1724&gt;K1724),"SKIPPED - EXCEEDS BASE",IF(COUNTIFS($M$1673:M1723,M1724,$N$1673:N1723,N1724)&gt;0,"SKIPPED - DUPLICATE","VALID - GENERATED"))))</f>
        <v>VALID - GENERATED</v>
      </c>
      <c r="I1724" s="10" t="s">
        <v>1982</v>
      </c>
      <c r="J1724" s="12">
        <f>'05-ISO Reference'!$B$22</f>
        <v>250</v>
      </c>
      <c r="K1724" s="12">
        <f>'05-ISO Reference'!$C$22</f>
        <v>353</v>
      </c>
      <c r="L1724" s="12">
        <f>'01-Process Controls'!$G$5</f>
        <v>3</v>
      </c>
      <c r="M1724" s="12">
        <f>ROUNDDOWN(MIN(J1724,K1724*'04-Variant Rules'!$D$56),0)</f>
        <v>235</v>
      </c>
      <c r="N1724" s="12">
        <f>ROUNDDOWN(M1724/'04-Variant Rules'!$D$56,0)</f>
        <v>352</v>
      </c>
      <c r="O1724" s="9">
        <v>51</v>
      </c>
    </row>
    <row r="1725" spans="1:15" ht="21" customHeight="1">
      <c r="A1725" s="9" t="s">
        <v>2034</v>
      </c>
      <c r="B1725" s="12">
        <f>IF(LEFT(H1725,5)="VALID",M1725,"")</f>
        <v>250</v>
      </c>
      <c r="C1725" s="12">
        <f>IF(LEFT(H1725,5)="VALID",N1725,"")</f>
        <v>140</v>
      </c>
      <c r="D1725" s="10" t="s">
        <v>82</v>
      </c>
      <c r="E1725" s="10" t="s">
        <v>1981</v>
      </c>
      <c r="F1725" s="10" t="s">
        <v>251</v>
      </c>
      <c r="G1725" s="10" t="s">
        <v>252</v>
      </c>
      <c r="H1725" s="11" t="str">
        <f>IF(OR(M1725&lt;=0,N1725&lt;=0),"SKIPPED - NONPOSITIVE",IF(OR(M1725&lt;L1725,N1725&lt;L1725),"SKIPPED - BELOW MIN",IF(OR(M1725&gt;J1725,N1725&gt;K1725),"SKIPPED - EXCEEDS BASE",IF(COUNTIFS($M$1673:M1724,M1725,$N$1673:N1724,N1725)&gt;0,"SKIPPED - DUPLICATE","VALID - GENERATED"))))</f>
        <v>VALID - GENERATED</v>
      </c>
      <c r="I1725" s="10" t="s">
        <v>1982</v>
      </c>
      <c r="J1725" s="12">
        <f>'05-ISO Reference'!$B$22</f>
        <v>250</v>
      </c>
      <c r="K1725" s="12">
        <f>'05-ISO Reference'!$C$22</f>
        <v>353</v>
      </c>
      <c r="L1725" s="12">
        <f>'01-Process Controls'!$G$5</f>
        <v>3</v>
      </c>
      <c r="M1725" s="12">
        <f>ROUNDDOWN(MIN(J1725,K1725*'04-Variant Rules'!$D$57),0)</f>
        <v>250</v>
      </c>
      <c r="N1725" s="12">
        <f>ROUNDDOWN(M1725/'04-Variant Rules'!$D$57,0)</f>
        <v>140</v>
      </c>
      <c r="O1725" s="9">
        <v>52</v>
      </c>
    </row>
    <row r="1726" spans="1:15" ht="21" customHeight="1">
      <c r="A1726" s="9" t="s">
        <v>2035</v>
      </c>
      <c r="B1726" s="12">
        <f>IF(LEFT(H1726,5)="VALID",M1726,"")</f>
        <v>198</v>
      </c>
      <c r="C1726" s="12">
        <f>IF(LEFT(H1726,5)="VALID",N1726,"")</f>
        <v>352</v>
      </c>
      <c r="D1726" s="10" t="s">
        <v>82</v>
      </c>
      <c r="E1726" s="10" t="s">
        <v>1981</v>
      </c>
      <c r="F1726" s="10" t="s">
        <v>254</v>
      </c>
      <c r="G1726" s="10" t="s">
        <v>255</v>
      </c>
      <c r="H1726" s="11" t="str">
        <f>IF(OR(M1726&lt;=0,N1726&lt;=0),"SKIPPED - NONPOSITIVE",IF(OR(M1726&lt;L1726,N1726&lt;L1726),"SKIPPED - BELOW MIN",IF(OR(M1726&gt;J1726,N1726&gt;K1726),"SKIPPED - EXCEEDS BASE",IF(COUNTIFS($M$1673:M1725,M1726,$N$1673:N1725,N1726)&gt;0,"SKIPPED - DUPLICATE","VALID - GENERATED"))))</f>
        <v>VALID - GENERATED</v>
      </c>
      <c r="I1726" s="10" t="s">
        <v>1982</v>
      </c>
      <c r="J1726" s="12">
        <f>'05-ISO Reference'!$B$22</f>
        <v>250</v>
      </c>
      <c r="K1726" s="12">
        <f>'05-ISO Reference'!$C$22</f>
        <v>353</v>
      </c>
      <c r="L1726" s="12">
        <f>'01-Process Controls'!$G$5</f>
        <v>3</v>
      </c>
      <c r="M1726" s="12">
        <f>ROUNDDOWN(MIN(J1726,K1726*'04-Variant Rules'!$D$58),0)</f>
        <v>198</v>
      </c>
      <c r="N1726" s="12">
        <f>ROUNDDOWN(M1726/'04-Variant Rules'!$D$58,0)</f>
        <v>352</v>
      </c>
      <c r="O1726" s="9">
        <v>53</v>
      </c>
    </row>
    <row r="1727" spans="1:15" ht="21" customHeight="1">
      <c r="A1727" s="9" t="s">
        <v>2036</v>
      </c>
      <c r="B1727" s="12">
        <f>IF(LEFT(H1727,5)="VALID",M1727,"")</f>
        <v>250</v>
      </c>
      <c r="C1727" s="12">
        <f>IF(LEFT(H1727,5)="VALID",N1727,"")</f>
        <v>125</v>
      </c>
      <c r="D1727" s="10" t="s">
        <v>82</v>
      </c>
      <c r="E1727" s="10" t="s">
        <v>1981</v>
      </c>
      <c r="F1727" s="10" t="s">
        <v>257</v>
      </c>
      <c r="G1727" s="10" t="s">
        <v>258</v>
      </c>
      <c r="H1727" s="11" t="str">
        <f>IF(OR(M1727&lt;=0,N1727&lt;=0),"SKIPPED - NONPOSITIVE",IF(OR(M1727&lt;L1727,N1727&lt;L1727),"SKIPPED - BELOW MIN",IF(OR(M1727&gt;J1727,N1727&gt;K1727),"SKIPPED - EXCEEDS BASE",IF(COUNTIFS($M$1673:M1726,M1727,$N$1673:N1726,N1727)&gt;0,"SKIPPED - DUPLICATE","VALID - GENERATED"))))</f>
        <v>VALID - GENERATED</v>
      </c>
      <c r="I1727" s="10" t="s">
        <v>1982</v>
      </c>
      <c r="J1727" s="12">
        <f>'05-ISO Reference'!$B$22</f>
        <v>250</v>
      </c>
      <c r="K1727" s="12">
        <f>'05-ISO Reference'!$C$22</f>
        <v>353</v>
      </c>
      <c r="L1727" s="12">
        <f>'01-Process Controls'!$G$5</f>
        <v>3</v>
      </c>
      <c r="M1727" s="12">
        <f>ROUNDDOWN(MIN(J1727,K1727*'04-Variant Rules'!$D$59),0)</f>
        <v>250</v>
      </c>
      <c r="N1727" s="12">
        <f>ROUNDDOWN(M1727/'04-Variant Rules'!$D$59,0)</f>
        <v>125</v>
      </c>
      <c r="O1727" s="9">
        <v>54</v>
      </c>
    </row>
    <row r="1728" spans="1:15" ht="21" customHeight="1">
      <c r="A1728" s="9" t="s">
        <v>2037</v>
      </c>
      <c r="B1728" s="12">
        <f>IF(LEFT(H1728,5)="VALID",M1728,"")</f>
        <v>176</v>
      </c>
      <c r="C1728" s="12">
        <f>IF(LEFT(H1728,5)="VALID",N1728,"")</f>
        <v>352</v>
      </c>
      <c r="D1728" s="10" t="s">
        <v>82</v>
      </c>
      <c r="E1728" s="10" t="s">
        <v>1981</v>
      </c>
      <c r="F1728" s="10" t="s">
        <v>260</v>
      </c>
      <c r="G1728" s="10" t="s">
        <v>261</v>
      </c>
      <c r="H1728" s="11" t="str">
        <f>IF(OR(M1728&lt;=0,N1728&lt;=0),"SKIPPED - NONPOSITIVE",IF(OR(M1728&lt;L1728,N1728&lt;L1728),"SKIPPED - BELOW MIN",IF(OR(M1728&gt;J1728,N1728&gt;K1728),"SKIPPED - EXCEEDS BASE",IF(COUNTIFS($M$1673:M1727,M1728,$N$1673:N1727,N1728)&gt;0,"SKIPPED - DUPLICATE","VALID - GENERATED"))))</f>
        <v>VALID - GENERATED</v>
      </c>
      <c r="I1728" s="10" t="s">
        <v>1982</v>
      </c>
      <c r="J1728" s="12">
        <f>'05-ISO Reference'!$B$22</f>
        <v>250</v>
      </c>
      <c r="K1728" s="12">
        <f>'05-ISO Reference'!$C$22</f>
        <v>353</v>
      </c>
      <c r="L1728" s="12">
        <f>'01-Process Controls'!$G$5</f>
        <v>3</v>
      </c>
      <c r="M1728" s="12">
        <f>ROUNDDOWN(MIN(J1728,K1728*'04-Variant Rules'!$D$60),0)</f>
        <v>176</v>
      </c>
      <c r="N1728" s="12">
        <f>ROUNDDOWN(M1728/'04-Variant Rules'!$D$60,0)</f>
        <v>352</v>
      </c>
      <c r="O1728" s="9">
        <v>55</v>
      </c>
    </row>
    <row r="1729" spans="1:15" ht="21" customHeight="1">
      <c r="A1729" s="9" t="s">
        <v>2038</v>
      </c>
      <c r="B1729" s="48"/>
      <c r="C1729" s="48"/>
      <c r="D1729" s="10" t="s">
        <v>263</v>
      </c>
      <c r="E1729" s="10" t="s">
        <v>2039</v>
      </c>
      <c r="F1729" s="10" t="s">
        <v>265</v>
      </c>
      <c r="G1729" s="10" t="s">
        <v>266</v>
      </c>
      <c r="H1729" s="11" t="str">
        <f>IF(AND(B1729="",C1729=""),"CUSTOM BLANK",IF(OR(B1729="",C1729=""),"ERROR - ENTER BOTH",IF(OR(B1729&lt;=0,C1729&lt;=0),"ERROR - NONPOSITIVE",IF(OR(B1729&lt;L1729,C1729&lt;L1729),"ERROR - BELOW MIN",IF(OR(AND(B1729&lt;=J1729,C1729&lt;=K1729),AND(B1729&lt;=K1729,C1729&lt;=J1729)),"VALID - CUSTOM","ERROR - EXCEEDS BASE")))))</f>
        <v>CUSTOM BLANK</v>
      </c>
      <c r="I1729" s="10" t="s">
        <v>267</v>
      </c>
      <c r="J1729" s="12">
        <f>'05-ISO Reference'!$B$22</f>
        <v>250</v>
      </c>
      <c r="K1729" s="12">
        <f>'05-ISO Reference'!$C$22</f>
        <v>353</v>
      </c>
      <c r="L1729" s="12">
        <f>'01-Process Controls'!$G$5</f>
        <v>3</v>
      </c>
      <c r="M1729" s="8"/>
      <c r="N1729" s="8"/>
    </row>
    <row r="1730" spans="1:15" ht="21" customHeight="1">
      <c r="A1730" s="9" t="s">
        <v>2040</v>
      </c>
      <c r="B1730" s="48"/>
      <c r="C1730" s="48"/>
      <c r="D1730" s="10" t="s">
        <v>263</v>
      </c>
      <c r="E1730" s="10" t="s">
        <v>2039</v>
      </c>
      <c r="F1730" s="10" t="s">
        <v>265</v>
      </c>
      <c r="G1730" s="10" t="s">
        <v>266</v>
      </c>
      <c r="H1730" s="11" t="str">
        <f>IF(AND(B1730="",C1730=""),"CUSTOM BLANK",IF(OR(B1730="",C1730=""),"ERROR - ENTER BOTH",IF(OR(B1730&lt;=0,C1730&lt;=0),"ERROR - NONPOSITIVE",IF(OR(B1730&lt;L1730,C1730&lt;L1730),"ERROR - BELOW MIN",IF(OR(AND(B1730&lt;=J1730,C1730&lt;=K1730),AND(B1730&lt;=K1730,C1730&lt;=J1730)),"VALID - CUSTOM","ERROR - EXCEEDS BASE")))))</f>
        <v>CUSTOM BLANK</v>
      </c>
      <c r="I1730" s="10" t="s">
        <v>267</v>
      </c>
      <c r="J1730" s="12">
        <f>'05-ISO Reference'!$B$22</f>
        <v>250</v>
      </c>
      <c r="K1730" s="12">
        <f>'05-ISO Reference'!$C$22</f>
        <v>353</v>
      </c>
      <c r="L1730" s="12">
        <f>'01-Process Controls'!$G$5</f>
        <v>3</v>
      </c>
      <c r="M1730" s="8"/>
      <c r="N1730" s="8"/>
    </row>
    <row r="1731" spans="1:15" ht="21" customHeight="1">
      <c r="A1731" s="9" t="s">
        <v>2041</v>
      </c>
      <c r="B1731" s="48"/>
      <c r="C1731" s="48"/>
      <c r="D1731" s="10" t="s">
        <v>263</v>
      </c>
      <c r="E1731" s="10" t="s">
        <v>2039</v>
      </c>
      <c r="F1731" s="10" t="s">
        <v>265</v>
      </c>
      <c r="G1731" s="10" t="s">
        <v>266</v>
      </c>
      <c r="H1731" s="11" t="str">
        <f>IF(AND(B1731="",C1731=""),"CUSTOM BLANK",IF(OR(B1731="",C1731=""),"ERROR - ENTER BOTH",IF(OR(B1731&lt;=0,C1731&lt;=0),"ERROR - NONPOSITIVE",IF(OR(B1731&lt;L1731,C1731&lt;L1731),"ERROR - BELOW MIN",IF(OR(AND(B1731&lt;=J1731,C1731&lt;=K1731),AND(B1731&lt;=K1731,C1731&lt;=J1731)),"VALID - CUSTOM","ERROR - EXCEEDS BASE")))))</f>
        <v>CUSTOM BLANK</v>
      </c>
      <c r="I1731" s="10" t="s">
        <v>267</v>
      </c>
      <c r="J1731" s="12">
        <f>'05-ISO Reference'!$B$22</f>
        <v>250</v>
      </c>
      <c r="K1731" s="12">
        <f>'05-ISO Reference'!$C$22</f>
        <v>353</v>
      </c>
      <c r="L1731" s="12">
        <f>'01-Process Controls'!$G$5</f>
        <v>3</v>
      </c>
      <c r="M1731" s="8"/>
      <c r="N1731" s="8"/>
    </row>
    <row r="1732" spans="1:15" ht="21" customHeight="1">
      <c r="A1732" s="9" t="s">
        <v>2042</v>
      </c>
      <c r="B1732" s="48"/>
      <c r="C1732" s="48"/>
      <c r="D1732" s="10" t="s">
        <v>263</v>
      </c>
      <c r="E1732" s="10" t="s">
        <v>2039</v>
      </c>
      <c r="F1732" s="10" t="s">
        <v>265</v>
      </c>
      <c r="G1732" s="10" t="s">
        <v>266</v>
      </c>
      <c r="H1732" s="11" t="str">
        <f>IF(AND(B1732="",C1732=""),"CUSTOM BLANK",IF(OR(B1732="",C1732=""),"ERROR - ENTER BOTH",IF(OR(B1732&lt;=0,C1732&lt;=0),"ERROR - NONPOSITIVE",IF(OR(B1732&lt;L1732,C1732&lt;L1732),"ERROR - BELOW MIN",IF(OR(AND(B1732&lt;=J1732,C1732&lt;=K1732),AND(B1732&lt;=K1732,C1732&lt;=J1732)),"VALID - CUSTOM","ERROR - EXCEEDS BASE")))))</f>
        <v>CUSTOM BLANK</v>
      </c>
      <c r="I1732" s="10" t="s">
        <v>267</v>
      </c>
      <c r="J1732" s="12">
        <f>'05-ISO Reference'!$B$22</f>
        <v>250</v>
      </c>
      <c r="K1732" s="12">
        <f>'05-ISO Reference'!$C$22</f>
        <v>353</v>
      </c>
      <c r="L1732" s="12">
        <f>'01-Process Controls'!$G$5</f>
        <v>3</v>
      </c>
      <c r="M1732" s="8"/>
      <c r="N1732" s="8"/>
    </row>
    <row r="1733" spans="1:15" ht="21" customHeight="1">
      <c r="A1733" s="9" t="s">
        <v>2043</v>
      </c>
      <c r="B1733" s="48"/>
      <c r="C1733" s="48"/>
      <c r="D1733" s="10" t="s">
        <v>263</v>
      </c>
      <c r="E1733" s="10" t="s">
        <v>2039</v>
      </c>
      <c r="F1733" s="10" t="s">
        <v>265</v>
      </c>
      <c r="G1733" s="10" t="s">
        <v>266</v>
      </c>
      <c r="H1733" s="11" t="str">
        <f>IF(AND(B1733="",C1733=""),"CUSTOM BLANK",IF(OR(B1733="",C1733=""),"ERROR - ENTER BOTH",IF(OR(B1733&lt;=0,C1733&lt;=0),"ERROR - NONPOSITIVE",IF(OR(B1733&lt;L1733,C1733&lt;L1733),"ERROR - BELOW MIN",IF(OR(AND(B1733&lt;=J1733,C1733&lt;=K1733),AND(B1733&lt;=K1733,C1733&lt;=J1733)),"VALID - CUSTOM","ERROR - EXCEEDS BASE")))))</f>
        <v>CUSTOM BLANK</v>
      </c>
      <c r="I1733" s="10" t="s">
        <v>267</v>
      </c>
      <c r="J1733" s="12">
        <f>'05-ISO Reference'!$B$22</f>
        <v>250</v>
      </c>
      <c r="K1733" s="12">
        <f>'05-ISO Reference'!$C$22</f>
        <v>353</v>
      </c>
      <c r="L1733" s="12">
        <f>'01-Process Controls'!$G$5</f>
        <v>3</v>
      </c>
      <c r="M1733" s="8"/>
      <c r="N1733" s="8"/>
    </row>
    <row r="1734" spans="1:15" ht="21" customHeight="1">
      <c r="A1734" s="9" t="s">
        <v>2044</v>
      </c>
      <c r="B1734" s="48"/>
      <c r="C1734" s="48"/>
      <c r="D1734" s="10" t="s">
        <v>263</v>
      </c>
      <c r="E1734" s="10" t="s">
        <v>2039</v>
      </c>
      <c r="F1734" s="10" t="s">
        <v>265</v>
      </c>
      <c r="G1734" s="10" t="s">
        <v>266</v>
      </c>
      <c r="H1734" s="11" t="str">
        <f>IF(AND(B1734="",C1734=""),"CUSTOM BLANK",IF(OR(B1734="",C1734=""),"ERROR - ENTER BOTH",IF(OR(B1734&lt;=0,C1734&lt;=0),"ERROR - NONPOSITIVE",IF(OR(B1734&lt;L1734,C1734&lt;L1734),"ERROR - BELOW MIN",IF(OR(AND(B1734&lt;=J1734,C1734&lt;=K1734),AND(B1734&lt;=K1734,C1734&lt;=J1734)),"VALID - CUSTOM","ERROR - EXCEEDS BASE")))))</f>
        <v>CUSTOM BLANK</v>
      </c>
      <c r="I1734" s="10" t="s">
        <v>267</v>
      </c>
      <c r="J1734" s="12">
        <f>'05-ISO Reference'!$B$22</f>
        <v>250</v>
      </c>
      <c r="K1734" s="12">
        <f>'05-ISO Reference'!$C$22</f>
        <v>353</v>
      </c>
      <c r="L1734" s="12">
        <f>'01-Process Controls'!$G$5</f>
        <v>3</v>
      </c>
      <c r="M1734" s="8"/>
      <c r="N1734" s="8"/>
    </row>
    <row r="1735" spans="1:15" ht="21" customHeight="1">
      <c r="A1735" s="9" t="s">
        <v>2045</v>
      </c>
      <c r="B1735" s="48"/>
      <c r="C1735" s="48"/>
      <c r="D1735" s="10" t="s">
        <v>263</v>
      </c>
      <c r="E1735" s="10" t="s">
        <v>2039</v>
      </c>
      <c r="F1735" s="10" t="s">
        <v>265</v>
      </c>
      <c r="G1735" s="10" t="s">
        <v>266</v>
      </c>
      <c r="H1735" s="11" t="str">
        <f>IF(AND(B1735="",C1735=""),"CUSTOM BLANK",IF(OR(B1735="",C1735=""),"ERROR - ENTER BOTH",IF(OR(B1735&lt;=0,C1735&lt;=0),"ERROR - NONPOSITIVE",IF(OR(B1735&lt;L1735,C1735&lt;L1735),"ERROR - BELOW MIN",IF(OR(AND(B1735&lt;=J1735,C1735&lt;=K1735),AND(B1735&lt;=K1735,C1735&lt;=J1735)),"VALID - CUSTOM","ERROR - EXCEEDS BASE")))))</f>
        <v>CUSTOM BLANK</v>
      </c>
      <c r="I1735" s="10" t="s">
        <v>267</v>
      </c>
      <c r="J1735" s="12">
        <f>'05-ISO Reference'!$B$22</f>
        <v>250</v>
      </c>
      <c r="K1735" s="12">
        <f>'05-ISO Reference'!$C$22</f>
        <v>353</v>
      </c>
      <c r="L1735" s="12">
        <f>'01-Process Controls'!$G$5</f>
        <v>3</v>
      </c>
      <c r="M1735" s="8"/>
      <c r="N1735" s="8"/>
    </row>
    <row r="1736" spans="1:15" ht="21" customHeight="1">
      <c r="A1736" s="9" t="s">
        <v>2046</v>
      </c>
      <c r="B1736" s="48"/>
      <c r="C1736" s="48"/>
      <c r="D1736" s="10" t="s">
        <v>263</v>
      </c>
      <c r="E1736" s="10" t="s">
        <v>2039</v>
      </c>
      <c r="F1736" s="10" t="s">
        <v>265</v>
      </c>
      <c r="G1736" s="10" t="s">
        <v>266</v>
      </c>
      <c r="H1736" s="11" t="str">
        <f>IF(AND(B1736="",C1736=""),"CUSTOM BLANK",IF(OR(B1736="",C1736=""),"ERROR - ENTER BOTH",IF(OR(B1736&lt;=0,C1736&lt;=0),"ERROR - NONPOSITIVE",IF(OR(B1736&lt;L1736,C1736&lt;L1736),"ERROR - BELOW MIN",IF(OR(AND(B1736&lt;=J1736,C1736&lt;=K1736),AND(B1736&lt;=K1736,C1736&lt;=J1736)),"VALID - CUSTOM","ERROR - EXCEEDS BASE")))))</f>
        <v>CUSTOM BLANK</v>
      </c>
      <c r="I1736" s="10" t="s">
        <v>267</v>
      </c>
      <c r="J1736" s="12">
        <f>'05-ISO Reference'!$B$22</f>
        <v>250</v>
      </c>
      <c r="K1736" s="12">
        <f>'05-ISO Reference'!$C$22</f>
        <v>353</v>
      </c>
      <c r="L1736" s="12">
        <f>'01-Process Controls'!$G$5</f>
        <v>3</v>
      </c>
      <c r="M1736" s="8"/>
      <c r="N1736" s="8"/>
    </row>
    <row r="1737" spans="1:15" ht="21" customHeight="1">
      <c r="A1737" s="9" t="s">
        <v>2047</v>
      </c>
      <c r="B1737" s="48"/>
      <c r="C1737" s="48"/>
      <c r="D1737" s="10" t="s">
        <v>263</v>
      </c>
      <c r="E1737" s="10" t="s">
        <v>2039</v>
      </c>
      <c r="F1737" s="10" t="s">
        <v>265</v>
      </c>
      <c r="G1737" s="10" t="s">
        <v>266</v>
      </c>
      <c r="H1737" s="11" t="str">
        <f>IF(AND(B1737="",C1737=""),"CUSTOM BLANK",IF(OR(B1737="",C1737=""),"ERROR - ENTER BOTH",IF(OR(B1737&lt;=0,C1737&lt;=0),"ERROR - NONPOSITIVE",IF(OR(B1737&lt;L1737,C1737&lt;L1737),"ERROR - BELOW MIN",IF(OR(AND(B1737&lt;=J1737,C1737&lt;=K1737),AND(B1737&lt;=K1737,C1737&lt;=J1737)),"VALID - CUSTOM","ERROR - EXCEEDS BASE")))))</f>
        <v>CUSTOM BLANK</v>
      </c>
      <c r="I1737" s="10" t="s">
        <v>267</v>
      </c>
      <c r="J1737" s="12">
        <f>'05-ISO Reference'!$B$22</f>
        <v>250</v>
      </c>
      <c r="K1737" s="12">
        <f>'05-ISO Reference'!$C$22</f>
        <v>353</v>
      </c>
      <c r="L1737" s="12">
        <f>'01-Process Controls'!$G$5</f>
        <v>3</v>
      </c>
      <c r="M1737" s="8"/>
      <c r="N1737" s="8"/>
    </row>
    <row r="1738" spans="1:15" ht="21" customHeight="1">
      <c r="A1738" s="9" t="s">
        <v>2048</v>
      </c>
      <c r="B1738" s="48"/>
      <c r="C1738" s="48"/>
      <c r="D1738" s="10" t="s">
        <v>263</v>
      </c>
      <c r="E1738" s="10" t="s">
        <v>2039</v>
      </c>
      <c r="F1738" s="10" t="s">
        <v>265</v>
      </c>
      <c r="G1738" s="10" t="s">
        <v>266</v>
      </c>
      <c r="H1738" s="11" t="str">
        <f>IF(AND(B1738="",C1738=""),"CUSTOM BLANK",IF(OR(B1738="",C1738=""),"ERROR - ENTER BOTH",IF(OR(B1738&lt;=0,C1738&lt;=0),"ERROR - NONPOSITIVE",IF(OR(B1738&lt;L1738,C1738&lt;L1738),"ERROR - BELOW MIN",IF(OR(AND(B1738&lt;=J1738,C1738&lt;=K1738),AND(B1738&lt;=K1738,C1738&lt;=J1738)),"VALID - CUSTOM","ERROR - EXCEEDS BASE")))))</f>
        <v>CUSTOM BLANK</v>
      </c>
      <c r="I1738" s="10" t="s">
        <v>267</v>
      </c>
      <c r="J1738" s="12">
        <f>'05-ISO Reference'!$B$22</f>
        <v>250</v>
      </c>
      <c r="K1738" s="12">
        <f>'05-ISO Reference'!$C$22</f>
        <v>353</v>
      </c>
      <c r="L1738" s="12">
        <f>'01-Process Controls'!$G$5</f>
        <v>3</v>
      </c>
      <c r="M1738" s="8"/>
      <c r="N1738" s="8"/>
    </row>
    <row r="1739" spans="1:15" ht="21" customHeight="1">
      <c r="A1739" s="9" t="s">
        <v>2049</v>
      </c>
      <c r="B1739" s="48"/>
      <c r="C1739" s="48"/>
      <c r="D1739" s="10" t="s">
        <v>263</v>
      </c>
      <c r="E1739" s="10" t="s">
        <v>2039</v>
      </c>
      <c r="F1739" s="10" t="s">
        <v>265</v>
      </c>
      <c r="G1739" s="10" t="s">
        <v>266</v>
      </c>
      <c r="H1739" s="11" t="str">
        <f>IF(AND(B1739="",C1739=""),"CUSTOM BLANK",IF(OR(B1739="",C1739=""),"ERROR - ENTER BOTH",IF(OR(B1739&lt;=0,C1739&lt;=0),"ERROR - NONPOSITIVE",IF(OR(B1739&lt;L1739,C1739&lt;L1739),"ERROR - BELOW MIN",IF(OR(AND(B1739&lt;=J1739,C1739&lt;=K1739),AND(B1739&lt;=K1739,C1739&lt;=J1739)),"VALID - CUSTOM","ERROR - EXCEEDS BASE")))))</f>
        <v>CUSTOM BLANK</v>
      </c>
      <c r="I1739" s="10" t="s">
        <v>267</v>
      </c>
      <c r="J1739" s="12">
        <f>'05-ISO Reference'!$B$22</f>
        <v>250</v>
      </c>
      <c r="K1739" s="12">
        <f>'05-ISO Reference'!$C$22</f>
        <v>353</v>
      </c>
      <c r="L1739" s="12">
        <f>'01-Process Controls'!$G$5</f>
        <v>3</v>
      </c>
      <c r="M1739" s="8"/>
      <c r="N1739" s="8"/>
    </row>
    <row r="1740" spans="1:15" ht="21" customHeight="1">
      <c r="A1740" s="9" t="s">
        <v>2050</v>
      </c>
      <c r="B1740" s="48"/>
      <c r="C1740" s="48"/>
      <c r="D1740" s="10" t="s">
        <v>263</v>
      </c>
      <c r="E1740" s="10" t="s">
        <v>2039</v>
      </c>
      <c r="F1740" s="10" t="s">
        <v>265</v>
      </c>
      <c r="G1740" s="10" t="s">
        <v>266</v>
      </c>
      <c r="H1740" s="11" t="str">
        <f>IF(AND(B1740="",C1740=""),"CUSTOM BLANK",IF(OR(B1740="",C1740=""),"ERROR - ENTER BOTH",IF(OR(B1740&lt;=0,C1740&lt;=0),"ERROR - NONPOSITIVE",IF(OR(B1740&lt;L1740,C1740&lt;L1740),"ERROR - BELOW MIN",IF(OR(AND(B1740&lt;=J1740,C1740&lt;=K1740),AND(B1740&lt;=K1740,C1740&lt;=J1740)),"VALID - CUSTOM","ERROR - EXCEEDS BASE")))))</f>
        <v>CUSTOM BLANK</v>
      </c>
      <c r="I1740" s="10" t="s">
        <v>267</v>
      </c>
      <c r="J1740" s="12">
        <f>'05-ISO Reference'!$B$22</f>
        <v>250</v>
      </c>
      <c r="K1740" s="12">
        <f>'05-ISO Reference'!$C$22</f>
        <v>353</v>
      </c>
      <c r="L1740" s="12">
        <f>'01-Process Controls'!$G$5</f>
        <v>3</v>
      </c>
      <c r="M1740" s="8"/>
      <c r="N1740" s="8"/>
    </row>
    <row r="1741" spans="1:15" ht="21" customHeight="1">
      <c r="A1741" s="9" t="s">
        <v>2051</v>
      </c>
      <c r="B1741" s="48"/>
      <c r="C1741" s="48"/>
      <c r="D1741" s="10" t="s">
        <v>263</v>
      </c>
      <c r="E1741" s="10" t="s">
        <v>2039</v>
      </c>
      <c r="F1741" s="10" t="s">
        <v>265</v>
      </c>
      <c r="G1741" s="10" t="s">
        <v>266</v>
      </c>
      <c r="H1741" s="11" t="str">
        <f>IF(AND(B1741="",C1741=""),"CUSTOM BLANK",IF(OR(B1741="",C1741=""),"ERROR - ENTER BOTH",IF(OR(B1741&lt;=0,C1741&lt;=0),"ERROR - NONPOSITIVE",IF(OR(B1741&lt;L1741,C1741&lt;L1741),"ERROR - BELOW MIN",IF(OR(AND(B1741&lt;=J1741,C1741&lt;=K1741),AND(B1741&lt;=K1741,C1741&lt;=J1741)),"VALID - CUSTOM","ERROR - EXCEEDS BASE")))))</f>
        <v>CUSTOM BLANK</v>
      </c>
      <c r="I1741" s="10" t="s">
        <v>267</v>
      </c>
      <c r="J1741" s="12">
        <f>'05-ISO Reference'!$B$22</f>
        <v>250</v>
      </c>
      <c r="K1741" s="12">
        <f>'05-ISO Reference'!$C$22</f>
        <v>353</v>
      </c>
      <c r="L1741" s="12">
        <f>'01-Process Controls'!$G$5</f>
        <v>3</v>
      </c>
      <c r="M1741" s="8"/>
      <c r="N1741" s="8"/>
    </row>
    <row r="1742" spans="1:15" ht="21" customHeight="1">
      <c r="A1742" s="9" t="s">
        <v>2052</v>
      </c>
      <c r="B1742" s="48"/>
      <c r="C1742" s="48"/>
      <c r="D1742" s="10" t="s">
        <v>263</v>
      </c>
      <c r="E1742" s="10" t="s">
        <v>2039</v>
      </c>
      <c r="F1742" s="10" t="s">
        <v>265</v>
      </c>
      <c r="G1742" s="10" t="s">
        <v>266</v>
      </c>
      <c r="H1742" s="11" t="str">
        <f>IF(AND(B1742="",C1742=""),"CUSTOM BLANK",IF(OR(B1742="",C1742=""),"ERROR - ENTER BOTH",IF(OR(B1742&lt;=0,C1742&lt;=0),"ERROR - NONPOSITIVE",IF(OR(B1742&lt;L1742,C1742&lt;L1742),"ERROR - BELOW MIN",IF(OR(AND(B1742&lt;=J1742,C1742&lt;=K1742),AND(B1742&lt;=K1742,C1742&lt;=J1742)),"VALID - CUSTOM","ERROR - EXCEEDS BASE")))))</f>
        <v>CUSTOM BLANK</v>
      </c>
      <c r="I1742" s="10" t="s">
        <v>267</v>
      </c>
      <c r="J1742" s="12">
        <f>'05-ISO Reference'!$B$22</f>
        <v>250</v>
      </c>
      <c r="K1742" s="12">
        <f>'05-ISO Reference'!$C$22</f>
        <v>353</v>
      </c>
      <c r="L1742" s="12">
        <f>'01-Process Controls'!$G$5</f>
        <v>3</v>
      </c>
      <c r="M1742" s="8"/>
      <c r="N1742" s="8"/>
    </row>
    <row r="1743" spans="1:15" ht="21" customHeight="1">
      <c r="A1743" s="9" t="s">
        <v>2053</v>
      </c>
      <c r="B1743" s="48"/>
      <c r="C1743" s="48"/>
      <c r="D1743" s="10" t="s">
        <v>263</v>
      </c>
      <c r="E1743" s="10" t="s">
        <v>2039</v>
      </c>
      <c r="F1743" s="10" t="s">
        <v>265</v>
      </c>
      <c r="G1743" s="10" t="s">
        <v>266</v>
      </c>
      <c r="H1743" s="11" t="str">
        <f>IF(AND(B1743="",C1743=""),"CUSTOM BLANK",IF(OR(B1743="",C1743=""),"ERROR - ENTER BOTH",IF(OR(B1743&lt;=0,C1743&lt;=0),"ERROR - NONPOSITIVE",IF(OR(B1743&lt;L1743,C1743&lt;L1743),"ERROR - BELOW MIN",IF(OR(AND(B1743&lt;=J1743,C1743&lt;=K1743),AND(B1743&lt;=K1743,C1743&lt;=J1743)),"VALID - CUSTOM","ERROR - EXCEEDS BASE")))))</f>
        <v>CUSTOM BLANK</v>
      </c>
      <c r="I1743" s="10" t="s">
        <v>267</v>
      </c>
      <c r="J1743" s="12">
        <f>'05-ISO Reference'!$B$22</f>
        <v>250</v>
      </c>
      <c r="K1743" s="12">
        <f>'05-ISO Reference'!$C$22</f>
        <v>353</v>
      </c>
      <c r="L1743" s="12">
        <f>'01-Process Controls'!$G$5</f>
        <v>3</v>
      </c>
      <c r="M1743" s="8"/>
      <c r="N1743" s="8"/>
    </row>
    <row r="1744" spans="1:15" ht="21" customHeight="1">
      <c r="A1744" s="44" t="s">
        <v>2054</v>
      </c>
      <c r="B1744" s="45">
        <f>IF(LEFT(H1744,5)="VALID",M1744,"")</f>
        <v>176</v>
      </c>
      <c r="C1744" s="45">
        <f>IF(LEFT(H1744,5)="VALID",N1744,"")</f>
        <v>250</v>
      </c>
      <c r="D1744" s="46" t="s">
        <v>82</v>
      </c>
      <c r="E1744" s="46" t="s">
        <v>2055</v>
      </c>
      <c r="F1744" s="46" t="s">
        <v>122</v>
      </c>
      <c r="G1744" s="46" t="s">
        <v>123</v>
      </c>
      <c r="H1744" s="47" t="str">
        <f>"VALID - BASE"</f>
        <v>VALID - BASE</v>
      </c>
      <c r="I1744" s="46" t="s">
        <v>2056</v>
      </c>
      <c r="J1744" s="12">
        <f>'05-ISO Reference'!$B$23</f>
        <v>176</v>
      </c>
      <c r="K1744" s="12">
        <f>'05-ISO Reference'!$C$23</f>
        <v>250</v>
      </c>
      <c r="L1744" s="12">
        <f>'01-Process Controls'!$G$5</f>
        <v>3</v>
      </c>
      <c r="M1744" s="12">
        <f>ROUNDDOWN(J1744,0)</f>
        <v>176</v>
      </c>
      <c r="N1744" s="12">
        <f>ROUNDDOWN(K1744,0)</f>
        <v>250</v>
      </c>
      <c r="O1744" s="9">
        <v>0</v>
      </c>
    </row>
    <row r="1745" spans="1:15" ht="21" customHeight="1">
      <c r="A1745" s="9" t="s">
        <v>2057</v>
      </c>
      <c r="B1745" s="12">
        <f>IF(LEFT(H1745,5)="VALID",M1745,"")</f>
        <v>88</v>
      </c>
      <c r="C1745" s="12">
        <f>IF(LEFT(H1745,5)="VALID",N1745,"")</f>
        <v>250</v>
      </c>
      <c r="D1745" s="10" t="s">
        <v>82</v>
      </c>
      <c r="E1745" s="10" t="s">
        <v>2055</v>
      </c>
      <c r="F1745" s="10" t="s">
        <v>126</v>
      </c>
      <c r="G1745" s="10" t="s">
        <v>127</v>
      </c>
      <c r="H1745" s="11" t="str">
        <f>IF(OR(M1745&lt;=0,N1745&lt;=0),"SKIPPED - NONPOSITIVE",IF(OR(M1745&lt;L1745,N1745&lt;L1745),"SKIPPED - BELOW MIN",IF(OR(M1745&gt;J1745,N1745&gt;K1745),"SKIPPED - EXCEEDS BASE",IF(COUNTIFS($M$1744:M1744,M1745,$N$1744:N1744,N1745)&gt;0,"SKIPPED - DUPLICATE","VALID - GENERATED"))))</f>
        <v>VALID - GENERATED</v>
      </c>
      <c r="I1745" s="10" t="s">
        <v>2056</v>
      </c>
      <c r="J1745" s="12">
        <f>'05-ISO Reference'!$B$23</f>
        <v>176</v>
      </c>
      <c r="K1745" s="12">
        <f>'05-ISO Reference'!$C$23</f>
        <v>250</v>
      </c>
      <c r="L1745" s="12">
        <f>'01-Process Controls'!$G$5</f>
        <v>3</v>
      </c>
      <c r="M1745" s="12">
        <f>ROUNDDOWN(J1745*'04-Variant Rules'!$D$6,0)</f>
        <v>88</v>
      </c>
      <c r="N1745" s="12">
        <f>ROUNDDOWN(K1745,0)</f>
        <v>250</v>
      </c>
      <c r="O1745" s="9">
        <v>1</v>
      </c>
    </row>
    <row r="1746" spans="1:15" ht="21" customHeight="1">
      <c r="A1746" s="9" t="s">
        <v>2058</v>
      </c>
      <c r="B1746" s="12">
        <f>IF(LEFT(H1746,5)="VALID",M1746,"")</f>
        <v>58</v>
      </c>
      <c r="C1746" s="12">
        <f>IF(LEFT(H1746,5)="VALID",N1746,"")</f>
        <v>250</v>
      </c>
      <c r="D1746" s="10" t="s">
        <v>82</v>
      </c>
      <c r="E1746" s="10" t="s">
        <v>2055</v>
      </c>
      <c r="F1746" s="10" t="s">
        <v>129</v>
      </c>
      <c r="G1746" s="10" t="s">
        <v>130</v>
      </c>
      <c r="H1746" s="11" t="str">
        <f>IF(OR(M1746&lt;=0,N1746&lt;=0),"SKIPPED - NONPOSITIVE",IF(OR(M1746&lt;L1746,N1746&lt;L1746),"SKIPPED - BELOW MIN",IF(OR(M1746&gt;J1746,N1746&gt;K1746),"SKIPPED - EXCEEDS BASE",IF(COUNTIFS($M$1744:M1745,M1746,$N$1744:N1745,N1746)&gt;0,"SKIPPED - DUPLICATE","VALID - GENERATED"))))</f>
        <v>VALID - GENERATED</v>
      </c>
      <c r="I1746" s="10" t="s">
        <v>2056</v>
      </c>
      <c r="J1746" s="12">
        <f>'05-ISO Reference'!$B$23</f>
        <v>176</v>
      </c>
      <c r="K1746" s="12">
        <f>'05-ISO Reference'!$C$23</f>
        <v>250</v>
      </c>
      <c r="L1746" s="12">
        <f>'01-Process Controls'!$G$5</f>
        <v>3</v>
      </c>
      <c r="M1746" s="12">
        <f>ROUNDDOWN(J1746*'04-Variant Rules'!$D$7,0)</f>
        <v>58</v>
      </c>
      <c r="N1746" s="12">
        <f>ROUNDDOWN(K1746,0)</f>
        <v>250</v>
      </c>
      <c r="O1746" s="9">
        <v>2</v>
      </c>
    </row>
    <row r="1747" spans="1:15" ht="21" customHeight="1">
      <c r="A1747" s="9" t="s">
        <v>2059</v>
      </c>
      <c r="B1747" s="12">
        <f>IF(LEFT(H1747,5)="VALID",M1747,"")</f>
        <v>44</v>
      </c>
      <c r="C1747" s="12">
        <f>IF(LEFT(H1747,5)="VALID",N1747,"")</f>
        <v>250</v>
      </c>
      <c r="D1747" s="10" t="s">
        <v>82</v>
      </c>
      <c r="E1747" s="10" t="s">
        <v>2055</v>
      </c>
      <c r="F1747" s="10" t="s">
        <v>132</v>
      </c>
      <c r="G1747" s="10" t="s">
        <v>133</v>
      </c>
      <c r="H1747" s="11" t="str">
        <f>IF(OR(M1747&lt;=0,N1747&lt;=0),"SKIPPED - NONPOSITIVE",IF(OR(M1747&lt;L1747,N1747&lt;L1747),"SKIPPED - BELOW MIN",IF(OR(M1747&gt;J1747,N1747&gt;K1747),"SKIPPED - EXCEEDS BASE",IF(COUNTIFS($M$1744:M1746,M1747,$N$1744:N1746,N1747)&gt;0,"SKIPPED - DUPLICATE","VALID - GENERATED"))))</f>
        <v>VALID - GENERATED</v>
      </c>
      <c r="I1747" s="10" t="s">
        <v>2056</v>
      </c>
      <c r="J1747" s="12">
        <f>'05-ISO Reference'!$B$23</f>
        <v>176</v>
      </c>
      <c r="K1747" s="12">
        <f>'05-ISO Reference'!$C$23</f>
        <v>250</v>
      </c>
      <c r="L1747" s="12">
        <f>'01-Process Controls'!$G$5</f>
        <v>3</v>
      </c>
      <c r="M1747" s="12">
        <f>ROUNDDOWN(J1747*'04-Variant Rules'!$D$8,0)</f>
        <v>44</v>
      </c>
      <c r="N1747" s="12">
        <f>ROUNDDOWN(K1747,0)</f>
        <v>250</v>
      </c>
      <c r="O1747" s="9">
        <v>3</v>
      </c>
    </row>
    <row r="1748" spans="1:15" ht="21" customHeight="1">
      <c r="A1748" s="9" t="s">
        <v>2060</v>
      </c>
      <c r="B1748" s="12">
        <f>IF(LEFT(H1748,5)="VALID",M1748,"")</f>
        <v>117</v>
      </c>
      <c r="C1748" s="12">
        <f>IF(LEFT(H1748,5)="VALID",N1748,"")</f>
        <v>250</v>
      </c>
      <c r="D1748" s="10" t="s">
        <v>82</v>
      </c>
      <c r="E1748" s="10" t="s">
        <v>2055</v>
      </c>
      <c r="F1748" s="10" t="s">
        <v>135</v>
      </c>
      <c r="G1748" s="10" t="s">
        <v>136</v>
      </c>
      <c r="H1748" s="11" t="str">
        <f>IF(OR(M1748&lt;=0,N1748&lt;=0),"SKIPPED - NONPOSITIVE",IF(OR(M1748&lt;L1748,N1748&lt;L1748),"SKIPPED - BELOW MIN",IF(OR(M1748&gt;J1748,N1748&gt;K1748),"SKIPPED - EXCEEDS BASE",IF(COUNTIFS($M$1744:M1747,M1748,$N$1744:N1747,N1748)&gt;0,"SKIPPED - DUPLICATE","VALID - GENERATED"))))</f>
        <v>VALID - GENERATED</v>
      </c>
      <c r="I1748" s="10" t="s">
        <v>2056</v>
      </c>
      <c r="J1748" s="12">
        <f>'05-ISO Reference'!$B$23</f>
        <v>176</v>
      </c>
      <c r="K1748" s="12">
        <f>'05-ISO Reference'!$C$23</f>
        <v>250</v>
      </c>
      <c r="L1748" s="12">
        <f>'01-Process Controls'!$G$5</f>
        <v>3</v>
      </c>
      <c r="M1748" s="12">
        <f>ROUNDDOWN(J1748*'04-Variant Rules'!$D$9,0)</f>
        <v>117</v>
      </c>
      <c r="N1748" s="12">
        <f>ROUNDDOWN(K1748,0)</f>
        <v>250</v>
      </c>
      <c r="O1748" s="9">
        <v>4</v>
      </c>
    </row>
    <row r="1749" spans="1:15" ht="21" customHeight="1">
      <c r="A1749" s="9" t="s">
        <v>2061</v>
      </c>
      <c r="B1749" s="12">
        <f>IF(LEFT(H1749,5)="VALID",M1749,"")</f>
        <v>132</v>
      </c>
      <c r="C1749" s="12">
        <f>IF(LEFT(H1749,5)="VALID",N1749,"")</f>
        <v>250</v>
      </c>
      <c r="D1749" s="10" t="s">
        <v>82</v>
      </c>
      <c r="E1749" s="10" t="s">
        <v>2055</v>
      </c>
      <c r="F1749" s="10" t="s">
        <v>138</v>
      </c>
      <c r="G1749" s="10" t="s">
        <v>139</v>
      </c>
      <c r="H1749" s="11" t="str">
        <f>IF(OR(M1749&lt;=0,N1749&lt;=0),"SKIPPED - NONPOSITIVE",IF(OR(M1749&lt;L1749,N1749&lt;L1749),"SKIPPED - BELOW MIN",IF(OR(M1749&gt;J1749,N1749&gt;K1749),"SKIPPED - EXCEEDS BASE",IF(COUNTIFS($M$1744:M1748,M1749,$N$1744:N1748,N1749)&gt;0,"SKIPPED - DUPLICATE","VALID - GENERATED"))))</f>
        <v>VALID - GENERATED</v>
      </c>
      <c r="I1749" s="10" t="s">
        <v>2056</v>
      </c>
      <c r="J1749" s="12">
        <f>'05-ISO Reference'!$B$23</f>
        <v>176</v>
      </c>
      <c r="K1749" s="12">
        <f>'05-ISO Reference'!$C$23</f>
        <v>250</v>
      </c>
      <c r="L1749" s="12">
        <f>'01-Process Controls'!$G$5</f>
        <v>3</v>
      </c>
      <c r="M1749" s="12">
        <f>ROUNDDOWN(J1749*'04-Variant Rules'!$D$10,0)</f>
        <v>132</v>
      </c>
      <c r="N1749" s="12">
        <f>ROUNDDOWN(K1749,0)</f>
        <v>250</v>
      </c>
      <c r="O1749" s="9">
        <v>5</v>
      </c>
    </row>
    <row r="1750" spans="1:15" ht="21" customHeight="1">
      <c r="A1750" s="9" t="s">
        <v>2062</v>
      </c>
      <c r="B1750" s="12">
        <f>IF(LEFT(H1750,5)="VALID",M1750,"")</f>
        <v>176</v>
      </c>
      <c r="C1750" s="12">
        <f>IF(LEFT(H1750,5)="VALID",N1750,"")</f>
        <v>125</v>
      </c>
      <c r="D1750" s="10" t="s">
        <v>82</v>
      </c>
      <c r="E1750" s="10" t="s">
        <v>2055</v>
      </c>
      <c r="F1750" s="10" t="s">
        <v>141</v>
      </c>
      <c r="G1750" s="10" t="s">
        <v>142</v>
      </c>
      <c r="H1750" s="11" t="str">
        <f>IF(OR(M1750&lt;=0,N1750&lt;=0),"SKIPPED - NONPOSITIVE",IF(OR(M1750&lt;L1750,N1750&lt;L1750),"SKIPPED - BELOW MIN",IF(OR(M1750&gt;J1750,N1750&gt;K1750),"SKIPPED - EXCEEDS BASE",IF(COUNTIFS($M$1744:M1749,M1750,$N$1744:N1749,N1750)&gt;0,"SKIPPED - DUPLICATE","VALID - GENERATED"))))</f>
        <v>VALID - GENERATED</v>
      </c>
      <c r="I1750" s="10" t="s">
        <v>2056</v>
      </c>
      <c r="J1750" s="12">
        <f>'05-ISO Reference'!$B$23</f>
        <v>176</v>
      </c>
      <c r="K1750" s="12">
        <f>'05-ISO Reference'!$C$23</f>
        <v>250</v>
      </c>
      <c r="L1750" s="12">
        <f>'01-Process Controls'!$G$5</f>
        <v>3</v>
      </c>
      <c r="M1750" s="12">
        <f>ROUNDDOWN(J1750,0)</f>
        <v>176</v>
      </c>
      <c r="N1750" s="12">
        <f>ROUNDDOWN(K1750*'04-Variant Rules'!$D$11,0)</f>
        <v>125</v>
      </c>
      <c r="O1750" s="9">
        <v>6</v>
      </c>
    </row>
    <row r="1751" spans="1:15" ht="21" customHeight="1">
      <c r="A1751" s="9" t="s">
        <v>2063</v>
      </c>
      <c r="B1751" s="12">
        <f>IF(LEFT(H1751,5)="VALID",M1751,"")</f>
        <v>176</v>
      </c>
      <c r="C1751" s="12">
        <f>IF(LEFT(H1751,5)="VALID",N1751,"")</f>
        <v>83</v>
      </c>
      <c r="D1751" s="10" t="s">
        <v>82</v>
      </c>
      <c r="E1751" s="10" t="s">
        <v>2055</v>
      </c>
      <c r="F1751" s="10" t="s">
        <v>144</v>
      </c>
      <c r="G1751" s="10" t="s">
        <v>145</v>
      </c>
      <c r="H1751" s="11" t="str">
        <f>IF(OR(M1751&lt;=0,N1751&lt;=0),"SKIPPED - NONPOSITIVE",IF(OR(M1751&lt;L1751,N1751&lt;L1751),"SKIPPED - BELOW MIN",IF(OR(M1751&gt;J1751,N1751&gt;K1751),"SKIPPED - EXCEEDS BASE",IF(COUNTIFS($M$1744:M1750,M1751,$N$1744:N1750,N1751)&gt;0,"SKIPPED - DUPLICATE","VALID - GENERATED"))))</f>
        <v>VALID - GENERATED</v>
      </c>
      <c r="I1751" s="10" t="s">
        <v>2056</v>
      </c>
      <c r="J1751" s="12">
        <f>'05-ISO Reference'!$B$23</f>
        <v>176</v>
      </c>
      <c r="K1751" s="12">
        <f>'05-ISO Reference'!$C$23</f>
        <v>250</v>
      </c>
      <c r="L1751" s="12">
        <f>'01-Process Controls'!$G$5</f>
        <v>3</v>
      </c>
      <c r="M1751" s="12">
        <f>ROUNDDOWN(J1751,0)</f>
        <v>176</v>
      </c>
      <c r="N1751" s="12">
        <f>ROUNDDOWN(K1751*'04-Variant Rules'!$D$12,0)</f>
        <v>83</v>
      </c>
      <c r="O1751" s="9">
        <v>7</v>
      </c>
    </row>
    <row r="1752" spans="1:15" ht="21" customHeight="1">
      <c r="A1752" s="9" t="s">
        <v>2064</v>
      </c>
      <c r="B1752" s="12">
        <f>IF(LEFT(H1752,5)="VALID",M1752,"")</f>
        <v>176</v>
      </c>
      <c r="C1752" s="12">
        <f>IF(LEFT(H1752,5)="VALID",N1752,"")</f>
        <v>62</v>
      </c>
      <c r="D1752" s="10" t="s">
        <v>82</v>
      </c>
      <c r="E1752" s="10" t="s">
        <v>2055</v>
      </c>
      <c r="F1752" s="10" t="s">
        <v>147</v>
      </c>
      <c r="G1752" s="10" t="s">
        <v>148</v>
      </c>
      <c r="H1752" s="11" t="str">
        <f>IF(OR(M1752&lt;=0,N1752&lt;=0),"SKIPPED - NONPOSITIVE",IF(OR(M1752&lt;L1752,N1752&lt;L1752),"SKIPPED - BELOW MIN",IF(OR(M1752&gt;J1752,N1752&gt;K1752),"SKIPPED - EXCEEDS BASE",IF(COUNTIFS($M$1744:M1751,M1752,$N$1744:N1751,N1752)&gt;0,"SKIPPED - DUPLICATE","VALID - GENERATED"))))</f>
        <v>VALID - GENERATED</v>
      </c>
      <c r="I1752" s="10" t="s">
        <v>2056</v>
      </c>
      <c r="J1752" s="12">
        <f>'05-ISO Reference'!$B$23</f>
        <v>176</v>
      </c>
      <c r="K1752" s="12">
        <f>'05-ISO Reference'!$C$23</f>
        <v>250</v>
      </c>
      <c r="L1752" s="12">
        <f>'01-Process Controls'!$G$5</f>
        <v>3</v>
      </c>
      <c r="M1752" s="12">
        <f>ROUNDDOWN(J1752,0)</f>
        <v>176</v>
      </c>
      <c r="N1752" s="12">
        <f>ROUNDDOWN(K1752*'04-Variant Rules'!$D$13,0)</f>
        <v>62</v>
      </c>
      <c r="O1752" s="9">
        <v>8</v>
      </c>
    </row>
    <row r="1753" spans="1:15" ht="21" customHeight="1">
      <c r="A1753" s="9" t="s">
        <v>2065</v>
      </c>
      <c r="B1753" s="12">
        <f>IF(LEFT(H1753,5)="VALID",M1753,"")</f>
        <v>176</v>
      </c>
      <c r="C1753" s="12">
        <f>IF(LEFT(H1753,5)="VALID",N1753,"")</f>
        <v>166</v>
      </c>
      <c r="D1753" s="10" t="s">
        <v>82</v>
      </c>
      <c r="E1753" s="10" t="s">
        <v>2055</v>
      </c>
      <c r="F1753" s="10" t="s">
        <v>150</v>
      </c>
      <c r="G1753" s="10" t="s">
        <v>151</v>
      </c>
      <c r="H1753" s="11" t="str">
        <f>IF(OR(M1753&lt;=0,N1753&lt;=0),"SKIPPED - NONPOSITIVE",IF(OR(M1753&lt;L1753,N1753&lt;L1753),"SKIPPED - BELOW MIN",IF(OR(M1753&gt;J1753,N1753&gt;K1753),"SKIPPED - EXCEEDS BASE",IF(COUNTIFS($M$1744:M1752,M1753,$N$1744:N1752,N1753)&gt;0,"SKIPPED - DUPLICATE","VALID - GENERATED"))))</f>
        <v>VALID - GENERATED</v>
      </c>
      <c r="I1753" s="10" t="s">
        <v>2056</v>
      </c>
      <c r="J1753" s="12">
        <f>'05-ISO Reference'!$B$23</f>
        <v>176</v>
      </c>
      <c r="K1753" s="12">
        <f>'05-ISO Reference'!$C$23</f>
        <v>250</v>
      </c>
      <c r="L1753" s="12">
        <f>'01-Process Controls'!$G$5</f>
        <v>3</v>
      </c>
      <c r="M1753" s="12">
        <f>ROUNDDOWN(J1753,0)</f>
        <v>176</v>
      </c>
      <c r="N1753" s="12">
        <f>ROUNDDOWN(K1753*'04-Variant Rules'!$D$14,0)</f>
        <v>166</v>
      </c>
      <c r="O1753" s="9">
        <v>9</v>
      </c>
    </row>
    <row r="1754" spans="1:15" ht="21" customHeight="1">
      <c r="A1754" s="9" t="s">
        <v>2066</v>
      </c>
      <c r="B1754" s="12">
        <f>IF(LEFT(H1754,5)="VALID",M1754,"")</f>
        <v>176</v>
      </c>
      <c r="C1754" s="12">
        <f>IF(LEFT(H1754,5)="VALID",N1754,"")</f>
        <v>187</v>
      </c>
      <c r="D1754" s="10" t="s">
        <v>82</v>
      </c>
      <c r="E1754" s="10" t="s">
        <v>2055</v>
      </c>
      <c r="F1754" s="10" t="s">
        <v>153</v>
      </c>
      <c r="G1754" s="10" t="s">
        <v>154</v>
      </c>
      <c r="H1754" s="11" t="str">
        <f>IF(OR(M1754&lt;=0,N1754&lt;=0),"SKIPPED - NONPOSITIVE",IF(OR(M1754&lt;L1754,N1754&lt;L1754),"SKIPPED - BELOW MIN",IF(OR(M1754&gt;J1754,N1754&gt;K1754),"SKIPPED - EXCEEDS BASE",IF(COUNTIFS($M$1744:M1753,M1754,$N$1744:N1753,N1754)&gt;0,"SKIPPED - DUPLICATE","VALID - GENERATED"))))</f>
        <v>VALID - GENERATED</v>
      </c>
      <c r="I1754" s="10" t="s">
        <v>2056</v>
      </c>
      <c r="J1754" s="12">
        <f>'05-ISO Reference'!$B$23</f>
        <v>176</v>
      </c>
      <c r="K1754" s="12">
        <f>'05-ISO Reference'!$C$23</f>
        <v>250</v>
      </c>
      <c r="L1754" s="12">
        <f>'01-Process Controls'!$G$5</f>
        <v>3</v>
      </c>
      <c r="M1754" s="12">
        <f>ROUNDDOWN(J1754,0)</f>
        <v>176</v>
      </c>
      <c r="N1754" s="12">
        <f>ROUNDDOWN(K1754*'04-Variant Rules'!$D$15,0)</f>
        <v>187</v>
      </c>
      <c r="O1754" s="9">
        <v>10</v>
      </c>
    </row>
    <row r="1755" spans="1:15" ht="21" customHeight="1">
      <c r="A1755" s="9" t="s">
        <v>2067</v>
      </c>
      <c r="B1755" s="12">
        <f>IF(LEFT(H1755,5)="VALID",M1755,"")</f>
        <v>88</v>
      </c>
      <c r="C1755" s="12">
        <f>IF(LEFT(H1755,5)="VALID",N1755,"")</f>
        <v>125</v>
      </c>
      <c r="D1755" s="10" t="s">
        <v>82</v>
      </c>
      <c r="E1755" s="10" t="s">
        <v>2055</v>
      </c>
      <c r="F1755" s="10" t="s">
        <v>156</v>
      </c>
      <c r="G1755" s="10" t="s">
        <v>157</v>
      </c>
      <c r="H1755" s="11" t="str">
        <f>IF(OR(M1755&lt;=0,N1755&lt;=0),"SKIPPED - NONPOSITIVE",IF(OR(M1755&lt;L1755,N1755&lt;L1755),"SKIPPED - BELOW MIN",IF(OR(M1755&gt;J1755,N1755&gt;K1755),"SKIPPED - EXCEEDS BASE",IF(COUNTIFS($M$1744:M1754,M1755,$N$1744:N1754,N1755)&gt;0,"SKIPPED - DUPLICATE","VALID - GENERATED"))))</f>
        <v>VALID - GENERATED</v>
      </c>
      <c r="I1755" s="10" t="s">
        <v>2056</v>
      </c>
      <c r="J1755" s="12">
        <f>'05-ISO Reference'!$B$23</f>
        <v>176</v>
      </c>
      <c r="K1755" s="12">
        <f>'05-ISO Reference'!$C$23</f>
        <v>250</v>
      </c>
      <c r="L1755" s="12">
        <f>'01-Process Controls'!$G$5</f>
        <v>3</v>
      </c>
      <c r="M1755" s="12">
        <f>ROUNDDOWN(J1755*'04-Variant Rules'!$D$16,0)</f>
        <v>88</v>
      </c>
      <c r="N1755" s="12">
        <f>ROUNDDOWN(K1755*'04-Variant Rules'!$E$16,0)</f>
        <v>125</v>
      </c>
      <c r="O1755" s="9">
        <v>11</v>
      </c>
    </row>
    <row r="1756" spans="1:15" ht="21" customHeight="1">
      <c r="A1756" s="9" t="s">
        <v>2068</v>
      </c>
      <c r="B1756" s="12">
        <f>IF(LEFT(H1756,5)="VALID",M1756,"")</f>
        <v>58</v>
      </c>
      <c r="C1756" s="12">
        <f>IF(LEFT(H1756,5)="VALID",N1756,"")</f>
        <v>83</v>
      </c>
      <c r="D1756" s="10" t="s">
        <v>82</v>
      </c>
      <c r="E1756" s="10" t="s">
        <v>2055</v>
      </c>
      <c r="F1756" s="10" t="s">
        <v>159</v>
      </c>
      <c r="G1756" s="10" t="s">
        <v>160</v>
      </c>
      <c r="H1756" s="11" t="str">
        <f>IF(OR(M1756&lt;=0,N1756&lt;=0),"SKIPPED - NONPOSITIVE",IF(OR(M1756&lt;L1756,N1756&lt;L1756),"SKIPPED - BELOW MIN",IF(OR(M1756&gt;J1756,N1756&gt;K1756),"SKIPPED - EXCEEDS BASE",IF(COUNTIFS($M$1744:M1755,M1756,$N$1744:N1755,N1756)&gt;0,"SKIPPED - DUPLICATE","VALID - GENERATED"))))</f>
        <v>VALID - GENERATED</v>
      </c>
      <c r="I1756" s="10" t="s">
        <v>2056</v>
      </c>
      <c r="J1756" s="12">
        <f>'05-ISO Reference'!$B$23</f>
        <v>176</v>
      </c>
      <c r="K1756" s="12">
        <f>'05-ISO Reference'!$C$23</f>
        <v>250</v>
      </c>
      <c r="L1756" s="12">
        <f>'01-Process Controls'!$G$5</f>
        <v>3</v>
      </c>
      <c r="M1756" s="12">
        <f>ROUNDDOWN(J1756*'04-Variant Rules'!$D$17,0)</f>
        <v>58</v>
      </c>
      <c r="N1756" s="12">
        <f>ROUNDDOWN(K1756*'04-Variant Rules'!$E$17,0)</f>
        <v>83</v>
      </c>
      <c r="O1756" s="9">
        <v>12</v>
      </c>
    </row>
    <row r="1757" spans="1:15" ht="21" customHeight="1">
      <c r="A1757" s="9" t="s">
        <v>2069</v>
      </c>
      <c r="B1757" s="12">
        <f>IF(LEFT(H1757,5)="VALID",M1757,"")</f>
        <v>44</v>
      </c>
      <c r="C1757" s="12">
        <f>IF(LEFT(H1757,5)="VALID",N1757,"")</f>
        <v>62</v>
      </c>
      <c r="D1757" s="10" t="s">
        <v>82</v>
      </c>
      <c r="E1757" s="10" t="s">
        <v>2055</v>
      </c>
      <c r="F1757" s="10" t="s">
        <v>162</v>
      </c>
      <c r="G1757" s="10" t="s">
        <v>163</v>
      </c>
      <c r="H1757" s="11" t="str">
        <f>IF(OR(M1757&lt;=0,N1757&lt;=0),"SKIPPED - NONPOSITIVE",IF(OR(M1757&lt;L1757,N1757&lt;L1757),"SKIPPED - BELOW MIN",IF(OR(M1757&gt;J1757,N1757&gt;K1757),"SKIPPED - EXCEEDS BASE",IF(COUNTIFS($M$1744:M1756,M1757,$N$1744:N1756,N1757)&gt;0,"SKIPPED - DUPLICATE","VALID - GENERATED"))))</f>
        <v>VALID - GENERATED</v>
      </c>
      <c r="I1757" s="10" t="s">
        <v>2056</v>
      </c>
      <c r="J1757" s="12">
        <f>'05-ISO Reference'!$B$23</f>
        <v>176</v>
      </c>
      <c r="K1757" s="12">
        <f>'05-ISO Reference'!$C$23</f>
        <v>250</v>
      </c>
      <c r="L1757" s="12">
        <f>'01-Process Controls'!$G$5</f>
        <v>3</v>
      </c>
      <c r="M1757" s="12">
        <f>ROUNDDOWN(J1757*'04-Variant Rules'!$D$18,0)</f>
        <v>44</v>
      </c>
      <c r="N1757" s="12">
        <f>ROUNDDOWN(K1757*'04-Variant Rules'!$E$18,0)</f>
        <v>62</v>
      </c>
      <c r="O1757" s="9">
        <v>13</v>
      </c>
    </row>
    <row r="1758" spans="1:15" ht="21" customHeight="1">
      <c r="A1758" s="9" t="s">
        <v>2070</v>
      </c>
      <c r="B1758" s="12">
        <f>IF(LEFT(H1758,5)="VALID",M1758,"")</f>
        <v>88</v>
      </c>
      <c r="C1758" s="12">
        <f>IF(LEFT(H1758,5)="VALID",N1758,"")</f>
        <v>83</v>
      </c>
      <c r="D1758" s="10" t="s">
        <v>82</v>
      </c>
      <c r="E1758" s="10" t="s">
        <v>2055</v>
      </c>
      <c r="F1758" s="10" t="s">
        <v>165</v>
      </c>
      <c r="G1758" s="10" t="s">
        <v>166</v>
      </c>
      <c r="H1758" s="11" t="str">
        <f>IF(OR(M1758&lt;=0,N1758&lt;=0),"SKIPPED - NONPOSITIVE",IF(OR(M1758&lt;L1758,N1758&lt;L1758),"SKIPPED - BELOW MIN",IF(OR(M1758&gt;J1758,N1758&gt;K1758),"SKIPPED - EXCEEDS BASE",IF(COUNTIFS($M$1744:M1757,M1758,$N$1744:N1757,N1758)&gt;0,"SKIPPED - DUPLICATE","VALID - GENERATED"))))</f>
        <v>VALID - GENERATED</v>
      </c>
      <c r="I1758" s="10" t="s">
        <v>2056</v>
      </c>
      <c r="J1758" s="12">
        <f>'05-ISO Reference'!$B$23</f>
        <v>176</v>
      </c>
      <c r="K1758" s="12">
        <f>'05-ISO Reference'!$C$23</f>
        <v>250</v>
      </c>
      <c r="L1758" s="12">
        <f>'01-Process Controls'!$G$5</f>
        <v>3</v>
      </c>
      <c r="M1758" s="12">
        <f>ROUNDDOWN(J1758*'04-Variant Rules'!$D$19,0)</f>
        <v>88</v>
      </c>
      <c r="N1758" s="12">
        <f>ROUNDDOWN(K1758*'04-Variant Rules'!$E$19,0)</f>
        <v>83</v>
      </c>
      <c r="O1758" s="9">
        <v>14</v>
      </c>
    </row>
    <row r="1759" spans="1:15" ht="21" customHeight="1">
      <c r="A1759" s="9" t="s">
        <v>2071</v>
      </c>
      <c r="B1759" s="12">
        <f>IF(LEFT(H1759,5)="VALID",M1759,"")</f>
        <v>58</v>
      </c>
      <c r="C1759" s="12">
        <f>IF(LEFT(H1759,5)="VALID",N1759,"")</f>
        <v>125</v>
      </c>
      <c r="D1759" s="10" t="s">
        <v>82</v>
      </c>
      <c r="E1759" s="10" t="s">
        <v>2055</v>
      </c>
      <c r="F1759" s="10" t="s">
        <v>168</v>
      </c>
      <c r="G1759" s="10" t="s">
        <v>166</v>
      </c>
      <c r="H1759" s="11" t="str">
        <f>IF(OR(M1759&lt;=0,N1759&lt;=0),"SKIPPED - NONPOSITIVE",IF(OR(M1759&lt;L1759,N1759&lt;L1759),"SKIPPED - BELOW MIN",IF(OR(M1759&gt;J1759,N1759&gt;K1759),"SKIPPED - EXCEEDS BASE",IF(COUNTIFS($M$1744:M1758,M1759,$N$1744:N1758,N1759)&gt;0,"SKIPPED - DUPLICATE","VALID - GENERATED"))))</f>
        <v>VALID - GENERATED</v>
      </c>
      <c r="I1759" s="10" t="s">
        <v>2056</v>
      </c>
      <c r="J1759" s="12">
        <f>'05-ISO Reference'!$B$23</f>
        <v>176</v>
      </c>
      <c r="K1759" s="12">
        <f>'05-ISO Reference'!$C$23</f>
        <v>250</v>
      </c>
      <c r="L1759" s="12">
        <f>'01-Process Controls'!$G$5</f>
        <v>3</v>
      </c>
      <c r="M1759" s="12">
        <f>ROUNDDOWN(J1759*'04-Variant Rules'!$D$20,0)</f>
        <v>58</v>
      </c>
      <c r="N1759" s="12">
        <f>ROUNDDOWN(K1759*'04-Variant Rules'!$E$20,0)</f>
        <v>125</v>
      </c>
      <c r="O1759" s="9">
        <v>15</v>
      </c>
    </row>
    <row r="1760" spans="1:15" ht="21" customHeight="1">
      <c r="A1760" s="9" t="s">
        <v>2072</v>
      </c>
      <c r="B1760" s="12">
        <f>IF(LEFT(H1760,5)="VALID",M1760,"")</f>
        <v>88</v>
      </c>
      <c r="C1760" s="12">
        <f>IF(LEFT(H1760,5)="VALID",N1760,"")</f>
        <v>62</v>
      </c>
      <c r="D1760" s="10" t="s">
        <v>82</v>
      </c>
      <c r="E1760" s="10" t="s">
        <v>2055</v>
      </c>
      <c r="F1760" s="10" t="s">
        <v>170</v>
      </c>
      <c r="G1760" s="10" t="s">
        <v>166</v>
      </c>
      <c r="H1760" s="11" t="str">
        <f>IF(OR(M1760&lt;=0,N1760&lt;=0),"SKIPPED - NONPOSITIVE",IF(OR(M1760&lt;L1760,N1760&lt;L1760),"SKIPPED - BELOW MIN",IF(OR(M1760&gt;J1760,N1760&gt;K1760),"SKIPPED - EXCEEDS BASE",IF(COUNTIFS($M$1744:M1759,M1760,$N$1744:N1759,N1760)&gt;0,"SKIPPED - DUPLICATE","VALID - GENERATED"))))</f>
        <v>VALID - GENERATED</v>
      </c>
      <c r="I1760" s="10" t="s">
        <v>2056</v>
      </c>
      <c r="J1760" s="12">
        <f>'05-ISO Reference'!$B$23</f>
        <v>176</v>
      </c>
      <c r="K1760" s="12">
        <f>'05-ISO Reference'!$C$23</f>
        <v>250</v>
      </c>
      <c r="L1760" s="12">
        <f>'01-Process Controls'!$G$5</f>
        <v>3</v>
      </c>
      <c r="M1760" s="12">
        <f>ROUNDDOWN(J1760*'04-Variant Rules'!$D$21,0)</f>
        <v>88</v>
      </c>
      <c r="N1760" s="12">
        <f>ROUNDDOWN(K1760*'04-Variant Rules'!$E$21,0)</f>
        <v>62</v>
      </c>
      <c r="O1760" s="9">
        <v>16</v>
      </c>
    </row>
    <row r="1761" spans="1:15" ht="21" customHeight="1">
      <c r="A1761" s="9" t="s">
        <v>2073</v>
      </c>
      <c r="B1761" s="12">
        <f>IF(LEFT(H1761,5)="VALID",M1761,"")</f>
        <v>44</v>
      </c>
      <c r="C1761" s="12">
        <f>IF(LEFT(H1761,5)="VALID",N1761,"")</f>
        <v>125</v>
      </c>
      <c r="D1761" s="10" t="s">
        <v>82</v>
      </c>
      <c r="E1761" s="10" t="s">
        <v>2055</v>
      </c>
      <c r="F1761" s="10" t="s">
        <v>172</v>
      </c>
      <c r="G1761" s="10" t="s">
        <v>166</v>
      </c>
      <c r="H1761" s="11" t="str">
        <f>IF(OR(M1761&lt;=0,N1761&lt;=0),"SKIPPED - NONPOSITIVE",IF(OR(M1761&lt;L1761,N1761&lt;L1761),"SKIPPED - BELOW MIN",IF(OR(M1761&gt;J1761,N1761&gt;K1761),"SKIPPED - EXCEEDS BASE",IF(COUNTIFS($M$1744:M1760,M1761,$N$1744:N1760,N1761)&gt;0,"SKIPPED - DUPLICATE","VALID - GENERATED"))))</f>
        <v>VALID - GENERATED</v>
      </c>
      <c r="I1761" s="10" t="s">
        <v>2056</v>
      </c>
      <c r="J1761" s="12">
        <f>'05-ISO Reference'!$B$23</f>
        <v>176</v>
      </c>
      <c r="K1761" s="12">
        <f>'05-ISO Reference'!$C$23</f>
        <v>250</v>
      </c>
      <c r="L1761" s="12">
        <f>'01-Process Controls'!$G$5</f>
        <v>3</v>
      </c>
      <c r="M1761" s="12">
        <f>ROUNDDOWN(J1761*'04-Variant Rules'!$D$22,0)</f>
        <v>44</v>
      </c>
      <c r="N1761" s="12">
        <f>ROUNDDOWN(K1761*'04-Variant Rules'!$E$22,0)</f>
        <v>125</v>
      </c>
      <c r="O1761" s="9">
        <v>17</v>
      </c>
    </row>
    <row r="1762" spans="1:15" ht="21" customHeight="1">
      <c r="A1762" s="9" t="s">
        <v>2074</v>
      </c>
      <c r="B1762" s="12">
        <f>IF(LEFT(H1762,5)="VALID",M1762,"")</f>
        <v>117</v>
      </c>
      <c r="C1762" s="12">
        <f>IF(LEFT(H1762,5)="VALID",N1762,"")</f>
        <v>125</v>
      </c>
      <c r="D1762" s="10" t="s">
        <v>82</v>
      </c>
      <c r="E1762" s="10" t="s">
        <v>2055</v>
      </c>
      <c r="F1762" s="10" t="s">
        <v>174</v>
      </c>
      <c r="G1762" s="10" t="s">
        <v>166</v>
      </c>
      <c r="H1762" s="11" t="str">
        <f>IF(OR(M1762&lt;=0,N1762&lt;=0),"SKIPPED - NONPOSITIVE",IF(OR(M1762&lt;L1762,N1762&lt;L1762),"SKIPPED - BELOW MIN",IF(OR(M1762&gt;J1762,N1762&gt;K1762),"SKIPPED - EXCEEDS BASE",IF(COUNTIFS($M$1744:M1761,M1762,$N$1744:N1761,N1762)&gt;0,"SKIPPED - DUPLICATE","VALID - GENERATED"))))</f>
        <v>VALID - GENERATED</v>
      </c>
      <c r="I1762" s="10" t="s">
        <v>2056</v>
      </c>
      <c r="J1762" s="12">
        <f>'05-ISO Reference'!$B$23</f>
        <v>176</v>
      </c>
      <c r="K1762" s="12">
        <f>'05-ISO Reference'!$C$23</f>
        <v>250</v>
      </c>
      <c r="L1762" s="12">
        <f>'01-Process Controls'!$G$5</f>
        <v>3</v>
      </c>
      <c r="M1762" s="12">
        <f>ROUNDDOWN(J1762*'04-Variant Rules'!$D$23,0)</f>
        <v>117</v>
      </c>
      <c r="N1762" s="12">
        <f>ROUNDDOWN(K1762*'04-Variant Rules'!$E$23,0)</f>
        <v>125</v>
      </c>
      <c r="O1762" s="9">
        <v>18</v>
      </c>
    </row>
    <row r="1763" spans="1:15" ht="21" customHeight="1">
      <c r="A1763" s="9" t="s">
        <v>2075</v>
      </c>
      <c r="B1763" s="12">
        <f>IF(LEFT(H1763,5)="VALID",M1763,"")</f>
        <v>88</v>
      </c>
      <c r="C1763" s="12">
        <f>IF(LEFT(H1763,5)="VALID",N1763,"")</f>
        <v>166</v>
      </c>
      <c r="D1763" s="10" t="s">
        <v>82</v>
      </c>
      <c r="E1763" s="10" t="s">
        <v>2055</v>
      </c>
      <c r="F1763" s="10" t="s">
        <v>176</v>
      </c>
      <c r="G1763" s="10" t="s">
        <v>166</v>
      </c>
      <c r="H1763" s="11" t="str">
        <f>IF(OR(M1763&lt;=0,N1763&lt;=0),"SKIPPED - NONPOSITIVE",IF(OR(M1763&lt;L1763,N1763&lt;L1763),"SKIPPED - BELOW MIN",IF(OR(M1763&gt;J1763,N1763&gt;K1763),"SKIPPED - EXCEEDS BASE",IF(COUNTIFS($M$1744:M1762,M1763,$N$1744:N1762,N1763)&gt;0,"SKIPPED - DUPLICATE","VALID - GENERATED"))))</f>
        <v>VALID - GENERATED</v>
      </c>
      <c r="I1763" s="10" t="s">
        <v>2056</v>
      </c>
      <c r="J1763" s="12">
        <f>'05-ISO Reference'!$B$23</f>
        <v>176</v>
      </c>
      <c r="K1763" s="12">
        <f>'05-ISO Reference'!$C$23</f>
        <v>250</v>
      </c>
      <c r="L1763" s="12">
        <f>'01-Process Controls'!$G$5</f>
        <v>3</v>
      </c>
      <c r="M1763" s="12">
        <f>ROUNDDOWN(J1763*'04-Variant Rules'!$D$24,0)</f>
        <v>88</v>
      </c>
      <c r="N1763" s="12">
        <f>ROUNDDOWN(K1763*'04-Variant Rules'!$E$24,0)</f>
        <v>166</v>
      </c>
      <c r="O1763" s="9">
        <v>19</v>
      </c>
    </row>
    <row r="1764" spans="1:15" ht="21" customHeight="1">
      <c r="A1764" s="9" t="s">
        <v>2076</v>
      </c>
      <c r="B1764" s="12">
        <f>IF(LEFT(H1764,5)="VALID",M1764,"")</f>
        <v>132</v>
      </c>
      <c r="C1764" s="12">
        <f>IF(LEFT(H1764,5)="VALID",N1764,"")</f>
        <v>125</v>
      </c>
      <c r="D1764" s="10" t="s">
        <v>82</v>
      </c>
      <c r="E1764" s="10" t="s">
        <v>2055</v>
      </c>
      <c r="F1764" s="10" t="s">
        <v>178</v>
      </c>
      <c r="G1764" s="10" t="s">
        <v>166</v>
      </c>
      <c r="H1764" s="11" t="str">
        <f>IF(OR(M1764&lt;=0,N1764&lt;=0),"SKIPPED - NONPOSITIVE",IF(OR(M1764&lt;L1764,N1764&lt;L1764),"SKIPPED - BELOW MIN",IF(OR(M1764&gt;J1764,N1764&gt;K1764),"SKIPPED - EXCEEDS BASE",IF(COUNTIFS($M$1744:M1763,M1764,$N$1744:N1763,N1764)&gt;0,"SKIPPED - DUPLICATE","VALID - GENERATED"))))</f>
        <v>VALID - GENERATED</v>
      </c>
      <c r="I1764" s="10" t="s">
        <v>2056</v>
      </c>
      <c r="J1764" s="12">
        <f>'05-ISO Reference'!$B$23</f>
        <v>176</v>
      </c>
      <c r="K1764" s="12">
        <f>'05-ISO Reference'!$C$23</f>
        <v>250</v>
      </c>
      <c r="L1764" s="12">
        <f>'01-Process Controls'!$G$5</f>
        <v>3</v>
      </c>
      <c r="M1764" s="12">
        <f>ROUNDDOWN(J1764*'04-Variant Rules'!$D$25,0)</f>
        <v>132</v>
      </c>
      <c r="N1764" s="12">
        <f>ROUNDDOWN(K1764*'04-Variant Rules'!$E$25,0)</f>
        <v>125</v>
      </c>
      <c r="O1764" s="9">
        <v>20</v>
      </c>
    </row>
    <row r="1765" spans="1:15" ht="21" customHeight="1">
      <c r="A1765" s="9" t="s">
        <v>2077</v>
      </c>
      <c r="B1765" s="12">
        <f>IF(LEFT(H1765,5)="VALID",M1765,"")</f>
        <v>88</v>
      </c>
      <c r="C1765" s="12">
        <f>IF(LEFT(H1765,5)="VALID",N1765,"")</f>
        <v>187</v>
      </c>
      <c r="D1765" s="10" t="s">
        <v>82</v>
      </c>
      <c r="E1765" s="10" t="s">
        <v>2055</v>
      </c>
      <c r="F1765" s="10" t="s">
        <v>180</v>
      </c>
      <c r="G1765" s="10" t="s">
        <v>166</v>
      </c>
      <c r="H1765" s="11" t="str">
        <f>IF(OR(M1765&lt;=0,N1765&lt;=0),"SKIPPED - NONPOSITIVE",IF(OR(M1765&lt;L1765,N1765&lt;L1765),"SKIPPED - BELOW MIN",IF(OR(M1765&gt;J1765,N1765&gt;K1765),"SKIPPED - EXCEEDS BASE",IF(COUNTIFS($M$1744:M1764,M1765,$N$1744:N1764,N1765)&gt;0,"SKIPPED - DUPLICATE","VALID - GENERATED"))))</f>
        <v>VALID - GENERATED</v>
      </c>
      <c r="I1765" s="10" t="s">
        <v>2056</v>
      </c>
      <c r="J1765" s="12">
        <f>'05-ISO Reference'!$B$23</f>
        <v>176</v>
      </c>
      <c r="K1765" s="12">
        <f>'05-ISO Reference'!$C$23</f>
        <v>250</v>
      </c>
      <c r="L1765" s="12">
        <f>'01-Process Controls'!$G$5</f>
        <v>3</v>
      </c>
      <c r="M1765" s="12">
        <f>ROUNDDOWN(J1765*'04-Variant Rules'!$D$26,0)</f>
        <v>88</v>
      </c>
      <c r="N1765" s="12">
        <f>ROUNDDOWN(K1765*'04-Variant Rules'!$E$26,0)</f>
        <v>187</v>
      </c>
      <c r="O1765" s="9">
        <v>21</v>
      </c>
    </row>
    <row r="1766" spans="1:15" ht="21" customHeight="1">
      <c r="A1766" s="9" t="s">
        <v>2078</v>
      </c>
      <c r="B1766" s="12">
        <f>IF(LEFT(H1766,5)="VALID",M1766,"")</f>
        <v>167</v>
      </c>
      <c r="C1766" s="12">
        <f>IF(LEFT(H1766,5)="VALID",N1766,"")</f>
        <v>237</v>
      </c>
      <c r="D1766" s="10" t="s">
        <v>82</v>
      </c>
      <c r="E1766" s="10" t="s">
        <v>2055</v>
      </c>
      <c r="F1766" s="10" t="s">
        <v>182</v>
      </c>
      <c r="G1766" s="10" t="s">
        <v>183</v>
      </c>
      <c r="H1766" s="11" t="str">
        <f>IF(OR(M1766&lt;=0,N1766&lt;=0),"SKIPPED - NONPOSITIVE",IF(OR(M1766&lt;L1766,N1766&lt;L1766),"SKIPPED - BELOW MIN",IF(OR(M1766&gt;J1766,N1766&gt;K1766),"SKIPPED - EXCEEDS BASE",IF(COUNTIFS($M$1744:M1765,M1766,$N$1744:N1765,N1766)&gt;0,"SKIPPED - DUPLICATE","VALID - GENERATED"))))</f>
        <v>VALID - GENERATED</v>
      </c>
      <c r="I1766" s="10" t="s">
        <v>2056</v>
      </c>
      <c r="J1766" s="12">
        <f>'05-ISO Reference'!$B$23</f>
        <v>176</v>
      </c>
      <c r="K1766" s="12">
        <f>'05-ISO Reference'!$C$23</f>
        <v>250</v>
      </c>
      <c r="L1766" s="12">
        <f>'01-Process Controls'!$G$5</f>
        <v>3</v>
      </c>
      <c r="M1766" s="12">
        <f>ROUNDDOWN(J1766*'04-Variant Rules'!$D$27,0)</f>
        <v>167</v>
      </c>
      <c r="N1766" s="12">
        <f>ROUNDDOWN(K1766*'04-Variant Rules'!$E$27,0)</f>
        <v>237</v>
      </c>
      <c r="O1766" s="9">
        <v>22</v>
      </c>
    </row>
    <row r="1767" spans="1:15" ht="21" customHeight="1">
      <c r="A1767" s="9" t="s">
        <v>2079</v>
      </c>
      <c r="B1767" s="12">
        <f>IF(LEFT(H1767,5)="VALID",M1767,"")</f>
        <v>158</v>
      </c>
      <c r="C1767" s="12">
        <f>IF(LEFT(H1767,5)="VALID",N1767,"")</f>
        <v>225</v>
      </c>
      <c r="D1767" s="10" t="s">
        <v>82</v>
      </c>
      <c r="E1767" s="10" t="s">
        <v>2055</v>
      </c>
      <c r="F1767" s="10" t="s">
        <v>185</v>
      </c>
      <c r="G1767" s="10" t="s">
        <v>186</v>
      </c>
      <c r="H1767" s="11" t="str">
        <f>IF(OR(M1767&lt;=0,N1767&lt;=0),"SKIPPED - NONPOSITIVE",IF(OR(M1767&lt;L1767,N1767&lt;L1767),"SKIPPED - BELOW MIN",IF(OR(M1767&gt;J1767,N1767&gt;K1767),"SKIPPED - EXCEEDS BASE",IF(COUNTIFS($M$1744:M1766,M1767,$N$1744:N1766,N1767)&gt;0,"SKIPPED - DUPLICATE","VALID - GENERATED"))))</f>
        <v>VALID - GENERATED</v>
      </c>
      <c r="I1767" s="10" t="s">
        <v>2056</v>
      </c>
      <c r="J1767" s="12">
        <f>'05-ISO Reference'!$B$23</f>
        <v>176</v>
      </c>
      <c r="K1767" s="12">
        <f>'05-ISO Reference'!$C$23</f>
        <v>250</v>
      </c>
      <c r="L1767" s="12">
        <f>'01-Process Controls'!$G$5</f>
        <v>3</v>
      </c>
      <c r="M1767" s="12">
        <f>ROUNDDOWN(J1767*'04-Variant Rules'!$D$28,0)</f>
        <v>158</v>
      </c>
      <c r="N1767" s="12">
        <f>ROUNDDOWN(K1767*'04-Variant Rules'!$E$28,0)</f>
        <v>225</v>
      </c>
      <c r="O1767" s="9">
        <v>23</v>
      </c>
    </row>
    <row r="1768" spans="1:15" ht="21" customHeight="1">
      <c r="A1768" s="9" t="s">
        <v>2080</v>
      </c>
      <c r="B1768" s="12">
        <f>IF(LEFT(H1768,5)="VALID",M1768,"")</f>
        <v>149</v>
      </c>
      <c r="C1768" s="12">
        <f>IF(LEFT(H1768,5)="VALID",N1768,"")</f>
        <v>212</v>
      </c>
      <c r="D1768" s="10" t="s">
        <v>82</v>
      </c>
      <c r="E1768" s="10" t="s">
        <v>2055</v>
      </c>
      <c r="F1768" s="10" t="s">
        <v>188</v>
      </c>
      <c r="G1768" s="10" t="s">
        <v>186</v>
      </c>
      <c r="H1768" s="11" t="str">
        <f>IF(OR(M1768&lt;=0,N1768&lt;=0),"SKIPPED - NONPOSITIVE",IF(OR(M1768&lt;L1768,N1768&lt;L1768),"SKIPPED - BELOW MIN",IF(OR(M1768&gt;J1768,N1768&gt;K1768),"SKIPPED - EXCEEDS BASE",IF(COUNTIFS($M$1744:M1767,M1768,$N$1744:N1767,N1768)&gt;0,"SKIPPED - DUPLICATE","VALID - GENERATED"))))</f>
        <v>VALID - GENERATED</v>
      </c>
      <c r="I1768" s="10" t="s">
        <v>2056</v>
      </c>
      <c r="J1768" s="12">
        <f>'05-ISO Reference'!$B$23</f>
        <v>176</v>
      </c>
      <c r="K1768" s="12">
        <f>'05-ISO Reference'!$C$23</f>
        <v>250</v>
      </c>
      <c r="L1768" s="12">
        <f>'01-Process Controls'!$G$5</f>
        <v>3</v>
      </c>
      <c r="M1768" s="12">
        <f>ROUNDDOWN(J1768*'04-Variant Rules'!$D$29,0)</f>
        <v>149</v>
      </c>
      <c r="N1768" s="12">
        <f>ROUNDDOWN(K1768*'04-Variant Rules'!$E$29,0)</f>
        <v>212</v>
      </c>
      <c r="O1768" s="9">
        <v>24</v>
      </c>
    </row>
    <row r="1769" spans="1:15" ht="21" customHeight="1">
      <c r="A1769" s="9" t="s">
        <v>2081</v>
      </c>
      <c r="B1769" s="12">
        <f>IF(LEFT(H1769,5)="VALID",M1769,"")</f>
        <v>140</v>
      </c>
      <c r="C1769" s="12">
        <f>IF(LEFT(H1769,5)="VALID",N1769,"")</f>
        <v>200</v>
      </c>
      <c r="D1769" s="10" t="s">
        <v>82</v>
      </c>
      <c r="E1769" s="10" t="s">
        <v>2055</v>
      </c>
      <c r="F1769" s="10" t="s">
        <v>190</v>
      </c>
      <c r="G1769" s="10" t="s">
        <v>186</v>
      </c>
      <c r="H1769" s="11" t="str">
        <f>IF(OR(M1769&lt;=0,N1769&lt;=0),"SKIPPED - NONPOSITIVE",IF(OR(M1769&lt;L1769,N1769&lt;L1769),"SKIPPED - BELOW MIN",IF(OR(M1769&gt;J1769,N1769&gt;K1769),"SKIPPED - EXCEEDS BASE",IF(COUNTIFS($M$1744:M1768,M1769,$N$1744:N1768,N1769)&gt;0,"SKIPPED - DUPLICATE","VALID - GENERATED"))))</f>
        <v>VALID - GENERATED</v>
      </c>
      <c r="I1769" s="10" t="s">
        <v>2056</v>
      </c>
      <c r="J1769" s="12">
        <f>'05-ISO Reference'!$B$23</f>
        <v>176</v>
      </c>
      <c r="K1769" s="12">
        <f>'05-ISO Reference'!$C$23</f>
        <v>250</v>
      </c>
      <c r="L1769" s="12">
        <f>'01-Process Controls'!$G$5</f>
        <v>3</v>
      </c>
      <c r="M1769" s="12">
        <f>ROUNDDOWN(J1769*'04-Variant Rules'!$D$30,0)</f>
        <v>140</v>
      </c>
      <c r="N1769" s="12">
        <f>ROUNDDOWN(K1769*'04-Variant Rules'!$E$30,0)</f>
        <v>200</v>
      </c>
      <c r="O1769" s="9">
        <v>25</v>
      </c>
    </row>
    <row r="1770" spans="1:15" ht="21" customHeight="1">
      <c r="A1770" s="9" t="s">
        <v>2082</v>
      </c>
      <c r="B1770" s="12">
        <f>IF(LEFT(H1770,5)="VALID",M1770,"")</f>
        <v>132</v>
      </c>
      <c r="C1770" s="12">
        <f>IF(LEFT(H1770,5)="VALID",N1770,"")</f>
        <v>187</v>
      </c>
      <c r="D1770" s="10" t="s">
        <v>82</v>
      </c>
      <c r="E1770" s="10" t="s">
        <v>2055</v>
      </c>
      <c r="F1770" s="10" t="s">
        <v>192</v>
      </c>
      <c r="G1770" s="10" t="s">
        <v>186</v>
      </c>
      <c r="H1770" s="11" t="str">
        <f>IF(OR(M1770&lt;=0,N1770&lt;=0),"SKIPPED - NONPOSITIVE",IF(OR(M1770&lt;L1770,N1770&lt;L1770),"SKIPPED - BELOW MIN",IF(OR(M1770&gt;J1770,N1770&gt;K1770),"SKIPPED - EXCEEDS BASE",IF(COUNTIFS($M$1744:M1769,M1770,$N$1744:N1769,N1770)&gt;0,"SKIPPED - DUPLICATE","VALID - GENERATED"))))</f>
        <v>VALID - GENERATED</v>
      </c>
      <c r="I1770" s="10" t="s">
        <v>2056</v>
      </c>
      <c r="J1770" s="12">
        <f>'05-ISO Reference'!$B$23</f>
        <v>176</v>
      </c>
      <c r="K1770" s="12">
        <f>'05-ISO Reference'!$C$23</f>
        <v>250</v>
      </c>
      <c r="L1770" s="12">
        <f>'01-Process Controls'!$G$5</f>
        <v>3</v>
      </c>
      <c r="M1770" s="12">
        <f>ROUNDDOWN(J1770*'04-Variant Rules'!$D$31,0)</f>
        <v>132</v>
      </c>
      <c r="N1770" s="12">
        <f>ROUNDDOWN(K1770*'04-Variant Rules'!$E$31,0)</f>
        <v>187</v>
      </c>
      <c r="O1770" s="9">
        <v>26</v>
      </c>
    </row>
    <row r="1771" spans="1:15" ht="21" customHeight="1">
      <c r="A1771" s="9" t="s">
        <v>2083</v>
      </c>
      <c r="B1771" s="12">
        <f>IF(LEFT(H1771,5)="VALID",M1771,"")</f>
        <v>123</v>
      </c>
      <c r="C1771" s="12">
        <f>IF(LEFT(H1771,5)="VALID",N1771,"")</f>
        <v>175</v>
      </c>
      <c r="D1771" s="10" t="s">
        <v>82</v>
      </c>
      <c r="E1771" s="10" t="s">
        <v>2055</v>
      </c>
      <c r="F1771" s="10" t="s">
        <v>194</v>
      </c>
      <c r="G1771" s="10" t="s">
        <v>186</v>
      </c>
      <c r="H1771" s="11" t="str">
        <f>IF(OR(M1771&lt;=0,N1771&lt;=0),"SKIPPED - NONPOSITIVE",IF(OR(M1771&lt;L1771,N1771&lt;L1771),"SKIPPED - BELOW MIN",IF(OR(M1771&gt;J1771,N1771&gt;K1771),"SKIPPED - EXCEEDS BASE",IF(COUNTIFS($M$1744:M1770,M1771,$N$1744:N1770,N1771)&gt;0,"SKIPPED - DUPLICATE","VALID - GENERATED"))))</f>
        <v>VALID - GENERATED</v>
      </c>
      <c r="I1771" s="10" t="s">
        <v>2056</v>
      </c>
      <c r="J1771" s="12">
        <f>'05-ISO Reference'!$B$23</f>
        <v>176</v>
      </c>
      <c r="K1771" s="12">
        <f>'05-ISO Reference'!$C$23</f>
        <v>250</v>
      </c>
      <c r="L1771" s="12">
        <f>'01-Process Controls'!$G$5</f>
        <v>3</v>
      </c>
      <c r="M1771" s="12">
        <f>ROUNDDOWN(J1771*'04-Variant Rules'!$D$32,0)</f>
        <v>123</v>
      </c>
      <c r="N1771" s="12">
        <f>ROUNDDOWN(K1771*'04-Variant Rules'!$E$32,0)</f>
        <v>175</v>
      </c>
      <c r="O1771" s="9">
        <v>27</v>
      </c>
    </row>
    <row r="1772" spans="1:15" ht="21" customHeight="1">
      <c r="A1772" s="9" t="s">
        <v>2084</v>
      </c>
      <c r="B1772" s="12">
        <f>IF(LEFT(H1772,5)="VALID",M1772,"")</f>
        <v>117</v>
      </c>
      <c r="C1772" s="12">
        <f>IF(LEFT(H1772,5)="VALID",N1772,"")</f>
        <v>166</v>
      </c>
      <c r="D1772" s="10" t="s">
        <v>82</v>
      </c>
      <c r="E1772" s="10" t="s">
        <v>2055</v>
      </c>
      <c r="F1772" s="10" t="s">
        <v>196</v>
      </c>
      <c r="G1772" s="10" t="s">
        <v>186</v>
      </c>
      <c r="H1772" s="11" t="str">
        <f>IF(OR(M1772&lt;=0,N1772&lt;=0),"SKIPPED - NONPOSITIVE",IF(OR(M1772&lt;L1772,N1772&lt;L1772),"SKIPPED - BELOW MIN",IF(OR(M1772&gt;J1772,N1772&gt;K1772),"SKIPPED - EXCEEDS BASE",IF(COUNTIFS($M$1744:M1771,M1772,$N$1744:N1771,N1772)&gt;0,"SKIPPED - DUPLICATE","VALID - GENERATED"))))</f>
        <v>VALID - GENERATED</v>
      </c>
      <c r="I1772" s="10" t="s">
        <v>2056</v>
      </c>
      <c r="J1772" s="12">
        <f>'05-ISO Reference'!$B$23</f>
        <v>176</v>
      </c>
      <c r="K1772" s="12">
        <f>'05-ISO Reference'!$C$23</f>
        <v>250</v>
      </c>
      <c r="L1772" s="12">
        <f>'01-Process Controls'!$G$5</f>
        <v>3</v>
      </c>
      <c r="M1772" s="12">
        <f>ROUNDDOWN(J1772*'04-Variant Rules'!$D$33,0)</f>
        <v>117</v>
      </c>
      <c r="N1772" s="12">
        <f>ROUNDDOWN(K1772*'04-Variant Rules'!$E$33,0)</f>
        <v>166</v>
      </c>
      <c r="O1772" s="9">
        <v>28</v>
      </c>
    </row>
    <row r="1773" spans="1:15" ht="21" customHeight="1">
      <c r="A1773" s="9" t="s">
        <v>2085</v>
      </c>
      <c r="B1773" s="12">
        <f>IF(LEFT(H1773,5)="VALID",M1773,"")</f>
        <v>105</v>
      </c>
      <c r="C1773" s="12">
        <f>IF(LEFT(H1773,5)="VALID",N1773,"")</f>
        <v>150</v>
      </c>
      <c r="D1773" s="10" t="s">
        <v>82</v>
      </c>
      <c r="E1773" s="10" t="s">
        <v>2055</v>
      </c>
      <c r="F1773" s="10" t="s">
        <v>198</v>
      </c>
      <c r="G1773" s="10" t="s">
        <v>186</v>
      </c>
      <c r="H1773" s="11" t="str">
        <f>IF(OR(M1773&lt;=0,N1773&lt;=0),"SKIPPED - NONPOSITIVE",IF(OR(M1773&lt;L1773,N1773&lt;L1773),"SKIPPED - BELOW MIN",IF(OR(M1773&gt;J1773,N1773&gt;K1773),"SKIPPED - EXCEEDS BASE",IF(COUNTIFS($M$1744:M1772,M1773,$N$1744:N1772,N1773)&gt;0,"SKIPPED - DUPLICATE","VALID - GENERATED"))))</f>
        <v>VALID - GENERATED</v>
      </c>
      <c r="I1773" s="10" t="s">
        <v>2056</v>
      </c>
      <c r="J1773" s="12">
        <f>'05-ISO Reference'!$B$23</f>
        <v>176</v>
      </c>
      <c r="K1773" s="12">
        <f>'05-ISO Reference'!$C$23</f>
        <v>250</v>
      </c>
      <c r="L1773" s="12">
        <f>'01-Process Controls'!$G$5</f>
        <v>3</v>
      </c>
      <c r="M1773" s="12">
        <f>ROUNDDOWN(J1773*'04-Variant Rules'!$D$34,0)</f>
        <v>105</v>
      </c>
      <c r="N1773" s="12">
        <f>ROUNDDOWN(K1773*'04-Variant Rules'!$E$34,0)</f>
        <v>150</v>
      </c>
      <c r="O1773" s="9">
        <v>29</v>
      </c>
    </row>
    <row r="1774" spans="1:15" ht="21" customHeight="1">
      <c r="A1774" s="9" t="s">
        <v>2086</v>
      </c>
      <c r="B1774" s="12">
        <f>IF(LEFT(H1774,5)="VALID",M1774,"")</f>
        <v>96</v>
      </c>
      <c r="C1774" s="12">
        <f>IF(LEFT(H1774,5)="VALID",N1774,"")</f>
        <v>137</v>
      </c>
      <c r="D1774" s="10" t="s">
        <v>82</v>
      </c>
      <c r="E1774" s="10" t="s">
        <v>2055</v>
      </c>
      <c r="F1774" s="10" t="s">
        <v>200</v>
      </c>
      <c r="G1774" s="10" t="s">
        <v>186</v>
      </c>
      <c r="H1774" s="11" t="str">
        <f>IF(OR(M1774&lt;=0,N1774&lt;=0),"SKIPPED - NONPOSITIVE",IF(OR(M1774&lt;L1774,N1774&lt;L1774),"SKIPPED - BELOW MIN",IF(OR(M1774&gt;J1774,N1774&gt;K1774),"SKIPPED - EXCEEDS BASE",IF(COUNTIFS($M$1744:M1773,M1774,$N$1744:N1773,N1774)&gt;0,"SKIPPED - DUPLICATE","VALID - GENERATED"))))</f>
        <v>VALID - GENERATED</v>
      </c>
      <c r="I1774" s="10" t="s">
        <v>2056</v>
      </c>
      <c r="J1774" s="12">
        <f>'05-ISO Reference'!$B$23</f>
        <v>176</v>
      </c>
      <c r="K1774" s="12">
        <f>'05-ISO Reference'!$C$23</f>
        <v>250</v>
      </c>
      <c r="L1774" s="12">
        <f>'01-Process Controls'!$G$5</f>
        <v>3</v>
      </c>
      <c r="M1774" s="12">
        <f>ROUNDDOWN(J1774*'04-Variant Rules'!$D$35,0)</f>
        <v>96</v>
      </c>
      <c r="N1774" s="12">
        <f>ROUNDDOWN(K1774*'04-Variant Rules'!$E$35,0)</f>
        <v>137</v>
      </c>
      <c r="O1774" s="9">
        <v>30</v>
      </c>
    </row>
    <row r="1775" spans="1:15" ht="21" customHeight="1">
      <c r="A1775" s="9" t="s">
        <v>2087</v>
      </c>
      <c r="B1775" s="12">
        <f>IF(LEFT(H1775,5)="VALID",M1775,"")</f>
        <v>79</v>
      </c>
      <c r="C1775" s="12">
        <f>IF(LEFT(H1775,5)="VALID",N1775,"")</f>
        <v>112</v>
      </c>
      <c r="D1775" s="10" t="s">
        <v>82</v>
      </c>
      <c r="E1775" s="10" t="s">
        <v>2055</v>
      </c>
      <c r="F1775" s="10" t="s">
        <v>202</v>
      </c>
      <c r="G1775" s="10" t="s">
        <v>186</v>
      </c>
      <c r="H1775" s="11" t="str">
        <f>IF(OR(M1775&lt;=0,N1775&lt;=0),"SKIPPED - NONPOSITIVE",IF(OR(M1775&lt;L1775,N1775&lt;L1775),"SKIPPED - BELOW MIN",IF(OR(M1775&gt;J1775,N1775&gt;K1775),"SKIPPED - EXCEEDS BASE",IF(COUNTIFS($M$1744:M1774,M1775,$N$1744:N1774,N1775)&gt;0,"SKIPPED - DUPLICATE","VALID - GENERATED"))))</f>
        <v>VALID - GENERATED</v>
      </c>
      <c r="I1775" s="10" t="s">
        <v>2056</v>
      </c>
      <c r="J1775" s="12">
        <f>'05-ISO Reference'!$B$23</f>
        <v>176</v>
      </c>
      <c r="K1775" s="12">
        <f>'05-ISO Reference'!$C$23</f>
        <v>250</v>
      </c>
      <c r="L1775" s="12">
        <f>'01-Process Controls'!$G$5</f>
        <v>3</v>
      </c>
      <c r="M1775" s="12">
        <f>ROUNDDOWN(J1775*'04-Variant Rules'!$D$36,0)</f>
        <v>79</v>
      </c>
      <c r="N1775" s="12">
        <f>ROUNDDOWN(K1775*'04-Variant Rules'!$E$36,0)</f>
        <v>112</v>
      </c>
      <c r="O1775" s="9">
        <v>31</v>
      </c>
    </row>
    <row r="1776" spans="1:15" ht="21" customHeight="1">
      <c r="A1776" s="9" t="s">
        <v>2088</v>
      </c>
      <c r="B1776" s="12">
        <f>IF(LEFT(H1776,5)="VALID",M1776,"")</f>
        <v>70</v>
      </c>
      <c r="C1776" s="12">
        <f>IF(LEFT(H1776,5)="VALID",N1776,"")</f>
        <v>100</v>
      </c>
      <c r="D1776" s="10" t="s">
        <v>82</v>
      </c>
      <c r="E1776" s="10" t="s">
        <v>2055</v>
      </c>
      <c r="F1776" s="10" t="s">
        <v>204</v>
      </c>
      <c r="G1776" s="10" t="s">
        <v>186</v>
      </c>
      <c r="H1776" s="11" t="str">
        <f>IF(OR(M1776&lt;=0,N1776&lt;=0),"SKIPPED - NONPOSITIVE",IF(OR(M1776&lt;L1776,N1776&lt;L1776),"SKIPPED - BELOW MIN",IF(OR(M1776&gt;J1776,N1776&gt;K1776),"SKIPPED - EXCEEDS BASE",IF(COUNTIFS($M$1744:M1775,M1776,$N$1744:N1775,N1776)&gt;0,"SKIPPED - DUPLICATE","VALID - GENERATED"))))</f>
        <v>VALID - GENERATED</v>
      </c>
      <c r="I1776" s="10" t="s">
        <v>2056</v>
      </c>
      <c r="J1776" s="12">
        <f>'05-ISO Reference'!$B$23</f>
        <v>176</v>
      </c>
      <c r="K1776" s="12">
        <f>'05-ISO Reference'!$C$23</f>
        <v>250</v>
      </c>
      <c r="L1776" s="12">
        <f>'01-Process Controls'!$G$5</f>
        <v>3</v>
      </c>
      <c r="M1776" s="12">
        <f>ROUNDDOWN(J1776*'04-Variant Rules'!$D$37,0)</f>
        <v>70</v>
      </c>
      <c r="N1776" s="12">
        <f>ROUNDDOWN(K1776*'04-Variant Rules'!$E$37,0)</f>
        <v>100</v>
      </c>
      <c r="O1776" s="9">
        <v>32</v>
      </c>
    </row>
    <row r="1777" spans="1:15" ht="21" customHeight="1">
      <c r="A1777" s="9" t="s">
        <v>2089</v>
      </c>
      <c r="B1777" s="12">
        <f>IF(LEFT(H1777,5)="VALID",M1777,"")</f>
        <v>61</v>
      </c>
      <c r="C1777" s="12">
        <f>IF(LEFT(H1777,5)="VALID",N1777,"")</f>
        <v>87</v>
      </c>
      <c r="D1777" s="10" t="s">
        <v>82</v>
      </c>
      <c r="E1777" s="10" t="s">
        <v>2055</v>
      </c>
      <c r="F1777" s="10" t="s">
        <v>206</v>
      </c>
      <c r="G1777" s="10" t="s">
        <v>186</v>
      </c>
      <c r="H1777" s="11" t="str">
        <f>IF(OR(M1777&lt;=0,N1777&lt;=0),"SKIPPED - NONPOSITIVE",IF(OR(M1777&lt;L1777,N1777&lt;L1777),"SKIPPED - BELOW MIN",IF(OR(M1777&gt;J1777,N1777&gt;K1777),"SKIPPED - EXCEEDS BASE",IF(COUNTIFS($M$1744:M1776,M1777,$N$1744:N1776,N1777)&gt;0,"SKIPPED - DUPLICATE","VALID - GENERATED"))))</f>
        <v>VALID - GENERATED</v>
      </c>
      <c r="I1777" s="10" t="s">
        <v>2056</v>
      </c>
      <c r="J1777" s="12">
        <f>'05-ISO Reference'!$B$23</f>
        <v>176</v>
      </c>
      <c r="K1777" s="12">
        <f>'05-ISO Reference'!$C$23</f>
        <v>250</v>
      </c>
      <c r="L1777" s="12">
        <f>'01-Process Controls'!$G$5</f>
        <v>3</v>
      </c>
      <c r="M1777" s="12">
        <f>ROUNDDOWN(J1777*'04-Variant Rules'!$D$38,0)</f>
        <v>61</v>
      </c>
      <c r="N1777" s="12">
        <f>ROUNDDOWN(K1777*'04-Variant Rules'!$E$38,0)</f>
        <v>87</v>
      </c>
      <c r="O1777" s="9">
        <v>33</v>
      </c>
    </row>
    <row r="1778" spans="1:15" ht="21" customHeight="1">
      <c r="A1778" s="9" t="s">
        <v>2090</v>
      </c>
      <c r="B1778" s="12">
        <f>IF(LEFT(H1778,5)="VALID",M1778,"")</f>
        <v>52</v>
      </c>
      <c r="C1778" s="12">
        <f>IF(LEFT(H1778,5)="VALID",N1778,"")</f>
        <v>75</v>
      </c>
      <c r="D1778" s="10" t="s">
        <v>82</v>
      </c>
      <c r="E1778" s="10" t="s">
        <v>2055</v>
      </c>
      <c r="F1778" s="10" t="s">
        <v>208</v>
      </c>
      <c r="G1778" s="10" t="s">
        <v>186</v>
      </c>
      <c r="H1778" s="11" t="str">
        <f>IF(OR(M1778&lt;=0,N1778&lt;=0),"SKIPPED - NONPOSITIVE",IF(OR(M1778&lt;L1778,N1778&lt;L1778),"SKIPPED - BELOW MIN",IF(OR(M1778&gt;J1778,N1778&gt;K1778),"SKIPPED - EXCEEDS BASE",IF(COUNTIFS($M$1744:M1777,M1778,$N$1744:N1777,N1778)&gt;0,"SKIPPED - DUPLICATE","VALID - GENERATED"))))</f>
        <v>VALID - GENERATED</v>
      </c>
      <c r="I1778" s="10" t="s">
        <v>2056</v>
      </c>
      <c r="J1778" s="12">
        <f>'05-ISO Reference'!$B$23</f>
        <v>176</v>
      </c>
      <c r="K1778" s="12">
        <f>'05-ISO Reference'!$C$23</f>
        <v>250</v>
      </c>
      <c r="L1778" s="12">
        <f>'01-Process Controls'!$G$5</f>
        <v>3</v>
      </c>
      <c r="M1778" s="12">
        <f>ROUNDDOWN(J1778*'04-Variant Rules'!$D$39,0)</f>
        <v>52</v>
      </c>
      <c r="N1778" s="12">
        <f>ROUNDDOWN(K1778*'04-Variant Rules'!$E$39,0)</f>
        <v>75</v>
      </c>
      <c r="O1778" s="9">
        <v>34</v>
      </c>
    </row>
    <row r="1779" spans="1:15" ht="21" customHeight="1">
      <c r="A1779" s="9" t="s">
        <v>2091</v>
      </c>
      <c r="B1779" s="12">
        <f>IF(LEFT(H1779,5)="VALID",M1779,"")</f>
        <v>35</v>
      </c>
      <c r="C1779" s="12">
        <f>IF(LEFT(H1779,5)="VALID",N1779,"")</f>
        <v>50</v>
      </c>
      <c r="D1779" s="10" t="s">
        <v>82</v>
      </c>
      <c r="E1779" s="10" t="s">
        <v>2055</v>
      </c>
      <c r="F1779" s="10" t="s">
        <v>210</v>
      </c>
      <c r="G1779" s="10" t="s">
        <v>186</v>
      </c>
      <c r="H1779" s="11" t="str">
        <f>IF(OR(M1779&lt;=0,N1779&lt;=0),"SKIPPED - NONPOSITIVE",IF(OR(M1779&lt;L1779,N1779&lt;L1779),"SKIPPED - BELOW MIN",IF(OR(M1779&gt;J1779,N1779&gt;K1779),"SKIPPED - EXCEEDS BASE",IF(COUNTIFS($M$1744:M1778,M1779,$N$1744:N1778,N1779)&gt;0,"SKIPPED - DUPLICATE","VALID - GENERATED"))))</f>
        <v>VALID - GENERATED</v>
      </c>
      <c r="I1779" s="10" t="s">
        <v>2056</v>
      </c>
      <c r="J1779" s="12">
        <f>'05-ISO Reference'!$B$23</f>
        <v>176</v>
      </c>
      <c r="K1779" s="12">
        <f>'05-ISO Reference'!$C$23</f>
        <v>250</v>
      </c>
      <c r="L1779" s="12">
        <f>'01-Process Controls'!$G$5</f>
        <v>3</v>
      </c>
      <c r="M1779" s="12">
        <f>ROUNDDOWN(J1779*'04-Variant Rules'!$D$40,0)</f>
        <v>35</v>
      </c>
      <c r="N1779" s="12">
        <f>ROUNDDOWN(K1779*'04-Variant Rules'!$E$40,0)</f>
        <v>50</v>
      </c>
      <c r="O1779" s="9">
        <v>35</v>
      </c>
    </row>
    <row r="1780" spans="1:15" ht="21" customHeight="1">
      <c r="A1780" s="9" t="s">
        <v>2092</v>
      </c>
      <c r="B1780" s="12">
        <f>IF(LEFT(H1780,5)="VALID",M1780,"")</f>
        <v>26</v>
      </c>
      <c r="C1780" s="12">
        <f>IF(LEFT(H1780,5)="VALID",N1780,"")</f>
        <v>37</v>
      </c>
      <c r="D1780" s="10" t="s">
        <v>82</v>
      </c>
      <c r="E1780" s="10" t="s">
        <v>2055</v>
      </c>
      <c r="F1780" s="10" t="s">
        <v>212</v>
      </c>
      <c r="G1780" s="10" t="s">
        <v>213</v>
      </c>
      <c r="H1780" s="11" t="str">
        <f>IF(OR(M1780&lt;=0,N1780&lt;=0),"SKIPPED - NONPOSITIVE",IF(OR(M1780&lt;L1780,N1780&lt;L1780),"SKIPPED - BELOW MIN",IF(OR(M1780&gt;J1780,N1780&gt;K1780),"SKIPPED - EXCEEDS BASE",IF(COUNTIFS($M$1744:M1779,M1780,$N$1744:N1779,N1780)&gt;0,"SKIPPED - DUPLICATE","VALID - GENERATED"))))</f>
        <v>VALID - GENERATED</v>
      </c>
      <c r="I1780" s="10" t="s">
        <v>2056</v>
      </c>
      <c r="J1780" s="12">
        <f>'05-ISO Reference'!$B$23</f>
        <v>176</v>
      </c>
      <c r="K1780" s="12">
        <f>'05-ISO Reference'!$C$23</f>
        <v>250</v>
      </c>
      <c r="L1780" s="12">
        <f>'01-Process Controls'!$G$5</f>
        <v>3</v>
      </c>
      <c r="M1780" s="12">
        <f>ROUNDDOWN(J1780*'04-Variant Rules'!$D$41,0)</f>
        <v>26</v>
      </c>
      <c r="N1780" s="12">
        <f>ROUNDDOWN(K1780*'04-Variant Rules'!$E$41,0)</f>
        <v>37</v>
      </c>
      <c r="O1780" s="9">
        <v>36</v>
      </c>
    </row>
    <row r="1781" spans="1:15" ht="21" customHeight="1">
      <c r="A1781" s="9" t="s">
        <v>2093</v>
      </c>
      <c r="B1781" s="12">
        <f>IF(LEFT(H1781,5)="VALID",M1781,"")</f>
        <v>176</v>
      </c>
      <c r="C1781" s="12">
        <f>IF(LEFT(H1781,5)="VALID",N1781,"")</f>
        <v>176</v>
      </c>
      <c r="D1781" s="10" t="s">
        <v>82</v>
      </c>
      <c r="E1781" s="10" t="s">
        <v>2055</v>
      </c>
      <c r="F1781" s="10" t="s">
        <v>215</v>
      </c>
      <c r="G1781" s="10" t="s">
        <v>216</v>
      </c>
      <c r="H1781" s="11" t="str">
        <f>IF(OR(M1781&lt;=0,N1781&lt;=0),"SKIPPED - NONPOSITIVE",IF(OR(M1781&lt;L1781,N1781&lt;L1781),"SKIPPED - BELOW MIN",IF(OR(M1781&gt;J1781,N1781&gt;K1781),"SKIPPED - EXCEEDS BASE",IF(COUNTIFS($M$1744:M1780,M1781,$N$1744:N1780,N1781)&gt;0,"SKIPPED - DUPLICATE","VALID - GENERATED"))))</f>
        <v>VALID - GENERATED</v>
      </c>
      <c r="I1781" s="10" t="s">
        <v>2056</v>
      </c>
      <c r="J1781" s="12">
        <f>'05-ISO Reference'!$B$23</f>
        <v>176</v>
      </c>
      <c r="K1781" s="12">
        <f>'05-ISO Reference'!$C$23</f>
        <v>250</v>
      </c>
      <c r="L1781" s="12">
        <f>'01-Process Controls'!$G$5</f>
        <v>3</v>
      </c>
      <c r="M1781" s="12">
        <f>ROUNDDOWN(MIN(J1781,K1781)*'04-Variant Rules'!$D$42,0)</f>
        <v>176</v>
      </c>
      <c r="N1781" s="12">
        <f>ROUNDDOWN(MIN(J1781,K1781)*'04-Variant Rules'!$D$42,0)</f>
        <v>176</v>
      </c>
      <c r="O1781" s="9">
        <v>37</v>
      </c>
    </row>
    <row r="1782" spans="1:15" ht="21" customHeight="1">
      <c r="A1782" s="9" t="s">
        <v>2094</v>
      </c>
      <c r="B1782" s="12">
        <f>IF(LEFT(H1782,5)="VALID",M1782,"")</f>
        <v>158</v>
      </c>
      <c r="C1782" s="12">
        <f>IF(LEFT(H1782,5)="VALID",N1782,"")</f>
        <v>158</v>
      </c>
      <c r="D1782" s="10" t="s">
        <v>82</v>
      </c>
      <c r="E1782" s="10" t="s">
        <v>2055</v>
      </c>
      <c r="F1782" s="10" t="s">
        <v>218</v>
      </c>
      <c r="G1782" s="10" t="s">
        <v>219</v>
      </c>
      <c r="H1782" s="11" t="str">
        <f>IF(OR(M1782&lt;=0,N1782&lt;=0),"SKIPPED - NONPOSITIVE",IF(OR(M1782&lt;L1782,N1782&lt;L1782),"SKIPPED - BELOW MIN",IF(OR(M1782&gt;J1782,N1782&gt;K1782),"SKIPPED - EXCEEDS BASE",IF(COUNTIFS($M$1744:M1781,M1782,$N$1744:N1781,N1782)&gt;0,"SKIPPED - DUPLICATE","VALID - GENERATED"))))</f>
        <v>VALID - GENERATED</v>
      </c>
      <c r="I1782" s="10" t="s">
        <v>2056</v>
      </c>
      <c r="J1782" s="12">
        <f>'05-ISO Reference'!$B$23</f>
        <v>176</v>
      </c>
      <c r="K1782" s="12">
        <f>'05-ISO Reference'!$C$23</f>
        <v>250</v>
      </c>
      <c r="L1782" s="12">
        <f>'01-Process Controls'!$G$5</f>
        <v>3</v>
      </c>
      <c r="M1782" s="12">
        <f>ROUNDDOWN(MIN(J1782,K1782)*'04-Variant Rules'!$D$43,0)</f>
        <v>158</v>
      </c>
      <c r="N1782" s="12">
        <f>ROUNDDOWN(MIN(J1782,K1782)*'04-Variant Rules'!$D$43,0)</f>
        <v>158</v>
      </c>
      <c r="O1782" s="9">
        <v>38</v>
      </c>
    </row>
    <row r="1783" spans="1:15" ht="21" customHeight="1">
      <c r="A1783" s="9" t="s">
        <v>2095</v>
      </c>
      <c r="B1783" s="12">
        <f>IF(LEFT(H1783,5)="VALID",M1783,"")</f>
        <v>140</v>
      </c>
      <c r="C1783" s="12">
        <f>IF(LEFT(H1783,5)="VALID",N1783,"")</f>
        <v>140</v>
      </c>
      <c r="D1783" s="10" t="s">
        <v>82</v>
      </c>
      <c r="E1783" s="10" t="s">
        <v>2055</v>
      </c>
      <c r="F1783" s="10" t="s">
        <v>221</v>
      </c>
      <c r="G1783" s="10" t="s">
        <v>219</v>
      </c>
      <c r="H1783" s="11" t="str">
        <f>IF(OR(M1783&lt;=0,N1783&lt;=0),"SKIPPED - NONPOSITIVE",IF(OR(M1783&lt;L1783,N1783&lt;L1783),"SKIPPED - BELOW MIN",IF(OR(M1783&gt;J1783,N1783&gt;K1783),"SKIPPED - EXCEEDS BASE",IF(COUNTIFS($M$1744:M1782,M1783,$N$1744:N1782,N1783)&gt;0,"SKIPPED - DUPLICATE","VALID - GENERATED"))))</f>
        <v>VALID - GENERATED</v>
      </c>
      <c r="I1783" s="10" t="s">
        <v>2056</v>
      </c>
      <c r="J1783" s="12">
        <f>'05-ISO Reference'!$B$23</f>
        <v>176</v>
      </c>
      <c r="K1783" s="12">
        <f>'05-ISO Reference'!$C$23</f>
        <v>250</v>
      </c>
      <c r="L1783" s="12">
        <f>'01-Process Controls'!$G$5</f>
        <v>3</v>
      </c>
      <c r="M1783" s="12">
        <f>ROUNDDOWN(MIN(J1783,K1783)*'04-Variant Rules'!$D$44,0)</f>
        <v>140</v>
      </c>
      <c r="N1783" s="12">
        <f>ROUNDDOWN(MIN(J1783,K1783)*'04-Variant Rules'!$D$44,0)</f>
        <v>140</v>
      </c>
      <c r="O1783" s="9">
        <v>39</v>
      </c>
    </row>
    <row r="1784" spans="1:15" ht="21" customHeight="1">
      <c r="A1784" s="9" t="s">
        <v>2096</v>
      </c>
      <c r="B1784" s="12">
        <f>IF(LEFT(H1784,5)="VALID",M1784,"")</f>
        <v>132</v>
      </c>
      <c r="C1784" s="12">
        <f>IF(LEFT(H1784,5)="VALID",N1784,"")</f>
        <v>132</v>
      </c>
      <c r="D1784" s="10" t="s">
        <v>82</v>
      </c>
      <c r="E1784" s="10" t="s">
        <v>2055</v>
      </c>
      <c r="F1784" s="10" t="s">
        <v>223</v>
      </c>
      <c r="G1784" s="10" t="s">
        <v>219</v>
      </c>
      <c r="H1784" s="11" t="str">
        <f>IF(OR(M1784&lt;=0,N1784&lt;=0),"SKIPPED - NONPOSITIVE",IF(OR(M1784&lt;L1784,N1784&lt;L1784),"SKIPPED - BELOW MIN",IF(OR(M1784&gt;J1784,N1784&gt;K1784),"SKIPPED - EXCEEDS BASE",IF(COUNTIFS($M$1744:M1783,M1784,$N$1744:N1783,N1784)&gt;0,"SKIPPED - DUPLICATE","VALID - GENERATED"))))</f>
        <v>VALID - GENERATED</v>
      </c>
      <c r="I1784" s="10" t="s">
        <v>2056</v>
      </c>
      <c r="J1784" s="12">
        <f>'05-ISO Reference'!$B$23</f>
        <v>176</v>
      </c>
      <c r="K1784" s="12">
        <f>'05-ISO Reference'!$C$23</f>
        <v>250</v>
      </c>
      <c r="L1784" s="12">
        <f>'01-Process Controls'!$G$5</f>
        <v>3</v>
      </c>
      <c r="M1784" s="12">
        <f>ROUNDDOWN(MIN(J1784,K1784)*'04-Variant Rules'!$D$45,0)</f>
        <v>132</v>
      </c>
      <c r="N1784" s="12">
        <f>ROUNDDOWN(MIN(J1784,K1784)*'04-Variant Rules'!$D$45,0)</f>
        <v>132</v>
      </c>
      <c r="O1784" s="9">
        <v>40</v>
      </c>
    </row>
    <row r="1785" spans="1:15" ht="21" customHeight="1">
      <c r="A1785" s="9" t="s">
        <v>2097</v>
      </c>
      <c r="B1785" s="12">
        <f>IF(LEFT(H1785,5)="VALID",M1785,"")</f>
        <v>117</v>
      </c>
      <c r="C1785" s="12">
        <f>IF(LEFT(H1785,5)="VALID",N1785,"")</f>
        <v>117</v>
      </c>
      <c r="D1785" s="10" t="s">
        <v>82</v>
      </c>
      <c r="E1785" s="10" t="s">
        <v>2055</v>
      </c>
      <c r="F1785" s="10" t="s">
        <v>225</v>
      </c>
      <c r="G1785" s="10" t="s">
        <v>219</v>
      </c>
      <c r="H1785" s="11" t="str">
        <f>IF(OR(M1785&lt;=0,N1785&lt;=0),"SKIPPED - NONPOSITIVE",IF(OR(M1785&lt;L1785,N1785&lt;L1785),"SKIPPED - BELOW MIN",IF(OR(M1785&gt;J1785,N1785&gt;K1785),"SKIPPED - EXCEEDS BASE",IF(COUNTIFS($M$1744:M1784,M1785,$N$1744:N1784,N1785)&gt;0,"SKIPPED - DUPLICATE","VALID - GENERATED"))))</f>
        <v>VALID - GENERATED</v>
      </c>
      <c r="I1785" s="10" t="s">
        <v>2056</v>
      </c>
      <c r="J1785" s="12">
        <f>'05-ISO Reference'!$B$23</f>
        <v>176</v>
      </c>
      <c r="K1785" s="12">
        <f>'05-ISO Reference'!$C$23</f>
        <v>250</v>
      </c>
      <c r="L1785" s="12">
        <f>'01-Process Controls'!$G$5</f>
        <v>3</v>
      </c>
      <c r="M1785" s="12">
        <f>ROUNDDOWN(MIN(J1785,K1785)*'04-Variant Rules'!$D$46,0)</f>
        <v>117</v>
      </c>
      <c r="N1785" s="12">
        <f>ROUNDDOWN(MIN(J1785,K1785)*'04-Variant Rules'!$D$46,0)</f>
        <v>117</v>
      </c>
      <c r="O1785" s="9">
        <v>41</v>
      </c>
    </row>
    <row r="1786" spans="1:15" ht="21" customHeight="1">
      <c r="A1786" s="9" t="s">
        <v>2098</v>
      </c>
      <c r="B1786" s="12">
        <f>IF(LEFT(H1786,5)="VALID",M1786,"")</f>
        <v>105</v>
      </c>
      <c r="C1786" s="12">
        <f>IF(LEFT(H1786,5)="VALID",N1786,"")</f>
        <v>105</v>
      </c>
      <c r="D1786" s="10" t="s">
        <v>82</v>
      </c>
      <c r="E1786" s="10" t="s">
        <v>2055</v>
      </c>
      <c r="F1786" s="10" t="s">
        <v>227</v>
      </c>
      <c r="G1786" s="10" t="s">
        <v>219</v>
      </c>
      <c r="H1786" s="11" t="str">
        <f>IF(OR(M1786&lt;=0,N1786&lt;=0),"SKIPPED - NONPOSITIVE",IF(OR(M1786&lt;L1786,N1786&lt;L1786),"SKIPPED - BELOW MIN",IF(OR(M1786&gt;J1786,N1786&gt;K1786),"SKIPPED - EXCEEDS BASE",IF(COUNTIFS($M$1744:M1785,M1786,$N$1744:N1785,N1786)&gt;0,"SKIPPED - DUPLICATE","VALID - GENERATED"))))</f>
        <v>VALID - GENERATED</v>
      </c>
      <c r="I1786" s="10" t="s">
        <v>2056</v>
      </c>
      <c r="J1786" s="12">
        <f>'05-ISO Reference'!$B$23</f>
        <v>176</v>
      </c>
      <c r="K1786" s="12">
        <f>'05-ISO Reference'!$C$23</f>
        <v>250</v>
      </c>
      <c r="L1786" s="12">
        <f>'01-Process Controls'!$G$5</f>
        <v>3</v>
      </c>
      <c r="M1786" s="12">
        <f>ROUNDDOWN(MIN(J1786,K1786)*'04-Variant Rules'!$D$47,0)</f>
        <v>105</v>
      </c>
      <c r="N1786" s="12">
        <f>ROUNDDOWN(MIN(J1786,K1786)*'04-Variant Rules'!$D$47,0)</f>
        <v>105</v>
      </c>
      <c r="O1786" s="9">
        <v>42</v>
      </c>
    </row>
    <row r="1787" spans="1:15" ht="21" customHeight="1">
      <c r="A1787" s="9" t="s">
        <v>2099</v>
      </c>
      <c r="B1787" s="12">
        <f>IF(LEFT(H1787,5)="VALID",M1787,"")</f>
        <v>88</v>
      </c>
      <c r="C1787" s="12">
        <f>IF(LEFT(H1787,5)="VALID",N1787,"")</f>
        <v>88</v>
      </c>
      <c r="D1787" s="10" t="s">
        <v>82</v>
      </c>
      <c r="E1787" s="10" t="s">
        <v>2055</v>
      </c>
      <c r="F1787" s="10" t="s">
        <v>229</v>
      </c>
      <c r="G1787" s="10" t="s">
        <v>219</v>
      </c>
      <c r="H1787" s="11" t="str">
        <f>IF(OR(M1787&lt;=0,N1787&lt;=0),"SKIPPED - NONPOSITIVE",IF(OR(M1787&lt;L1787,N1787&lt;L1787),"SKIPPED - BELOW MIN",IF(OR(M1787&gt;J1787,N1787&gt;K1787),"SKIPPED - EXCEEDS BASE",IF(COUNTIFS($M$1744:M1786,M1787,$N$1744:N1786,N1787)&gt;0,"SKIPPED - DUPLICATE","VALID - GENERATED"))))</f>
        <v>VALID - GENERATED</v>
      </c>
      <c r="I1787" s="10" t="s">
        <v>2056</v>
      </c>
      <c r="J1787" s="12">
        <f>'05-ISO Reference'!$B$23</f>
        <v>176</v>
      </c>
      <c r="K1787" s="12">
        <f>'05-ISO Reference'!$C$23</f>
        <v>250</v>
      </c>
      <c r="L1787" s="12">
        <f>'01-Process Controls'!$G$5</f>
        <v>3</v>
      </c>
      <c r="M1787" s="12">
        <f>ROUNDDOWN(MIN(J1787,K1787)*'04-Variant Rules'!$D$48,0)</f>
        <v>88</v>
      </c>
      <c r="N1787" s="12">
        <f>ROUNDDOWN(MIN(J1787,K1787)*'04-Variant Rules'!$D$48,0)</f>
        <v>88</v>
      </c>
      <c r="O1787" s="9">
        <v>43</v>
      </c>
    </row>
    <row r="1788" spans="1:15" ht="21" customHeight="1">
      <c r="A1788" s="9" t="s">
        <v>2100</v>
      </c>
      <c r="B1788" s="12">
        <f>IF(LEFT(H1788,5)="VALID",M1788,"")</f>
        <v>70</v>
      </c>
      <c r="C1788" s="12">
        <f>IF(LEFT(H1788,5)="VALID",N1788,"")</f>
        <v>70</v>
      </c>
      <c r="D1788" s="10" t="s">
        <v>82</v>
      </c>
      <c r="E1788" s="10" t="s">
        <v>2055</v>
      </c>
      <c r="F1788" s="10" t="s">
        <v>231</v>
      </c>
      <c r="G1788" s="10" t="s">
        <v>219</v>
      </c>
      <c r="H1788" s="11" t="str">
        <f>IF(OR(M1788&lt;=0,N1788&lt;=0),"SKIPPED - NONPOSITIVE",IF(OR(M1788&lt;L1788,N1788&lt;L1788),"SKIPPED - BELOW MIN",IF(OR(M1788&gt;J1788,N1788&gt;K1788),"SKIPPED - EXCEEDS BASE",IF(COUNTIFS($M$1744:M1787,M1788,$N$1744:N1787,N1788)&gt;0,"SKIPPED - DUPLICATE","VALID - GENERATED"))))</f>
        <v>VALID - GENERATED</v>
      </c>
      <c r="I1788" s="10" t="s">
        <v>2056</v>
      </c>
      <c r="J1788" s="12">
        <f>'05-ISO Reference'!$B$23</f>
        <v>176</v>
      </c>
      <c r="K1788" s="12">
        <f>'05-ISO Reference'!$C$23</f>
        <v>250</v>
      </c>
      <c r="L1788" s="12">
        <f>'01-Process Controls'!$G$5</f>
        <v>3</v>
      </c>
      <c r="M1788" s="12">
        <f>ROUNDDOWN(MIN(J1788,K1788)*'04-Variant Rules'!$D$49,0)</f>
        <v>70</v>
      </c>
      <c r="N1788" s="12">
        <f>ROUNDDOWN(MIN(J1788,K1788)*'04-Variant Rules'!$D$49,0)</f>
        <v>70</v>
      </c>
      <c r="O1788" s="9">
        <v>44</v>
      </c>
    </row>
    <row r="1789" spans="1:15" ht="21" customHeight="1">
      <c r="A1789" s="9" t="s">
        <v>2101</v>
      </c>
      <c r="B1789" s="12">
        <f>IF(LEFT(H1789,5)="VALID",M1789,"")</f>
        <v>58</v>
      </c>
      <c r="C1789" s="12">
        <f>IF(LEFT(H1789,5)="VALID",N1789,"")</f>
        <v>58</v>
      </c>
      <c r="D1789" s="10" t="s">
        <v>82</v>
      </c>
      <c r="E1789" s="10" t="s">
        <v>2055</v>
      </c>
      <c r="F1789" s="10" t="s">
        <v>233</v>
      </c>
      <c r="G1789" s="10" t="s">
        <v>219</v>
      </c>
      <c r="H1789" s="11" t="str">
        <f>IF(OR(M1789&lt;=0,N1789&lt;=0),"SKIPPED - NONPOSITIVE",IF(OR(M1789&lt;L1789,N1789&lt;L1789),"SKIPPED - BELOW MIN",IF(OR(M1789&gt;J1789,N1789&gt;K1789),"SKIPPED - EXCEEDS BASE",IF(COUNTIFS($M$1744:M1788,M1789,$N$1744:N1788,N1789)&gt;0,"SKIPPED - DUPLICATE","VALID - GENERATED"))))</f>
        <v>VALID - GENERATED</v>
      </c>
      <c r="I1789" s="10" t="s">
        <v>2056</v>
      </c>
      <c r="J1789" s="12">
        <f>'05-ISO Reference'!$B$23</f>
        <v>176</v>
      </c>
      <c r="K1789" s="12">
        <f>'05-ISO Reference'!$C$23</f>
        <v>250</v>
      </c>
      <c r="L1789" s="12">
        <f>'01-Process Controls'!$G$5</f>
        <v>3</v>
      </c>
      <c r="M1789" s="12">
        <f>ROUNDDOWN(MIN(J1789,K1789)*'04-Variant Rules'!$D$50,0)</f>
        <v>58</v>
      </c>
      <c r="N1789" s="12">
        <f>ROUNDDOWN(MIN(J1789,K1789)*'04-Variant Rules'!$D$50,0)</f>
        <v>58</v>
      </c>
      <c r="O1789" s="9">
        <v>45</v>
      </c>
    </row>
    <row r="1790" spans="1:15" ht="21" customHeight="1">
      <c r="A1790" s="9" t="s">
        <v>2102</v>
      </c>
      <c r="B1790" s="12">
        <f>IF(LEFT(H1790,5)="VALID",M1790,"")</f>
        <v>44</v>
      </c>
      <c r="C1790" s="12">
        <f>IF(LEFT(H1790,5)="VALID",N1790,"")</f>
        <v>44</v>
      </c>
      <c r="D1790" s="10" t="s">
        <v>82</v>
      </c>
      <c r="E1790" s="10" t="s">
        <v>2055</v>
      </c>
      <c r="F1790" s="10" t="s">
        <v>235</v>
      </c>
      <c r="G1790" s="10" t="s">
        <v>219</v>
      </c>
      <c r="H1790" s="11" t="str">
        <f>IF(OR(M1790&lt;=0,N1790&lt;=0),"SKIPPED - NONPOSITIVE",IF(OR(M1790&lt;L1790,N1790&lt;L1790),"SKIPPED - BELOW MIN",IF(OR(M1790&gt;J1790,N1790&gt;K1790),"SKIPPED - EXCEEDS BASE",IF(COUNTIFS($M$1744:M1789,M1790,$N$1744:N1789,N1790)&gt;0,"SKIPPED - DUPLICATE","VALID - GENERATED"))))</f>
        <v>VALID - GENERATED</v>
      </c>
      <c r="I1790" s="10" t="s">
        <v>2056</v>
      </c>
      <c r="J1790" s="12">
        <f>'05-ISO Reference'!$B$23</f>
        <v>176</v>
      </c>
      <c r="K1790" s="12">
        <f>'05-ISO Reference'!$C$23</f>
        <v>250</v>
      </c>
      <c r="L1790" s="12">
        <f>'01-Process Controls'!$G$5</f>
        <v>3</v>
      </c>
      <c r="M1790" s="12">
        <f>ROUNDDOWN(MIN(J1790,K1790)*'04-Variant Rules'!$D$51,0)</f>
        <v>44</v>
      </c>
      <c r="N1790" s="12">
        <f>ROUNDDOWN(MIN(J1790,K1790)*'04-Variant Rules'!$D$51,0)</f>
        <v>44</v>
      </c>
      <c r="O1790" s="9">
        <v>46</v>
      </c>
    </row>
    <row r="1791" spans="1:15" ht="21" customHeight="1">
      <c r="A1791" s="9" t="s">
        <v>2103</v>
      </c>
      <c r="B1791" s="12">
        <f>IF(LEFT(H1791,5)="VALID",M1791,"")</f>
        <v>35</v>
      </c>
      <c r="C1791" s="12">
        <f>IF(LEFT(H1791,5)="VALID",N1791,"")</f>
        <v>35</v>
      </c>
      <c r="D1791" s="10" t="s">
        <v>82</v>
      </c>
      <c r="E1791" s="10" t="s">
        <v>2055</v>
      </c>
      <c r="F1791" s="10" t="s">
        <v>237</v>
      </c>
      <c r="G1791" s="10" t="s">
        <v>219</v>
      </c>
      <c r="H1791" s="11" t="str">
        <f>IF(OR(M1791&lt;=0,N1791&lt;=0),"SKIPPED - NONPOSITIVE",IF(OR(M1791&lt;L1791,N1791&lt;L1791),"SKIPPED - BELOW MIN",IF(OR(M1791&gt;J1791,N1791&gt;K1791),"SKIPPED - EXCEEDS BASE",IF(COUNTIFS($M$1744:M1790,M1791,$N$1744:N1790,N1791)&gt;0,"SKIPPED - DUPLICATE","VALID - GENERATED"))))</f>
        <v>VALID - GENERATED</v>
      </c>
      <c r="I1791" s="10" t="s">
        <v>2056</v>
      </c>
      <c r="J1791" s="12">
        <f>'05-ISO Reference'!$B$23</f>
        <v>176</v>
      </c>
      <c r="K1791" s="12">
        <f>'05-ISO Reference'!$C$23</f>
        <v>250</v>
      </c>
      <c r="L1791" s="12">
        <f>'01-Process Controls'!$G$5</f>
        <v>3</v>
      </c>
      <c r="M1791" s="12">
        <f>ROUNDDOWN(MIN(J1791,K1791)*'04-Variant Rules'!$D$52,0)</f>
        <v>35</v>
      </c>
      <c r="N1791" s="12">
        <f>ROUNDDOWN(MIN(J1791,K1791)*'04-Variant Rules'!$D$52,0)</f>
        <v>35</v>
      </c>
      <c r="O1791" s="9">
        <v>47</v>
      </c>
    </row>
    <row r="1792" spans="1:15" ht="21" customHeight="1">
      <c r="A1792" s="9" t="s">
        <v>2104</v>
      </c>
      <c r="B1792" s="12">
        <f>IF(LEFT(H1792,5)="VALID",M1792,"")</f>
        <v>176</v>
      </c>
      <c r="C1792" s="12">
        <f>IF(LEFT(H1792,5)="VALID",N1792,"")</f>
        <v>132</v>
      </c>
      <c r="D1792" s="10" t="s">
        <v>82</v>
      </c>
      <c r="E1792" s="10" t="s">
        <v>2055</v>
      </c>
      <c r="F1792" s="10" t="s">
        <v>239</v>
      </c>
      <c r="G1792" s="10" t="s">
        <v>240</v>
      </c>
      <c r="H1792" s="11" t="str">
        <f>IF(OR(M1792&lt;=0,N1792&lt;=0),"SKIPPED - NONPOSITIVE",IF(OR(M1792&lt;L1792,N1792&lt;L1792),"SKIPPED - BELOW MIN",IF(OR(M1792&gt;J1792,N1792&gt;K1792),"SKIPPED - EXCEEDS BASE",IF(COUNTIFS($M$1744:M1791,M1792,$N$1744:N1791,N1792)&gt;0,"SKIPPED - DUPLICATE","VALID - GENERATED"))))</f>
        <v>VALID - GENERATED</v>
      </c>
      <c r="I1792" s="10" t="s">
        <v>2056</v>
      </c>
      <c r="J1792" s="12">
        <f>'05-ISO Reference'!$B$23</f>
        <v>176</v>
      </c>
      <c r="K1792" s="12">
        <f>'05-ISO Reference'!$C$23</f>
        <v>250</v>
      </c>
      <c r="L1792" s="12">
        <f>'01-Process Controls'!$G$5</f>
        <v>3</v>
      </c>
      <c r="M1792" s="12">
        <f>ROUNDDOWN(MIN(J1792,K1792*'04-Variant Rules'!$D$53),0)</f>
        <v>176</v>
      </c>
      <c r="N1792" s="12">
        <f>ROUNDDOWN(M1792/'04-Variant Rules'!$D$53,0)</f>
        <v>132</v>
      </c>
      <c r="O1792" s="9">
        <v>48</v>
      </c>
    </row>
    <row r="1793" spans="1:15" ht="21" customHeight="1">
      <c r="A1793" s="9" t="s">
        <v>2105</v>
      </c>
      <c r="B1793" s="12">
        <f>IF(LEFT(H1793,5)="VALID",M1793,"")</f>
        <v>176</v>
      </c>
      <c r="C1793" s="12">
        <f>IF(LEFT(H1793,5)="VALID",N1793,"")</f>
        <v>234</v>
      </c>
      <c r="D1793" s="10" t="s">
        <v>82</v>
      </c>
      <c r="E1793" s="10" t="s">
        <v>2055</v>
      </c>
      <c r="F1793" s="10" t="s">
        <v>242</v>
      </c>
      <c r="G1793" s="10" t="s">
        <v>243</v>
      </c>
      <c r="H1793" s="11" t="str">
        <f>IF(OR(M1793&lt;=0,N1793&lt;=0),"SKIPPED - NONPOSITIVE",IF(OR(M1793&lt;L1793,N1793&lt;L1793),"SKIPPED - BELOW MIN",IF(OR(M1793&gt;J1793,N1793&gt;K1793),"SKIPPED - EXCEEDS BASE",IF(COUNTIFS($M$1744:M1792,M1793,$N$1744:N1792,N1793)&gt;0,"SKIPPED - DUPLICATE","VALID - GENERATED"))))</f>
        <v>VALID - GENERATED</v>
      </c>
      <c r="I1793" s="10" t="s">
        <v>2056</v>
      </c>
      <c r="J1793" s="12">
        <f>'05-ISO Reference'!$B$23</f>
        <v>176</v>
      </c>
      <c r="K1793" s="12">
        <f>'05-ISO Reference'!$C$23</f>
        <v>250</v>
      </c>
      <c r="L1793" s="12">
        <f>'01-Process Controls'!$G$5</f>
        <v>3</v>
      </c>
      <c r="M1793" s="12">
        <f>ROUNDDOWN(MIN(J1793,K1793*'04-Variant Rules'!$D$54),0)</f>
        <v>176</v>
      </c>
      <c r="N1793" s="12">
        <f>ROUNDDOWN(M1793/'04-Variant Rules'!$D$54,0)</f>
        <v>234</v>
      </c>
      <c r="O1793" s="9">
        <v>49</v>
      </c>
    </row>
    <row r="1794" spans="1:15" ht="21" customHeight="1">
      <c r="A1794" s="9" t="s">
        <v>2106</v>
      </c>
      <c r="B1794" s="12">
        <f>IF(LEFT(H1794,5)="VALID",M1794,"")</f>
        <v>176</v>
      </c>
      <c r="C1794" s="12">
        <f>IF(LEFT(H1794,5)="VALID",N1794,"")</f>
        <v>117</v>
      </c>
      <c r="D1794" s="10" t="s">
        <v>82</v>
      </c>
      <c r="E1794" s="10" t="s">
        <v>2055</v>
      </c>
      <c r="F1794" s="10" t="s">
        <v>245</v>
      </c>
      <c r="G1794" s="10" t="s">
        <v>246</v>
      </c>
      <c r="H1794" s="11" t="str">
        <f>IF(OR(M1794&lt;=0,N1794&lt;=0),"SKIPPED - NONPOSITIVE",IF(OR(M1794&lt;L1794,N1794&lt;L1794),"SKIPPED - BELOW MIN",IF(OR(M1794&gt;J1794,N1794&gt;K1794),"SKIPPED - EXCEEDS BASE",IF(COUNTIFS($M$1744:M1793,M1794,$N$1744:N1793,N1794)&gt;0,"SKIPPED - DUPLICATE","VALID - GENERATED"))))</f>
        <v>VALID - GENERATED</v>
      </c>
      <c r="I1794" s="10" t="s">
        <v>2056</v>
      </c>
      <c r="J1794" s="12">
        <f>'05-ISO Reference'!$B$23</f>
        <v>176</v>
      </c>
      <c r="K1794" s="12">
        <f>'05-ISO Reference'!$C$23</f>
        <v>250</v>
      </c>
      <c r="L1794" s="12">
        <f>'01-Process Controls'!$G$5</f>
        <v>3</v>
      </c>
      <c r="M1794" s="12">
        <f>ROUNDDOWN(MIN(J1794,K1794*'04-Variant Rules'!$D$55),0)</f>
        <v>176</v>
      </c>
      <c r="N1794" s="12">
        <f>ROUNDDOWN(M1794/'04-Variant Rules'!$D$55,0)</f>
        <v>117</v>
      </c>
      <c r="O1794" s="9">
        <v>50</v>
      </c>
    </row>
    <row r="1795" spans="1:15" ht="21" customHeight="1">
      <c r="A1795" s="9" t="s">
        <v>2107</v>
      </c>
      <c r="B1795" s="12">
        <f>IF(LEFT(H1795,5)="VALID",M1795,"")</f>
        <v>166</v>
      </c>
      <c r="C1795" s="12">
        <f>IF(LEFT(H1795,5)="VALID",N1795,"")</f>
        <v>249</v>
      </c>
      <c r="D1795" s="10" t="s">
        <v>82</v>
      </c>
      <c r="E1795" s="10" t="s">
        <v>2055</v>
      </c>
      <c r="F1795" s="10" t="s">
        <v>248</v>
      </c>
      <c r="G1795" s="10" t="s">
        <v>249</v>
      </c>
      <c r="H1795" s="11" t="str">
        <f>IF(OR(M1795&lt;=0,N1795&lt;=0),"SKIPPED - NONPOSITIVE",IF(OR(M1795&lt;L1795,N1795&lt;L1795),"SKIPPED - BELOW MIN",IF(OR(M1795&gt;J1795,N1795&gt;K1795),"SKIPPED - EXCEEDS BASE",IF(COUNTIFS($M$1744:M1794,M1795,$N$1744:N1794,N1795)&gt;0,"SKIPPED - DUPLICATE","VALID - GENERATED"))))</f>
        <v>VALID - GENERATED</v>
      </c>
      <c r="I1795" s="10" t="s">
        <v>2056</v>
      </c>
      <c r="J1795" s="12">
        <f>'05-ISO Reference'!$B$23</f>
        <v>176</v>
      </c>
      <c r="K1795" s="12">
        <f>'05-ISO Reference'!$C$23</f>
        <v>250</v>
      </c>
      <c r="L1795" s="12">
        <f>'01-Process Controls'!$G$5</f>
        <v>3</v>
      </c>
      <c r="M1795" s="12">
        <f>ROUNDDOWN(MIN(J1795,K1795*'04-Variant Rules'!$D$56),0)</f>
        <v>166</v>
      </c>
      <c r="N1795" s="12">
        <f>ROUNDDOWN(M1795/'04-Variant Rules'!$D$56,0)</f>
        <v>249</v>
      </c>
      <c r="O1795" s="9">
        <v>51</v>
      </c>
    </row>
    <row r="1796" spans="1:15" ht="21" customHeight="1">
      <c r="A1796" s="9" t="s">
        <v>2108</v>
      </c>
      <c r="B1796" s="12">
        <f>IF(LEFT(H1796,5)="VALID",M1796,"")</f>
        <v>176</v>
      </c>
      <c r="C1796" s="12">
        <f>IF(LEFT(H1796,5)="VALID",N1796,"")</f>
        <v>99</v>
      </c>
      <c r="D1796" s="10" t="s">
        <v>82</v>
      </c>
      <c r="E1796" s="10" t="s">
        <v>2055</v>
      </c>
      <c r="F1796" s="10" t="s">
        <v>251</v>
      </c>
      <c r="G1796" s="10" t="s">
        <v>252</v>
      </c>
      <c r="H1796" s="11" t="str">
        <f>IF(OR(M1796&lt;=0,N1796&lt;=0),"SKIPPED - NONPOSITIVE",IF(OR(M1796&lt;L1796,N1796&lt;L1796),"SKIPPED - BELOW MIN",IF(OR(M1796&gt;J1796,N1796&gt;K1796),"SKIPPED - EXCEEDS BASE",IF(COUNTIFS($M$1744:M1795,M1796,$N$1744:N1795,N1796)&gt;0,"SKIPPED - DUPLICATE","VALID - GENERATED"))))</f>
        <v>VALID - GENERATED</v>
      </c>
      <c r="I1796" s="10" t="s">
        <v>2056</v>
      </c>
      <c r="J1796" s="12">
        <f>'05-ISO Reference'!$B$23</f>
        <v>176</v>
      </c>
      <c r="K1796" s="12">
        <f>'05-ISO Reference'!$C$23</f>
        <v>250</v>
      </c>
      <c r="L1796" s="12">
        <f>'01-Process Controls'!$G$5</f>
        <v>3</v>
      </c>
      <c r="M1796" s="12">
        <f>ROUNDDOWN(MIN(J1796,K1796*'04-Variant Rules'!$D$57),0)</f>
        <v>176</v>
      </c>
      <c r="N1796" s="12">
        <f>ROUNDDOWN(M1796/'04-Variant Rules'!$D$57,0)</f>
        <v>99</v>
      </c>
      <c r="O1796" s="9">
        <v>52</v>
      </c>
    </row>
    <row r="1797" spans="1:15" ht="21" customHeight="1">
      <c r="A1797" s="9" t="s">
        <v>2109</v>
      </c>
      <c r="B1797" s="12">
        <f>IF(LEFT(H1797,5)="VALID",M1797,"")</f>
        <v>140</v>
      </c>
      <c r="C1797" s="12">
        <f>IF(LEFT(H1797,5)="VALID",N1797,"")</f>
        <v>248</v>
      </c>
      <c r="D1797" s="10" t="s">
        <v>82</v>
      </c>
      <c r="E1797" s="10" t="s">
        <v>2055</v>
      </c>
      <c r="F1797" s="10" t="s">
        <v>254</v>
      </c>
      <c r="G1797" s="10" t="s">
        <v>255</v>
      </c>
      <c r="H1797" s="11" t="str">
        <f>IF(OR(M1797&lt;=0,N1797&lt;=0),"SKIPPED - NONPOSITIVE",IF(OR(M1797&lt;L1797,N1797&lt;L1797),"SKIPPED - BELOW MIN",IF(OR(M1797&gt;J1797,N1797&gt;K1797),"SKIPPED - EXCEEDS BASE",IF(COUNTIFS($M$1744:M1796,M1797,$N$1744:N1796,N1797)&gt;0,"SKIPPED - DUPLICATE","VALID - GENERATED"))))</f>
        <v>VALID - GENERATED</v>
      </c>
      <c r="I1797" s="10" t="s">
        <v>2056</v>
      </c>
      <c r="J1797" s="12">
        <f>'05-ISO Reference'!$B$23</f>
        <v>176</v>
      </c>
      <c r="K1797" s="12">
        <f>'05-ISO Reference'!$C$23</f>
        <v>250</v>
      </c>
      <c r="L1797" s="12">
        <f>'01-Process Controls'!$G$5</f>
        <v>3</v>
      </c>
      <c r="M1797" s="12">
        <f>ROUNDDOWN(MIN(J1797,K1797*'04-Variant Rules'!$D$58),0)</f>
        <v>140</v>
      </c>
      <c r="N1797" s="12">
        <f>ROUNDDOWN(M1797/'04-Variant Rules'!$D$58,0)</f>
        <v>248</v>
      </c>
      <c r="O1797" s="9">
        <v>53</v>
      </c>
    </row>
    <row r="1798" spans="1:15" ht="21" customHeight="1">
      <c r="A1798" s="9" t="s">
        <v>2110</v>
      </c>
      <c r="B1798" s="12">
        <f>IF(LEFT(H1798,5)="VALID",M1798,"")</f>
        <v>176</v>
      </c>
      <c r="C1798" s="12">
        <f>IF(LEFT(H1798,5)="VALID",N1798,"")</f>
        <v>88</v>
      </c>
      <c r="D1798" s="10" t="s">
        <v>82</v>
      </c>
      <c r="E1798" s="10" t="s">
        <v>2055</v>
      </c>
      <c r="F1798" s="10" t="s">
        <v>257</v>
      </c>
      <c r="G1798" s="10" t="s">
        <v>258</v>
      </c>
      <c r="H1798" s="11" t="str">
        <f>IF(OR(M1798&lt;=0,N1798&lt;=0),"SKIPPED - NONPOSITIVE",IF(OR(M1798&lt;L1798,N1798&lt;L1798),"SKIPPED - BELOW MIN",IF(OR(M1798&gt;J1798,N1798&gt;K1798),"SKIPPED - EXCEEDS BASE",IF(COUNTIFS($M$1744:M1797,M1798,$N$1744:N1797,N1798)&gt;0,"SKIPPED - DUPLICATE","VALID - GENERATED"))))</f>
        <v>VALID - GENERATED</v>
      </c>
      <c r="I1798" s="10" t="s">
        <v>2056</v>
      </c>
      <c r="J1798" s="12">
        <f>'05-ISO Reference'!$B$23</f>
        <v>176</v>
      </c>
      <c r="K1798" s="12">
        <f>'05-ISO Reference'!$C$23</f>
        <v>250</v>
      </c>
      <c r="L1798" s="12">
        <f>'01-Process Controls'!$G$5</f>
        <v>3</v>
      </c>
      <c r="M1798" s="12">
        <f>ROUNDDOWN(MIN(J1798,K1798*'04-Variant Rules'!$D$59),0)</f>
        <v>176</v>
      </c>
      <c r="N1798" s="12">
        <f>ROUNDDOWN(M1798/'04-Variant Rules'!$D$59,0)</f>
        <v>88</v>
      </c>
      <c r="O1798" s="9">
        <v>54</v>
      </c>
    </row>
    <row r="1799" spans="1:15" ht="21" customHeight="1">
      <c r="A1799" s="9" t="s">
        <v>2111</v>
      </c>
      <c r="B1799" s="12">
        <f>IF(LEFT(H1799,5)="VALID",M1799,"")</f>
        <v>125</v>
      </c>
      <c r="C1799" s="12">
        <f>IF(LEFT(H1799,5)="VALID",N1799,"")</f>
        <v>250</v>
      </c>
      <c r="D1799" s="10" t="s">
        <v>82</v>
      </c>
      <c r="E1799" s="10" t="s">
        <v>2055</v>
      </c>
      <c r="F1799" s="10" t="s">
        <v>260</v>
      </c>
      <c r="G1799" s="10" t="s">
        <v>261</v>
      </c>
      <c r="H1799" s="11" t="str">
        <f>IF(OR(M1799&lt;=0,N1799&lt;=0),"SKIPPED - NONPOSITIVE",IF(OR(M1799&lt;L1799,N1799&lt;L1799),"SKIPPED - BELOW MIN",IF(OR(M1799&gt;J1799,N1799&gt;K1799),"SKIPPED - EXCEEDS BASE",IF(COUNTIFS($M$1744:M1798,M1799,$N$1744:N1798,N1799)&gt;0,"SKIPPED - DUPLICATE","VALID - GENERATED"))))</f>
        <v>VALID - GENERATED</v>
      </c>
      <c r="I1799" s="10" t="s">
        <v>2056</v>
      </c>
      <c r="J1799" s="12">
        <f>'05-ISO Reference'!$B$23</f>
        <v>176</v>
      </c>
      <c r="K1799" s="12">
        <f>'05-ISO Reference'!$C$23</f>
        <v>250</v>
      </c>
      <c r="L1799" s="12">
        <f>'01-Process Controls'!$G$5</f>
        <v>3</v>
      </c>
      <c r="M1799" s="12">
        <f>ROUNDDOWN(MIN(J1799,K1799*'04-Variant Rules'!$D$60),0)</f>
        <v>125</v>
      </c>
      <c r="N1799" s="12">
        <f>ROUNDDOWN(M1799/'04-Variant Rules'!$D$60,0)</f>
        <v>250</v>
      </c>
      <c r="O1799" s="9">
        <v>55</v>
      </c>
    </row>
    <row r="1800" spans="1:15" ht="21" customHeight="1">
      <c r="A1800" s="9" t="s">
        <v>2112</v>
      </c>
      <c r="B1800" s="48"/>
      <c r="C1800" s="48"/>
      <c r="D1800" s="10" t="s">
        <v>263</v>
      </c>
      <c r="E1800" s="10" t="s">
        <v>2113</v>
      </c>
      <c r="F1800" s="10" t="s">
        <v>265</v>
      </c>
      <c r="G1800" s="10" t="s">
        <v>266</v>
      </c>
      <c r="H1800" s="11" t="str">
        <f>IF(AND(B1800="",C1800=""),"CUSTOM BLANK",IF(OR(B1800="",C1800=""),"ERROR - ENTER BOTH",IF(OR(B1800&lt;=0,C1800&lt;=0),"ERROR - NONPOSITIVE",IF(OR(B1800&lt;L1800,C1800&lt;L1800),"ERROR - BELOW MIN",IF(OR(AND(B1800&lt;=J1800,C1800&lt;=K1800),AND(B1800&lt;=K1800,C1800&lt;=J1800)),"VALID - CUSTOM","ERROR - EXCEEDS BASE")))))</f>
        <v>CUSTOM BLANK</v>
      </c>
      <c r="I1800" s="10" t="s">
        <v>267</v>
      </c>
      <c r="J1800" s="12">
        <f>'05-ISO Reference'!$B$23</f>
        <v>176</v>
      </c>
      <c r="K1800" s="12">
        <f>'05-ISO Reference'!$C$23</f>
        <v>250</v>
      </c>
      <c r="L1800" s="12">
        <f>'01-Process Controls'!$G$5</f>
        <v>3</v>
      </c>
      <c r="M1800" s="8"/>
      <c r="N1800" s="8"/>
    </row>
    <row r="1801" spans="1:15" ht="21" customHeight="1">
      <c r="A1801" s="9" t="s">
        <v>2114</v>
      </c>
      <c r="B1801" s="48"/>
      <c r="C1801" s="48"/>
      <c r="D1801" s="10" t="s">
        <v>263</v>
      </c>
      <c r="E1801" s="10" t="s">
        <v>2113</v>
      </c>
      <c r="F1801" s="10" t="s">
        <v>265</v>
      </c>
      <c r="G1801" s="10" t="s">
        <v>266</v>
      </c>
      <c r="H1801" s="11" t="str">
        <f>IF(AND(B1801="",C1801=""),"CUSTOM BLANK",IF(OR(B1801="",C1801=""),"ERROR - ENTER BOTH",IF(OR(B1801&lt;=0,C1801&lt;=0),"ERROR - NONPOSITIVE",IF(OR(B1801&lt;L1801,C1801&lt;L1801),"ERROR - BELOW MIN",IF(OR(AND(B1801&lt;=J1801,C1801&lt;=K1801),AND(B1801&lt;=K1801,C1801&lt;=J1801)),"VALID - CUSTOM","ERROR - EXCEEDS BASE")))))</f>
        <v>CUSTOM BLANK</v>
      </c>
      <c r="I1801" s="10" t="s">
        <v>267</v>
      </c>
      <c r="J1801" s="12">
        <f>'05-ISO Reference'!$B$23</f>
        <v>176</v>
      </c>
      <c r="K1801" s="12">
        <f>'05-ISO Reference'!$C$23</f>
        <v>250</v>
      </c>
      <c r="L1801" s="12">
        <f>'01-Process Controls'!$G$5</f>
        <v>3</v>
      </c>
      <c r="M1801" s="8"/>
      <c r="N1801" s="8"/>
    </row>
    <row r="1802" spans="1:15" ht="21" customHeight="1">
      <c r="A1802" s="9" t="s">
        <v>2115</v>
      </c>
      <c r="B1802" s="48"/>
      <c r="C1802" s="48"/>
      <c r="D1802" s="10" t="s">
        <v>263</v>
      </c>
      <c r="E1802" s="10" t="s">
        <v>2113</v>
      </c>
      <c r="F1802" s="10" t="s">
        <v>265</v>
      </c>
      <c r="G1802" s="10" t="s">
        <v>266</v>
      </c>
      <c r="H1802" s="11" t="str">
        <f>IF(AND(B1802="",C1802=""),"CUSTOM BLANK",IF(OR(B1802="",C1802=""),"ERROR - ENTER BOTH",IF(OR(B1802&lt;=0,C1802&lt;=0),"ERROR - NONPOSITIVE",IF(OR(B1802&lt;L1802,C1802&lt;L1802),"ERROR - BELOW MIN",IF(OR(AND(B1802&lt;=J1802,C1802&lt;=K1802),AND(B1802&lt;=K1802,C1802&lt;=J1802)),"VALID - CUSTOM","ERROR - EXCEEDS BASE")))))</f>
        <v>CUSTOM BLANK</v>
      </c>
      <c r="I1802" s="10" t="s">
        <v>267</v>
      </c>
      <c r="J1802" s="12">
        <f>'05-ISO Reference'!$B$23</f>
        <v>176</v>
      </c>
      <c r="K1802" s="12">
        <f>'05-ISO Reference'!$C$23</f>
        <v>250</v>
      </c>
      <c r="L1802" s="12">
        <f>'01-Process Controls'!$G$5</f>
        <v>3</v>
      </c>
      <c r="M1802" s="8"/>
      <c r="N1802" s="8"/>
    </row>
    <row r="1803" spans="1:15" ht="21" customHeight="1">
      <c r="A1803" s="9" t="s">
        <v>2116</v>
      </c>
      <c r="B1803" s="48"/>
      <c r="C1803" s="48"/>
      <c r="D1803" s="10" t="s">
        <v>263</v>
      </c>
      <c r="E1803" s="10" t="s">
        <v>2113</v>
      </c>
      <c r="F1803" s="10" t="s">
        <v>265</v>
      </c>
      <c r="G1803" s="10" t="s">
        <v>266</v>
      </c>
      <c r="H1803" s="11" t="str">
        <f>IF(AND(B1803="",C1803=""),"CUSTOM BLANK",IF(OR(B1803="",C1803=""),"ERROR - ENTER BOTH",IF(OR(B1803&lt;=0,C1803&lt;=0),"ERROR - NONPOSITIVE",IF(OR(B1803&lt;L1803,C1803&lt;L1803),"ERROR - BELOW MIN",IF(OR(AND(B1803&lt;=J1803,C1803&lt;=K1803),AND(B1803&lt;=K1803,C1803&lt;=J1803)),"VALID - CUSTOM","ERROR - EXCEEDS BASE")))))</f>
        <v>CUSTOM BLANK</v>
      </c>
      <c r="I1803" s="10" t="s">
        <v>267</v>
      </c>
      <c r="J1803" s="12">
        <f>'05-ISO Reference'!$B$23</f>
        <v>176</v>
      </c>
      <c r="K1803" s="12">
        <f>'05-ISO Reference'!$C$23</f>
        <v>250</v>
      </c>
      <c r="L1803" s="12">
        <f>'01-Process Controls'!$G$5</f>
        <v>3</v>
      </c>
      <c r="M1803" s="8"/>
      <c r="N1803" s="8"/>
    </row>
    <row r="1804" spans="1:15" ht="21" customHeight="1">
      <c r="A1804" s="9" t="s">
        <v>2117</v>
      </c>
      <c r="B1804" s="48"/>
      <c r="C1804" s="48"/>
      <c r="D1804" s="10" t="s">
        <v>263</v>
      </c>
      <c r="E1804" s="10" t="s">
        <v>2113</v>
      </c>
      <c r="F1804" s="10" t="s">
        <v>265</v>
      </c>
      <c r="G1804" s="10" t="s">
        <v>266</v>
      </c>
      <c r="H1804" s="11" t="str">
        <f>IF(AND(B1804="",C1804=""),"CUSTOM BLANK",IF(OR(B1804="",C1804=""),"ERROR - ENTER BOTH",IF(OR(B1804&lt;=0,C1804&lt;=0),"ERROR - NONPOSITIVE",IF(OR(B1804&lt;L1804,C1804&lt;L1804),"ERROR - BELOW MIN",IF(OR(AND(B1804&lt;=J1804,C1804&lt;=K1804),AND(B1804&lt;=K1804,C1804&lt;=J1804)),"VALID - CUSTOM","ERROR - EXCEEDS BASE")))))</f>
        <v>CUSTOM BLANK</v>
      </c>
      <c r="I1804" s="10" t="s">
        <v>267</v>
      </c>
      <c r="J1804" s="12">
        <f>'05-ISO Reference'!$B$23</f>
        <v>176</v>
      </c>
      <c r="K1804" s="12">
        <f>'05-ISO Reference'!$C$23</f>
        <v>250</v>
      </c>
      <c r="L1804" s="12">
        <f>'01-Process Controls'!$G$5</f>
        <v>3</v>
      </c>
      <c r="M1804" s="8"/>
      <c r="N1804" s="8"/>
    </row>
    <row r="1805" spans="1:15" ht="21" customHeight="1">
      <c r="A1805" s="9" t="s">
        <v>2118</v>
      </c>
      <c r="B1805" s="48"/>
      <c r="C1805" s="48"/>
      <c r="D1805" s="10" t="s">
        <v>263</v>
      </c>
      <c r="E1805" s="10" t="s">
        <v>2113</v>
      </c>
      <c r="F1805" s="10" t="s">
        <v>265</v>
      </c>
      <c r="G1805" s="10" t="s">
        <v>266</v>
      </c>
      <c r="H1805" s="11" t="str">
        <f>IF(AND(B1805="",C1805=""),"CUSTOM BLANK",IF(OR(B1805="",C1805=""),"ERROR - ENTER BOTH",IF(OR(B1805&lt;=0,C1805&lt;=0),"ERROR - NONPOSITIVE",IF(OR(B1805&lt;L1805,C1805&lt;L1805),"ERROR - BELOW MIN",IF(OR(AND(B1805&lt;=J1805,C1805&lt;=K1805),AND(B1805&lt;=K1805,C1805&lt;=J1805)),"VALID - CUSTOM","ERROR - EXCEEDS BASE")))))</f>
        <v>CUSTOM BLANK</v>
      </c>
      <c r="I1805" s="10" t="s">
        <v>267</v>
      </c>
      <c r="J1805" s="12">
        <f>'05-ISO Reference'!$B$23</f>
        <v>176</v>
      </c>
      <c r="K1805" s="12">
        <f>'05-ISO Reference'!$C$23</f>
        <v>250</v>
      </c>
      <c r="L1805" s="12">
        <f>'01-Process Controls'!$G$5</f>
        <v>3</v>
      </c>
      <c r="M1805" s="8"/>
      <c r="N1805" s="8"/>
    </row>
    <row r="1806" spans="1:15" ht="21" customHeight="1">
      <c r="A1806" s="9" t="s">
        <v>2119</v>
      </c>
      <c r="B1806" s="48"/>
      <c r="C1806" s="48"/>
      <c r="D1806" s="10" t="s">
        <v>263</v>
      </c>
      <c r="E1806" s="10" t="s">
        <v>2113</v>
      </c>
      <c r="F1806" s="10" t="s">
        <v>265</v>
      </c>
      <c r="G1806" s="10" t="s">
        <v>266</v>
      </c>
      <c r="H1806" s="11" t="str">
        <f>IF(AND(B1806="",C1806=""),"CUSTOM BLANK",IF(OR(B1806="",C1806=""),"ERROR - ENTER BOTH",IF(OR(B1806&lt;=0,C1806&lt;=0),"ERROR - NONPOSITIVE",IF(OR(B1806&lt;L1806,C1806&lt;L1806),"ERROR - BELOW MIN",IF(OR(AND(B1806&lt;=J1806,C1806&lt;=K1806),AND(B1806&lt;=K1806,C1806&lt;=J1806)),"VALID - CUSTOM","ERROR - EXCEEDS BASE")))))</f>
        <v>CUSTOM BLANK</v>
      </c>
      <c r="I1806" s="10" t="s">
        <v>267</v>
      </c>
      <c r="J1806" s="12">
        <f>'05-ISO Reference'!$B$23</f>
        <v>176</v>
      </c>
      <c r="K1806" s="12">
        <f>'05-ISO Reference'!$C$23</f>
        <v>250</v>
      </c>
      <c r="L1806" s="12">
        <f>'01-Process Controls'!$G$5</f>
        <v>3</v>
      </c>
      <c r="M1806" s="8"/>
      <c r="N1806" s="8"/>
    </row>
    <row r="1807" spans="1:15" ht="21" customHeight="1">
      <c r="A1807" s="9" t="s">
        <v>2120</v>
      </c>
      <c r="B1807" s="48"/>
      <c r="C1807" s="48"/>
      <c r="D1807" s="10" t="s">
        <v>263</v>
      </c>
      <c r="E1807" s="10" t="s">
        <v>2113</v>
      </c>
      <c r="F1807" s="10" t="s">
        <v>265</v>
      </c>
      <c r="G1807" s="10" t="s">
        <v>266</v>
      </c>
      <c r="H1807" s="11" t="str">
        <f>IF(AND(B1807="",C1807=""),"CUSTOM BLANK",IF(OR(B1807="",C1807=""),"ERROR - ENTER BOTH",IF(OR(B1807&lt;=0,C1807&lt;=0),"ERROR - NONPOSITIVE",IF(OR(B1807&lt;L1807,C1807&lt;L1807),"ERROR - BELOW MIN",IF(OR(AND(B1807&lt;=J1807,C1807&lt;=K1807),AND(B1807&lt;=K1807,C1807&lt;=J1807)),"VALID - CUSTOM","ERROR - EXCEEDS BASE")))))</f>
        <v>CUSTOM BLANK</v>
      </c>
      <c r="I1807" s="10" t="s">
        <v>267</v>
      </c>
      <c r="J1807" s="12">
        <f>'05-ISO Reference'!$B$23</f>
        <v>176</v>
      </c>
      <c r="K1807" s="12">
        <f>'05-ISO Reference'!$C$23</f>
        <v>250</v>
      </c>
      <c r="L1807" s="12">
        <f>'01-Process Controls'!$G$5</f>
        <v>3</v>
      </c>
      <c r="M1807" s="8"/>
      <c r="N1807" s="8"/>
    </row>
    <row r="1808" spans="1:15" ht="21" customHeight="1">
      <c r="A1808" s="9" t="s">
        <v>2121</v>
      </c>
      <c r="B1808" s="48"/>
      <c r="C1808" s="48"/>
      <c r="D1808" s="10" t="s">
        <v>263</v>
      </c>
      <c r="E1808" s="10" t="s">
        <v>2113</v>
      </c>
      <c r="F1808" s="10" t="s">
        <v>265</v>
      </c>
      <c r="G1808" s="10" t="s">
        <v>266</v>
      </c>
      <c r="H1808" s="11" t="str">
        <f>IF(AND(B1808="",C1808=""),"CUSTOM BLANK",IF(OR(B1808="",C1808=""),"ERROR - ENTER BOTH",IF(OR(B1808&lt;=0,C1808&lt;=0),"ERROR - NONPOSITIVE",IF(OR(B1808&lt;L1808,C1808&lt;L1808),"ERROR - BELOW MIN",IF(OR(AND(B1808&lt;=J1808,C1808&lt;=K1808),AND(B1808&lt;=K1808,C1808&lt;=J1808)),"VALID - CUSTOM","ERROR - EXCEEDS BASE")))))</f>
        <v>CUSTOM BLANK</v>
      </c>
      <c r="I1808" s="10" t="s">
        <v>267</v>
      </c>
      <c r="J1808" s="12">
        <f>'05-ISO Reference'!$B$23</f>
        <v>176</v>
      </c>
      <c r="K1808" s="12">
        <f>'05-ISO Reference'!$C$23</f>
        <v>250</v>
      </c>
      <c r="L1808" s="12">
        <f>'01-Process Controls'!$G$5</f>
        <v>3</v>
      </c>
      <c r="M1808" s="8"/>
      <c r="N1808" s="8"/>
    </row>
    <row r="1809" spans="1:15" ht="21" customHeight="1">
      <c r="A1809" s="9" t="s">
        <v>2122</v>
      </c>
      <c r="B1809" s="48"/>
      <c r="C1809" s="48"/>
      <c r="D1809" s="10" t="s">
        <v>263</v>
      </c>
      <c r="E1809" s="10" t="s">
        <v>2113</v>
      </c>
      <c r="F1809" s="10" t="s">
        <v>265</v>
      </c>
      <c r="G1809" s="10" t="s">
        <v>266</v>
      </c>
      <c r="H1809" s="11" t="str">
        <f>IF(AND(B1809="",C1809=""),"CUSTOM BLANK",IF(OR(B1809="",C1809=""),"ERROR - ENTER BOTH",IF(OR(B1809&lt;=0,C1809&lt;=0),"ERROR - NONPOSITIVE",IF(OR(B1809&lt;L1809,C1809&lt;L1809),"ERROR - BELOW MIN",IF(OR(AND(B1809&lt;=J1809,C1809&lt;=K1809),AND(B1809&lt;=K1809,C1809&lt;=J1809)),"VALID - CUSTOM","ERROR - EXCEEDS BASE")))))</f>
        <v>CUSTOM BLANK</v>
      </c>
      <c r="I1809" s="10" t="s">
        <v>267</v>
      </c>
      <c r="J1809" s="12">
        <f>'05-ISO Reference'!$B$23</f>
        <v>176</v>
      </c>
      <c r="K1809" s="12">
        <f>'05-ISO Reference'!$C$23</f>
        <v>250</v>
      </c>
      <c r="L1809" s="12">
        <f>'01-Process Controls'!$G$5</f>
        <v>3</v>
      </c>
      <c r="M1809" s="8"/>
      <c r="N1809" s="8"/>
    </row>
    <row r="1810" spans="1:15" ht="21" customHeight="1">
      <c r="A1810" s="9" t="s">
        <v>2123</v>
      </c>
      <c r="B1810" s="48"/>
      <c r="C1810" s="48"/>
      <c r="D1810" s="10" t="s">
        <v>263</v>
      </c>
      <c r="E1810" s="10" t="s">
        <v>2113</v>
      </c>
      <c r="F1810" s="10" t="s">
        <v>265</v>
      </c>
      <c r="G1810" s="10" t="s">
        <v>266</v>
      </c>
      <c r="H1810" s="11" t="str">
        <f>IF(AND(B1810="",C1810=""),"CUSTOM BLANK",IF(OR(B1810="",C1810=""),"ERROR - ENTER BOTH",IF(OR(B1810&lt;=0,C1810&lt;=0),"ERROR - NONPOSITIVE",IF(OR(B1810&lt;L1810,C1810&lt;L1810),"ERROR - BELOW MIN",IF(OR(AND(B1810&lt;=J1810,C1810&lt;=K1810),AND(B1810&lt;=K1810,C1810&lt;=J1810)),"VALID - CUSTOM","ERROR - EXCEEDS BASE")))))</f>
        <v>CUSTOM BLANK</v>
      </c>
      <c r="I1810" s="10" t="s">
        <v>267</v>
      </c>
      <c r="J1810" s="12">
        <f>'05-ISO Reference'!$B$23</f>
        <v>176</v>
      </c>
      <c r="K1810" s="12">
        <f>'05-ISO Reference'!$C$23</f>
        <v>250</v>
      </c>
      <c r="L1810" s="12">
        <f>'01-Process Controls'!$G$5</f>
        <v>3</v>
      </c>
      <c r="M1810" s="8"/>
      <c r="N1810" s="8"/>
    </row>
    <row r="1811" spans="1:15" ht="21" customHeight="1">
      <c r="A1811" s="9" t="s">
        <v>2124</v>
      </c>
      <c r="B1811" s="48"/>
      <c r="C1811" s="48"/>
      <c r="D1811" s="10" t="s">
        <v>263</v>
      </c>
      <c r="E1811" s="10" t="s">
        <v>2113</v>
      </c>
      <c r="F1811" s="10" t="s">
        <v>265</v>
      </c>
      <c r="G1811" s="10" t="s">
        <v>266</v>
      </c>
      <c r="H1811" s="11" t="str">
        <f>IF(AND(B1811="",C1811=""),"CUSTOM BLANK",IF(OR(B1811="",C1811=""),"ERROR - ENTER BOTH",IF(OR(B1811&lt;=0,C1811&lt;=0),"ERROR - NONPOSITIVE",IF(OR(B1811&lt;L1811,C1811&lt;L1811),"ERROR - BELOW MIN",IF(OR(AND(B1811&lt;=J1811,C1811&lt;=K1811),AND(B1811&lt;=K1811,C1811&lt;=J1811)),"VALID - CUSTOM","ERROR - EXCEEDS BASE")))))</f>
        <v>CUSTOM BLANK</v>
      </c>
      <c r="I1811" s="10" t="s">
        <v>267</v>
      </c>
      <c r="J1811" s="12">
        <f>'05-ISO Reference'!$B$23</f>
        <v>176</v>
      </c>
      <c r="K1811" s="12">
        <f>'05-ISO Reference'!$C$23</f>
        <v>250</v>
      </c>
      <c r="L1811" s="12">
        <f>'01-Process Controls'!$G$5</f>
        <v>3</v>
      </c>
      <c r="M1811" s="8"/>
      <c r="N1811" s="8"/>
    </row>
    <row r="1812" spans="1:15" ht="21" customHeight="1">
      <c r="A1812" s="9" t="s">
        <v>2125</v>
      </c>
      <c r="B1812" s="48"/>
      <c r="C1812" s="48"/>
      <c r="D1812" s="10" t="s">
        <v>263</v>
      </c>
      <c r="E1812" s="10" t="s">
        <v>2113</v>
      </c>
      <c r="F1812" s="10" t="s">
        <v>265</v>
      </c>
      <c r="G1812" s="10" t="s">
        <v>266</v>
      </c>
      <c r="H1812" s="11" t="str">
        <f>IF(AND(B1812="",C1812=""),"CUSTOM BLANK",IF(OR(B1812="",C1812=""),"ERROR - ENTER BOTH",IF(OR(B1812&lt;=0,C1812&lt;=0),"ERROR - NONPOSITIVE",IF(OR(B1812&lt;L1812,C1812&lt;L1812),"ERROR - BELOW MIN",IF(OR(AND(B1812&lt;=J1812,C1812&lt;=K1812),AND(B1812&lt;=K1812,C1812&lt;=J1812)),"VALID - CUSTOM","ERROR - EXCEEDS BASE")))))</f>
        <v>CUSTOM BLANK</v>
      </c>
      <c r="I1812" s="10" t="s">
        <v>267</v>
      </c>
      <c r="J1812" s="12">
        <f>'05-ISO Reference'!$B$23</f>
        <v>176</v>
      </c>
      <c r="K1812" s="12">
        <f>'05-ISO Reference'!$C$23</f>
        <v>250</v>
      </c>
      <c r="L1812" s="12">
        <f>'01-Process Controls'!$G$5</f>
        <v>3</v>
      </c>
      <c r="M1812" s="8"/>
      <c r="N1812" s="8"/>
    </row>
    <row r="1813" spans="1:15" ht="21" customHeight="1">
      <c r="A1813" s="9" t="s">
        <v>2126</v>
      </c>
      <c r="B1813" s="48"/>
      <c r="C1813" s="48"/>
      <c r="D1813" s="10" t="s">
        <v>263</v>
      </c>
      <c r="E1813" s="10" t="s">
        <v>2113</v>
      </c>
      <c r="F1813" s="10" t="s">
        <v>265</v>
      </c>
      <c r="G1813" s="10" t="s">
        <v>266</v>
      </c>
      <c r="H1813" s="11" t="str">
        <f>IF(AND(B1813="",C1813=""),"CUSTOM BLANK",IF(OR(B1813="",C1813=""),"ERROR - ENTER BOTH",IF(OR(B1813&lt;=0,C1813&lt;=0),"ERROR - NONPOSITIVE",IF(OR(B1813&lt;L1813,C1813&lt;L1813),"ERROR - BELOW MIN",IF(OR(AND(B1813&lt;=J1813,C1813&lt;=K1813),AND(B1813&lt;=K1813,C1813&lt;=J1813)),"VALID - CUSTOM","ERROR - EXCEEDS BASE")))))</f>
        <v>CUSTOM BLANK</v>
      </c>
      <c r="I1813" s="10" t="s">
        <v>267</v>
      </c>
      <c r="J1813" s="12">
        <f>'05-ISO Reference'!$B$23</f>
        <v>176</v>
      </c>
      <c r="K1813" s="12">
        <f>'05-ISO Reference'!$C$23</f>
        <v>250</v>
      </c>
      <c r="L1813" s="12">
        <f>'01-Process Controls'!$G$5</f>
        <v>3</v>
      </c>
      <c r="M1813" s="8"/>
      <c r="N1813" s="8"/>
    </row>
    <row r="1814" spans="1:15" ht="21" customHeight="1">
      <c r="A1814" s="9" t="s">
        <v>2127</v>
      </c>
      <c r="B1814" s="48"/>
      <c r="C1814" s="48"/>
      <c r="D1814" s="10" t="s">
        <v>263</v>
      </c>
      <c r="E1814" s="10" t="s">
        <v>2113</v>
      </c>
      <c r="F1814" s="10" t="s">
        <v>265</v>
      </c>
      <c r="G1814" s="10" t="s">
        <v>266</v>
      </c>
      <c r="H1814" s="11" t="str">
        <f>IF(AND(B1814="",C1814=""),"CUSTOM BLANK",IF(OR(B1814="",C1814=""),"ERROR - ENTER BOTH",IF(OR(B1814&lt;=0,C1814&lt;=0),"ERROR - NONPOSITIVE",IF(OR(B1814&lt;L1814,C1814&lt;L1814),"ERROR - BELOW MIN",IF(OR(AND(B1814&lt;=J1814,C1814&lt;=K1814),AND(B1814&lt;=K1814,C1814&lt;=J1814)),"VALID - CUSTOM","ERROR - EXCEEDS BASE")))))</f>
        <v>CUSTOM BLANK</v>
      </c>
      <c r="I1814" s="10" t="s">
        <v>267</v>
      </c>
      <c r="J1814" s="12">
        <f>'05-ISO Reference'!$B$23</f>
        <v>176</v>
      </c>
      <c r="K1814" s="12">
        <f>'05-ISO Reference'!$C$23</f>
        <v>250</v>
      </c>
      <c r="L1814" s="12">
        <f>'01-Process Controls'!$G$5</f>
        <v>3</v>
      </c>
      <c r="M1814" s="8"/>
      <c r="N1814" s="8"/>
    </row>
    <row r="1815" spans="1:15" ht="21" customHeight="1">
      <c r="A1815" s="44" t="s">
        <v>2128</v>
      </c>
      <c r="B1815" s="45">
        <f>IF(LEFT(H1815,5)="VALID",M1815,"")</f>
        <v>125</v>
      </c>
      <c r="C1815" s="45">
        <f>IF(LEFT(H1815,5)="VALID",N1815,"")</f>
        <v>176</v>
      </c>
      <c r="D1815" s="46" t="s">
        <v>82</v>
      </c>
      <c r="E1815" s="46" t="s">
        <v>2129</v>
      </c>
      <c r="F1815" s="46" t="s">
        <v>122</v>
      </c>
      <c r="G1815" s="46" t="s">
        <v>123</v>
      </c>
      <c r="H1815" s="47" t="str">
        <f>"VALID - BASE"</f>
        <v>VALID - BASE</v>
      </c>
      <c r="I1815" s="46" t="s">
        <v>2130</v>
      </c>
      <c r="J1815" s="12">
        <f>'05-ISO Reference'!$B$24</f>
        <v>125</v>
      </c>
      <c r="K1815" s="12">
        <f>'05-ISO Reference'!$C$24</f>
        <v>176</v>
      </c>
      <c r="L1815" s="12">
        <f>'01-Process Controls'!$G$5</f>
        <v>3</v>
      </c>
      <c r="M1815" s="12">
        <f>ROUNDDOWN(J1815,0)</f>
        <v>125</v>
      </c>
      <c r="N1815" s="12">
        <f>ROUNDDOWN(K1815,0)</f>
        <v>176</v>
      </c>
      <c r="O1815" s="9">
        <v>0</v>
      </c>
    </row>
    <row r="1816" spans="1:15" ht="21" customHeight="1">
      <c r="A1816" s="9" t="s">
        <v>2131</v>
      </c>
      <c r="B1816" s="12">
        <f>IF(LEFT(H1816,5)="VALID",M1816,"")</f>
        <v>62</v>
      </c>
      <c r="C1816" s="12">
        <f>IF(LEFT(H1816,5)="VALID",N1816,"")</f>
        <v>176</v>
      </c>
      <c r="D1816" s="10" t="s">
        <v>82</v>
      </c>
      <c r="E1816" s="10" t="s">
        <v>2129</v>
      </c>
      <c r="F1816" s="10" t="s">
        <v>126</v>
      </c>
      <c r="G1816" s="10" t="s">
        <v>127</v>
      </c>
      <c r="H1816" s="11" t="str">
        <f>IF(OR(M1816&lt;=0,N1816&lt;=0),"SKIPPED - NONPOSITIVE",IF(OR(M1816&lt;L1816,N1816&lt;L1816),"SKIPPED - BELOW MIN",IF(OR(M1816&gt;J1816,N1816&gt;K1816),"SKIPPED - EXCEEDS BASE",IF(COUNTIFS($M$1815:M1815,M1816,$N$1815:N1815,N1816)&gt;0,"SKIPPED - DUPLICATE","VALID - GENERATED"))))</f>
        <v>VALID - GENERATED</v>
      </c>
      <c r="I1816" s="10" t="s">
        <v>2130</v>
      </c>
      <c r="J1816" s="12">
        <f>'05-ISO Reference'!$B$24</f>
        <v>125</v>
      </c>
      <c r="K1816" s="12">
        <f>'05-ISO Reference'!$C$24</f>
        <v>176</v>
      </c>
      <c r="L1816" s="12">
        <f>'01-Process Controls'!$G$5</f>
        <v>3</v>
      </c>
      <c r="M1816" s="12">
        <f>ROUNDDOWN(J1816*'04-Variant Rules'!$D$6,0)</f>
        <v>62</v>
      </c>
      <c r="N1816" s="12">
        <f>ROUNDDOWN(K1816,0)</f>
        <v>176</v>
      </c>
      <c r="O1816" s="9">
        <v>1</v>
      </c>
    </row>
    <row r="1817" spans="1:15" ht="21" customHeight="1">
      <c r="A1817" s="9" t="s">
        <v>2132</v>
      </c>
      <c r="B1817" s="12">
        <f>IF(LEFT(H1817,5)="VALID",M1817,"")</f>
        <v>41</v>
      </c>
      <c r="C1817" s="12">
        <f>IF(LEFT(H1817,5)="VALID",N1817,"")</f>
        <v>176</v>
      </c>
      <c r="D1817" s="10" t="s">
        <v>82</v>
      </c>
      <c r="E1817" s="10" t="s">
        <v>2129</v>
      </c>
      <c r="F1817" s="10" t="s">
        <v>129</v>
      </c>
      <c r="G1817" s="10" t="s">
        <v>130</v>
      </c>
      <c r="H1817" s="11" t="str">
        <f>IF(OR(M1817&lt;=0,N1817&lt;=0),"SKIPPED - NONPOSITIVE",IF(OR(M1817&lt;L1817,N1817&lt;L1817),"SKIPPED - BELOW MIN",IF(OR(M1817&gt;J1817,N1817&gt;K1817),"SKIPPED - EXCEEDS BASE",IF(COUNTIFS($M$1815:M1816,M1817,$N$1815:N1816,N1817)&gt;0,"SKIPPED - DUPLICATE","VALID - GENERATED"))))</f>
        <v>VALID - GENERATED</v>
      </c>
      <c r="I1817" s="10" t="s">
        <v>2130</v>
      </c>
      <c r="J1817" s="12">
        <f>'05-ISO Reference'!$B$24</f>
        <v>125</v>
      </c>
      <c r="K1817" s="12">
        <f>'05-ISO Reference'!$C$24</f>
        <v>176</v>
      </c>
      <c r="L1817" s="12">
        <f>'01-Process Controls'!$G$5</f>
        <v>3</v>
      </c>
      <c r="M1817" s="12">
        <f>ROUNDDOWN(J1817*'04-Variant Rules'!$D$7,0)</f>
        <v>41</v>
      </c>
      <c r="N1817" s="12">
        <f>ROUNDDOWN(K1817,0)</f>
        <v>176</v>
      </c>
      <c r="O1817" s="9">
        <v>2</v>
      </c>
    </row>
    <row r="1818" spans="1:15" ht="21" customHeight="1">
      <c r="A1818" s="9" t="s">
        <v>2133</v>
      </c>
      <c r="B1818" s="12">
        <f>IF(LEFT(H1818,5)="VALID",M1818,"")</f>
        <v>31</v>
      </c>
      <c r="C1818" s="12">
        <f>IF(LEFT(H1818,5)="VALID",N1818,"")</f>
        <v>176</v>
      </c>
      <c r="D1818" s="10" t="s">
        <v>82</v>
      </c>
      <c r="E1818" s="10" t="s">
        <v>2129</v>
      </c>
      <c r="F1818" s="10" t="s">
        <v>132</v>
      </c>
      <c r="G1818" s="10" t="s">
        <v>133</v>
      </c>
      <c r="H1818" s="11" t="str">
        <f>IF(OR(M1818&lt;=0,N1818&lt;=0),"SKIPPED - NONPOSITIVE",IF(OR(M1818&lt;L1818,N1818&lt;L1818),"SKIPPED - BELOW MIN",IF(OR(M1818&gt;J1818,N1818&gt;K1818),"SKIPPED - EXCEEDS BASE",IF(COUNTIFS($M$1815:M1817,M1818,$N$1815:N1817,N1818)&gt;0,"SKIPPED - DUPLICATE","VALID - GENERATED"))))</f>
        <v>VALID - GENERATED</v>
      </c>
      <c r="I1818" s="10" t="s">
        <v>2130</v>
      </c>
      <c r="J1818" s="12">
        <f>'05-ISO Reference'!$B$24</f>
        <v>125</v>
      </c>
      <c r="K1818" s="12">
        <f>'05-ISO Reference'!$C$24</f>
        <v>176</v>
      </c>
      <c r="L1818" s="12">
        <f>'01-Process Controls'!$G$5</f>
        <v>3</v>
      </c>
      <c r="M1818" s="12">
        <f>ROUNDDOWN(J1818*'04-Variant Rules'!$D$8,0)</f>
        <v>31</v>
      </c>
      <c r="N1818" s="12">
        <f>ROUNDDOWN(K1818,0)</f>
        <v>176</v>
      </c>
      <c r="O1818" s="9">
        <v>3</v>
      </c>
    </row>
    <row r="1819" spans="1:15" ht="21" customHeight="1">
      <c r="A1819" s="9" t="s">
        <v>2134</v>
      </c>
      <c r="B1819" s="12">
        <f>IF(LEFT(H1819,5)="VALID",M1819,"")</f>
        <v>83</v>
      </c>
      <c r="C1819" s="12">
        <f>IF(LEFT(H1819,5)="VALID",N1819,"")</f>
        <v>176</v>
      </c>
      <c r="D1819" s="10" t="s">
        <v>82</v>
      </c>
      <c r="E1819" s="10" t="s">
        <v>2129</v>
      </c>
      <c r="F1819" s="10" t="s">
        <v>135</v>
      </c>
      <c r="G1819" s="10" t="s">
        <v>136</v>
      </c>
      <c r="H1819" s="11" t="str">
        <f>IF(OR(M1819&lt;=0,N1819&lt;=0),"SKIPPED - NONPOSITIVE",IF(OR(M1819&lt;L1819,N1819&lt;L1819),"SKIPPED - BELOW MIN",IF(OR(M1819&gt;J1819,N1819&gt;K1819),"SKIPPED - EXCEEDS BASE",IF(COUNTIFS($M$1815:M1818,M1819,$N$1815:N1818,N1819)&gt;0,"SKIPPED - DUPLICATE","VALID - GENERATED"))))</f>
        <v>VALID - GENERATED</v>
      </c>
      <c r="I1819" s="10" t="s">
        <v>2130</v>
      </c>
      <c r="J1819" s="12">
        <f>'05-ISO Reference'!$B$24</f>
        <v>125</v>
      </c>
      <c r="K1819" s="12">
        <f>'05-ISO Reference'!$C$24</f>
        <v>176</v>
      </c>
      <c r="L1819" s="12">
        <f>'01-Process Controls'!$G$5</f>
        <v>3</v>
      </c>
      <c r="M1819" s="12">
        <f>ROUNDDOWN(J1819*'04-Variant Rules'!$D$9,0)</f>
        <v>83</v>
      </c>
      <c r="N1819" s="12">
        <f>ROUNDDOWN(K1819,0)</f>
        <v>176</v>
      </c>
      <c r="O1819" s="9">
        <v>4</v>
      </c>
    </row>
    <row r="1820" spans="1:15" ht="21" customHeight="1">
      <c r="A1820" s="9" t="s">
        <v>2135</v>
      </c>
      <c r="B1820" s="12">
        <f>IF(LEFT(H1820,5)="VALID",M1820,"")</f>
        <v>93</v>
      </c>
      <c r="C1820" s="12">
        <f>IF(LEFT(H1820,5)="VALID",N1820,"")</f>
        <v>176</v>
      </c>
      <c r="D1820" s="10" t="s">
        <v>82</v>
      </c>
      <c r="E1820" s="10" t="s">
        <v>2129</v>
      </c>
      <c r="F1820" s="10" t="s">
        <v>138</v>
      </c>
      <c r="G1820" s="10" t="s">
        <v>139</v>
      </c>
      <c r="H1820" s="11" t="str">
        <f>IF(OR(M1820&lt;=0,N1820&lt;=0),"SKIPPED - NONPOSITIVE",IF(OR(M1820&lt;L1820,N1820&lt;L1820),"SKIPPED - BELOW MIN",IF(OR(M1820&gt;J1820,N1820&gt;K1820),"SKIPPED - EXCEEDS BASE",IF(COUNTIFS($M$1815:M1819,M1820,$N$1815:N1819,N1820)&gt;0,"SKIPPED - DUPLICATE","VALID - GENERATED"))))</f>
        <v>VALID - GENERATED</v>
      </c>
      <c r="I1820" s="10" t="s">
        <v>2130</v>
      </c>
      <c r="J1820" s="12">
        <f>'05-ISO Reference'!$B$24</f>
        <v>125</v>
      </c>
      <c r="K1820" s="12">
        <f>'05-ISO Reference'!$C$24</f>
        <v>176</v>
      </c>
      <c r="L1820" s="12">
        <f>'01-Process Controls'!$G$5</f>
        <v>3</v>
      </c>
      <c r="M1820" s="12">
        <f>ROUNDDOWN(J1820*'04-Variant Rules'!$D$10,0)</f>
        <v>93</v>
      </c>
      <c r="N1820" s="12">
        <f>ROUNDDOWN(K1820,0)</f>
        <v>176</v>
      </c>
      <c r="O1820" s="9">
        <v>5</v>
      </c>
    </row>
    <row r="1821" spans="1:15" ht="21" customHeight="1">
      <c r="A1821" s="9" t="s">
        <v>2136</v>
      </c>
      <c r="B1821" s="12">
        <f>IF(LEFT(H1821,5)="VALID",M1821,"")</f>
        <v>125</v>
      </c>
      <c r="C1821" s="12">
        <f>IF(LEFT(H1821,5)="VALID",N1821,"")</f>
        <v>88</v>
      </c>
      <c r="D1821" s="10" t="s">
        <v>82</v>
      </c>
      <c r="E1821" s="10" t="s">
        <v>2129</v>
      </c>
      <c r="F1821" s="10" t="s">
        <v>141</v>
      </c>
      <c r="G1821" s="10" t="s">
        <v>142</v>
      </c>
      <c r="H1821" s="11" t="str">
        <f>IF(OR(M1821&lt;=0,N1821&lt;=0),"SKIPPED - NONPOSITIVE",IF(OR(M1821&lt;L1821,N1821&lt;L1821),"SKIPPED - BELOW MIN",IF(OR(M1821&gt;J1821,N1821&gt;K1821),"SKIPPED - EXCEEDS BASE",IF(COUNTIFS($M$1815:M1820,M1821,$N$1815:N1820,N1821)&gt;0,"SKIPPED - DUPLICATE","VALID - GENERATED"))))</f>
        <v>VALID - GENERATED</v>
      </c>
      <c r="I1821" s="10" t="s">
        <v>2130</v>
      </c>
      <c r="J1821" s="12">
        <f>'05-ISO Reference'!$B$24</f>
        <v>125</v>
      </c>
      <c r="K1821" s="12">
        <f>'05-ISO Reference'!$C$24</f>
        <v>176</v>
      </c>
      <c r="L1821" s="12">
        <f>'01-Process Controls'!$G$5</f>
        <v>3</v>
      </c>
      <c r="M1821" s="12">
        <f>ROUNDDOWN(J1821,0)</f>
        <v>125</v>
      </c>
      <c r="N1821" s="12">
        <f>ROUNDDOWN(K1821*'04-Variant Rules'!$D$11,0)</f>
        <v>88</v>
      </c>
      <c r="O1821" s="9">
        <v>6</v>
      </c>
    </row>
    <row r="1822" spans="1:15" ht="21" customHeight="1">
      <c r="A1822" s="9" t="s">
        <v>2137</v>
      </c>
      <c r="B1822" s="12">
        <f>IF(LEFT(H1822,5)="VALID",M1822,"")</f>
        <v>125</v>
      </c>
      <c r="C1822" s="12">
        <f>IF(LEFT(H1822,5)="VALID",N1822,"")</f>
        <v>58</v>
      </c>
      <c r="D1822" s="10" t="s">
        <v>82</v>
      </c>
      <c r="E1822" s="10" t="s">
        <v>2129</v>
      </c>
      <c r="F1822" s="10" t="s">
        <v>144</v>
      </c>
      <c r="G1822" s="10" t="s">
        <v>145</v>
      </c>
      <c r="H1822" s="11" t="str">
        <f>IF(OR(M1822&lt;=0,N1822&lt;=0),"SKIPPED - NONPOSITIVE",IF(OR(M1822&lt;L1822,N1822&lt;L1822),"SKIPPED - BELOW MIN",IF(OR(M1822&gt;J1822,N1822&gt;K1822),"SKIPPED - EXCEEDS BASE",IF(COUNTIFS($M$1815:M1821,M1822,$N$1815:N1821,N1822)&gt;0,"SKIPPED - DUPLICATE","VALID - GENERATED"))))</f>
        <v>VALID - GENERATED</v>
      </c>
      <c r="I1822" s="10" t="s">
        <v>2130</v>
      </c>
      <c r="J1822" s="12">
        <f>'05-ISO Reference'!$B$24</f>
        <v>125</v>
      </c>
      <c r="K1822" s="12">
        <f>'05-ISO Reference'!$C$24</f>
        <v>176</v>
      </c>
      <c r="L1822" s="12">
        <f>'01-Process Controls'!$G$5</f>
        <v>3</v>
      </c>
      <c r="M1822" s="12">
        <f>ROUNDDOWN(J1822,0)</f>
        <v>125</v>
      </c>
      <c r="N1822" s="12">
        <f>ROUNDDOWN(K1822*'04-Variant Rules'!$D$12,0)</f>
        <v>58</v>
      </c>
      <c r="O1822" s="9">
        <v>7</v>
      </c>
    </row>
    <row r="1823" spans="1:15" ht="21" customHeight="1">
      <c r="A1823" s="9" t="s">
        <v>2138</v>
      </c>
      <c r="B1823" s="12">
        <f>IF(LEFT(H1823,5)="VALID",M1823,"")</f>
        <v>125</v>
      </c>
      <c r="C1823" s="12">
        <f>IF(LEFT(H1823,5)="VALID",N1823,"")</f>
        <v>44</v>
      </c>
      <c r="D1823" s="10" t="s">
        <v>82</v>
      </c>
      <c r="E1823" s="10" t="s">
        <v>2129</v>
      </c>
      <c r="F1823" s="10" t="s">
        <v>147</v>
      </c>
      <c r="G1823" s="10" t="s">
        <v>148</v>
      </c>
      <c r="H1823" s="11" t="str">
        <f>IF(OR(M1823&lt;=0,N1823&lt;=0),"SKIPPED - NONPOSITIVE",IF(OR(M1823&lt;L1823,N1823&lt;L1823),"SKIPPED - BELOW MIN",IF(OR(M1823&gt;J1823,N1823&gt;K1823),"SKIPPED - EXCEEDS BASE",IF(COUNTIFS($M$1815:M1822,M1823,$N$1815:N1822,N1823)&gt;0,"SKIPPED - DUPLICATE","VALID - GENERATED"))))</f>
        <v>VALID - GENERATED</v>
      </c>
      <c r="I1823" s="10" t="s">
        <v>2130</v>
      </c>
      <c r="J1823" s="12">
        <f>'05-ISO Reference'!$B$24</f>
        <v>125</v>
      </c>
      <c r="K1823" s="12">
        <f>'05-ISO Reference'!$C$24</f>
        <v>176</v>
      </c>
      <c r="L1823" s="12">
        <f>'01-Process Controls'!$G$5</f>
        <v>3</v>
      </c>
      <c r="M1823" s="12">
        <f>ROUNDDOWN(J1823,0)</f>
        <v>125</v>
      </c>
      <c r="N1823" s="12">
        <f>ROUNDDOWN(K1823*'04-Variant Rules'!$D$13,0)</f>
        <v>44</v>
      </c>
      <c r="O1823" s="9">
        <v>8</v>
      </c>
    </row>
    <row r="1824" spans="1:15" ht="21" customHeight="1">
      <c r="A1824" s="9" t="s">
        <v>2139</v>
      </c>
      <c r="B1824" s="12">
        <f>IF(LEFT(H1824,5)="VALID",M1824,"")</f>
        <v>125</v>
      </c>
      <c r="C1824" s="12">
        <f>IF(LEFT(H1824,5)="VALID",N1824,"")</f>
        <v>117</v>
      </c>
      <c r="D1824" s="10" t="s">
        <v>82</v>
      </c>
      <c r="E1824" s="10" t="s">
        <v>2129</v>
      </c>
      <c r="F1824" s="10" t="s">
        <v>150</v>
      </c>
      <c r="G1824" s="10" t="s">
        <v>151</v>
      </c>
      <c r="H1824" s="11" t="str">
        <f>IF(OR(M1824&lt;=0,N1824&lt;=0),"SKIPPED - NONPOSITIVE",IF(OR(M1824&lt;L1824,N1824&lt;L1824),"SKIPPED - BELOW MIN",IF(OR(M1824&gt;J1824,N1824&gt;K1824),"SKIPPED - EXCEEDS BASE",IF(COUNTIFS($M$1815:M1823,M1824,$N$1815:N1823,N1824)&gt;0,"SKIPPED - DUPLICATE","VALID - GENERATED"))))</f>
        <v>VALID - GENERATED</v>
      </c>
      <c r="I1824" s="10" t="s">
        <v>2130</v>
      </c>
      <c r="J1824" s="12">
        <f>'05-ISO Reference'!$B$24</f>
        <v>125</v>
      </c>
      <c r="K1824" s="12">
        <f>'05-ISO Reference'!$C$24</f>
        <v>176</v>
      </c>
      <c r="L1824" s="12">
        <f>'01-Process Controls'!$G$5</f>
        <v>3</v>
      </c>
      <c r="M1824" s="12">
        <f>ROUNDDOWN(J1824,0)</f>
        <v>125</v>
      </c>
      <c r="N1824" s="12">
        <f>ROUNDDOWN(K1824*'04-Variant Rules'!$D$14,0)</f>
        <v>117</v>
      </c>
      <c r="O1824" s="9">
        <v>9</v>
      </c>
    </row>
    <row r="1825" spans="1:15" ht="21" customHeight="1">
      <c r="A1825" s="9" t="s">
        <v>2140</v>
      </c>
      <c r="B1825" s="12">
        <f>IF(LEFT(H1825,5)="VALID",M1825,"")</f>
        <v>125</v>
      </c>
      <c r="C1825" s="12">
        <f>IF(LEFT(H1825,5)="VALID",N1825,"")</f>
        <v>132</v>
      </c>
      <c r="D1825" s="10" t="s">
        <v>82</v>
      </c>
      <c r="E1825" s="10" t="s">
        <v>2129</v>
      </c>
      <c r="F1825" s="10" t="s">
        <v>153</v>
      </c>
      <c r="G1825" s="10" t="s">
        <v>154</v>
      </c>
      <c r="H1825" s="11" t="str">
        <f>IF(OR(M1825&lt;=0,N1825&lt;=0),"SKIPPED - NONPOSITIVE",IF(OR(M1825&lt;L1825,N1825&lt;L1825),"SKIPPED - BELOW MIN",IF(OR(M1825&gt;J1825,N1825&gt;K1825),"SKIPPED - EXCEEDS BASE",IF(COUNTIFS($M$1815:M1824,M1825,$N$1815:N1824,N1825)&gt;0,"SKIPPED - DUPLICATE","VALID - GENERATED"))))</f>
        <v>VALID - GENERATED</v>
      </c>
      <c r="I1825" s="10" t="s">
        <v>2130</v>
      </c>
      <c r="J1825" s="12">
        <f>'05-ISO Reference'!$B$24</f>
        <v>125</v>
      </c>
      <c r="K1825" s="12">
        <f>'05-ISO Reference'!$C$24</f>
        <v>176</v>
      </c>
      <c r="L1825" s="12">
        <f>'01-Process Controls'!$G$5</f>
        <v>3</v>
      </c>
      <c r="M1825" s="12">
        <f>ROUNDDOWN(J1825,0)</f>
        <v>125</v>
      </c>
      <c r="N1825" s="12">
        <f>ROUNDDOWN(K1825*'04-Variant Rules'!$D$15,0)</f>
        <v>132</v>
      </c>
      <c r="O1825" s="9">
        <v>10</v>
      </c>
    </row>
    <row r="1826" spans="1:15" ht="21" customHeight="1">
      <c r="A1826" s="9" t="s">
        <v>2141</v>
      </c>
      <c r="B1826" s="12">
        <f>IF(LEFT(H1826,5)="VALID",M1826,"")</f>
        <v>62</v>
      </c>
      <c r="C1826" s="12">
        <f>IF(LEFT(H1826,5)="VALID",N1826,"")</f>
        <v>88</v>
      </c>
      <c r="D1826" s="10" t="s">
        <v>82</v>
      </c>
      <c r="E1826" s="10" t="s">
        <v>2129</v>
      </c>
      <c r="F1826" s="10" t="s">
        <v>156</v>
      </c>
      <c r="G1826" s="10" t="s">
        <v>157</v>
      </c>
      <c r="H1826" s="11" t="str">
        <f>IF(OR(M1826&lt;=0,N1826&lt;=0),"SKIPPED - NONPOSITIVE",IF(OR(M1826&lt;L1826,N1826&lt;L1826),"SKIPPED - BELOW MIN",IF(OR(M1826&gt;J1826,N1826&gt;K1826),"SKIPPED - EXCEEDS BASE",IF(COUNTIFS($M$1815:M1825,M1826,$N$1815:N1825,N1826)&gt;0,"SKIPPED - DUPLICATE","VALID - GENERATED"))))</f>
        <v>VALID - GENERATED</v>
      </c>
      <c r="I1826" s="10" t="s">
        <v>2130</v>
      </c>
      <c r="J1826" s="12">
        <f>'05-ISO Reference'!$B$24</f>
        <v>125</v>
      </c>
      <c r="K1826" s="12">
        <f>'05-ISO Reference'!$C$24</f>
        <v>176</v>
      </c>
      <c r="L1826" s="12">
        <f>'01-Process Controls'!$G$5</f>
        <v>3</v>
      </c>
      <c r="M1826" s="12">
        <f>ROUNDDOWN(J1826*'04-Variant Rules'!$D$16,0)</f>
        <v>62</v>
      </c>
      <c r="N1826" s="12">
        <f>ROUNDDOWN(K1826*'04-Variant Rules'!$E$16,0)</f>
        <v>88</v>
      </c>
      <c r="O1826" s="9">
        <v>11</v>
      </c>
    </row>
    <row r="1827" spans="1:15" ht="21" customHeight="1">
      <c r="A1827" s="9" t="s">
        <v>2142</v>
      </c>
      <c r="B1827" s="12">
        <f>IF(LEFT(H1827,5)="VALID",M1827,"")</f>
        <v>41</v>
      </c>
      <c r="C1827" s="12">
        <f>IF(LEFT(H1827,5)="VALID",N1827,"")</f>
        <v>58</v>
      </c>
      <c r="D1827" s="10" t="s">
        <v>82</v>
      </c>
      <c r="E1827" s="10" t="s">
        <v>2129</v>
      </c>
      <c r="F1827" s="10" t="s">
        <v>159</v>
      </c>
      <c r="G1827" s="10" t="s">
        <v>160</v>
      </c>
      <c r="H1827" s="11" t="str">
        <f>IF(OR(M1827&lt;=0,N1827&lt;=0),"SKIPPED - NONPOSITIVE",IF(OR(M1827&lt;L1827,N1827&lt;L1827),"SKIPPED - BELOW MIN",IF(OR(M1827&gt;J1827,N1827&gt;K1827),"SKIPPED - EXCEEDS BASE",IF(COUNTIFS($M$1815:M1826,M1827,$N$1815:N1826,N1827)&gt;0,"SKIPPED - DUPLICATE","VALID - GENERATED"))))</f>
        <v>VALID - GENERATED</v>
      </c>
      <c r="I1827" s="10" t="s">
        <v>2130</v>
      </c>
      <c r="J1827" s="12">
        <f>'05-ISO Reference'!$B$24</f>
        <v>125</v>
      </c>
      <c r="K1827" s="12">
        <f>'05-ISO Reference'!$C$24</f>
        <v>176</v>
      </c>
      <c r="L1827" s="12">
        <f>'01-Process Controls'!$G$5</f>
        <v>3</v>
      </c>
      <c r="M1827" s="12">
        <f>ROUNDDOWN(J1827*'04-Variant Rules'!$D$17,0)</f>
        <v>41</v>
      </c>
      <c r="N1827" s="12">
        <f>ROUNDDOWN(K1827*'04-Variant Rules'!$E$17,0)</f>
        <v>58</v>
      </c>
      <c r="O1827" s="9">
        <v>12</v>
      </c>
    </row>
    <row r="1828" spans="1:15" ht="21" customHeight="1">
      <c r="A1828" s="9" t="s">
        <v>2143</v>
      </c>
      <c r="B1828" s="12">
        <f>IF(LEFT(H1828,5)="VALID",M1828,"")</f>
        <v>31</v>
      </c>
      <c r="C1828" s="12">
        <f>IF(LEFT(H1828,5)="VALID",N1828,"")</f>
        <v>44</v>
      </c>
      <c r="D1828" s="10" t="s">
        <v>82</v>
      </c>
      <c r="E1828" s="10" t="s">
        <v>2129</v>
      </c>
      <c r="F1828" s="10" t="s">
        <v>162</v>
      </c>
      <c r="G1828" s="10" t="s">
        <v>163</v>
      </c>
      <c r="H1828" s="11" t="str">
        <f>IF(OR(M1828&lt;=0,N1828&lt;=0),"SKIPPED - NONPOSITIVE",IF(OR(M1828&lt;L1828,N1828&lt;L1828),"SKIPPED - BELOW MIN",IF(OR(M1828&gt;J1828,N1828&gt;K1828),"SKIPPED - EXCEEDS BASE",IF(COUNTIFS($M$1815:M1827,M1828,$N$1815:N1827,N1828)&gt;0,"SKIPPED - DUPLICATE","VALID - GENERATED"))))</f>
        <v>VALID - GENERATED</v>
      </c>
      <c r="I1828" s="10" t="s">
        <v>2130</v>
      </c>
      <c r="J1828" s="12">
        <f>'05-ISO Reference'!$B$24</f>
        <v>125</v>
      </c>
      <c r="K1828" s="12">
        <f>'05-ISO Reference'!$C$24</f>
        <v>176</v>
      </c>
      <c r="L1828" s="12">
        <f>'01-Process Controls'!$G$5</f>
        <v>3</v>
      </c>
      <c r="M1828" s="12">
        <f>ROUNDDOWN(J1828*'04-Variant Rules'!$D$18,0)</f>
        <v>31</v>
      </c>
      <c r="N1828" s="12">
        <f>ROUNDDOWN(K1828*'04-Variant Rules'!$E$18,0)</f>
        <v>44</v>
      </c>
      <c r="O1828" s="9">
        <v>13</v>
      </c>
    </row>
    <row r="1829" spans="1:15" ht="21" customHeight="1">
      <c r="A1829" s="9" t="s">
        <v>2144</v>
      </c>
      <c r="B1829" s="12">
        <f>IF(LEFT(H1829,5)="VALID",M1829,"")</f>
        <v>62</v>
      </c>
      <c r="C1829" s="12">
        <f>IF(LEFT(H1829,5)="VALID",N1829,"")</f>
        <v>58</v>
      </c>
      <c r="D1829" s="10" t="s">
        <v>82</v>
      </c>
      <c r="E1829" s="10" t="s">
        <v>2129</v>
      </c>
      <c r="F1829" s="10" t="s">
        <v>165</v>
      </c>
      <c r="G1829" s="10" t="s">
        <v>166</v>
      </c>
      <c r="H1829" s="11" t="str">
        <f>IF(OR(M1829&lt;=0,N1829&lt;=0),"SKIPPED - NONPOSITIVE",IF(OR(M1829&lt;L1829,N1829&lt;L1829),"SKIPPED - BELOW MIN",IF(OR(M1829&gt;J1829,N1829&gt;K1829),"SKIPPED - EXCEEDS BASE",IF(COUNTIFS($M$1815:M1828,M1829,$N$1815:N1828,N1829)&gt;0,"SKIPPED - DUPLICATE","VALID - GENERATED"))))</f>
        <v>VALID - GENERATED</v>
      </c>
      <c r="I1829" s="10" t="s">
        <v>2130</v>
      </c>
      <c r="J1829" s="12">
        <f>'05-ISO Reference'!$B$24</f>
        <v>125</v>
      </c>
      <c r="K1829" s="12">
        <f>'05-ISO Reference'!$C$24</f>
        <v>176</v>
      </c>
      <c r="L1829" s="12">
        <f>'01-Process Controls'!$G$5</f>
        <v>3</v>
      </c>
      <c r="M1829" s="12">
        <f>ROUNDDOWN(J1829*'04-Variant Rules'!$D$19,0)</f>
        <v>62</v>
      </c>
      <c r="N1829" s="12">
        <f>ROUNDDOWN(K1829*'04-Variant Rules'!$E$19,0)</f>
        <v>58</v>
      </c>
      <c r="O1829" s="9">
        <v>14</v>
      </c>
    </row>
    <row r="1830" spans="1:15" ht="21" customHeight="1">
      <c r="A1830" s="9" t="s">
        <v>2145</v>
      </c>
      <c r="B1830" s="12">
        <f>IF(LEFT(H1830,5)="VALID",M1830,"")</f>
        <v>41</v>
      </c>
      <c r="C1830" s="12">
        <f>IF(LEFT(H1830,5)="VALID",N1830,"")</f>
        <v>88</v>
      </c>
      <c r="D1830" s="10" t="s">
        <v>82</v>
      </c>
      <c r="E1830" s="10" t="s">
        <v>2129</v>
      </c>
      <c r="F1830" s="10" t="s">
        <v>168</v>
      </c>
      <c r="G1830" s="10" t="s">
        <v>166</v>
      </c>
      <c r="H1830" s="11" t="str">
        <f>IF(OR(M1830&lt;=0,N1830&lt;=0),"SKIPPED - NONPOSITIVE",IF(OR(M1830&lt;L1830,N1830&lt;L1830),"SKIPPED - BELOW MIN",IF(OR(M1830&gt;J1830,N1830&gt;K1830),"SKIPPED - EXCEEDS BASE",IF(COUNTIFS($M$1815:M1829,M1830,$N$1815:N1829,N1830)&gt;0,"SKIPPED - DUPLICATE","VALID - GENERATED"))))</f>
        <v>VALID - GENERATED</v>
      </c>
      <c r="I1830" s="10" t="s">
        <v>2130</v>
      </c>
      <c r="J1830" s="12">
        <f>'05-ISO Reference'!$B$24</f>
        <v>125</v>
      </c>
      <c r="K1830" s="12">
        <f>'05-ISO Reference'!$C$24</f>
        <v>176</v>
      </c>
      <c r="L1830" s="12">
        <f>'01-Process Controls'!$G$5</f>
        <v>3</v>
      </c>
      <c r="M1830" s="12">
        <f>ROUNDDOWN(J1830*'04-Variant Rules'!$D$20,0)</f>
        <v>41</v>
      </c>
      <c r="N1830" s="12">
        <f>ROUNDDOWN(K1830*'04-Variant Rules'!$E$20,0)</f>
        <v>88</v>
      </c>
      <c r="O1830" s="9">
        <v>15</v>
      </c>
    </row>
    <row r="1831" spans="1:15" ht="21" customHeight="1">
      <c r="A1831" s="9" t="s">
        <v>2146</v>
      </c>
      <c r="B1831" s="12">
        <f>IF(LEFT(H1831,5)="VALID",M1831,"")</f>
        <v>62</v>
      </c>
      <c r="C1831" s="12">
        <f>IF(LEFT(H1831,5)="VALID",N1831,"")</f>
        <v>44</v>
      </c>
      <c r="D1831" s="10" t="s">
        <v>82</v>
      </c>
      <c r="E1831" s="10" t="s">
        <v>2129</v>
      </c>
      <c r="F1831" s="10" t="s">
        <v>170</v>
      </c>
      <c r="G1831" s="10" t="s">
        <v>166</v>
      </c>
      <c r="H1831" s="11" t="str">
        <f>IF(OR(M1831&lt;=0,N1831&lt;=0),"SKIPPED - NONPOSITIVE",IF(OR(M1831&lt;L1831,N1831&lt;L1831),"SKIPPED - BELOW MIN",IF(OR(M1831&gt;J1831,N1831&gt;K1831),"SKIPPED - EXCEEDS BASE",IF(COUNTIFS($M$1815:M1830,M1831,$N$1815:N1830,N1831)&gt;0,"SKIPPED - DUPLICATE","VALID - GENERATED"))))</f>
        <v>VALID - GENERATED</v>
      </c>
      <c r="I1831" s="10" t="s">
        <v>2130</v>
      </c>
      <c r="J1831" s="12">
        <f>'05-ISO Reference'!$B$24</f>
        <v>125</v>
      </c>
      <c r="K1831" s="12">
        <f>'05-ISO Reference'!$C$24</f>
        <v>176</v>
      </c>
      <c r="L1831" s="12">
        <f>'01-Process Controls'!$G$5</f>
        <v>3</v>
      </c>
      <c r="M1831" s="12">
        <f>ROUNDDOWN(J1831*'04-Variant Rules'!$D$21,0)</f>
        <v>62</v>
      </c>
      <c r="N1831" s="12">
        <f>ROUNDDOWN(K1831*'04-Variant Rules'!$E$21,0)</f>
        <v>44</v>
      </c>
      <c r="O1831" s="9">
        <v>16</v>
      </c>
    </row>
    <row r="1832" spans="1:15" ht="21" customHeight="1">
      <c r="A1832" s="9" t="s">
        <v>2147</v>
      </c>
      <c r="B1832" s="12">
        <f>IF(LEFT(H1832,5)="VALID",M1832,"")</f>
        <v>31</v>
      </c>
      <c r="C1832" s="12">
        <f>IF(LEFT(H1832,5)="VALID",N1832,"")</f>
        <v>88</v>
      </c>
      <c r="D1832" s="10" t="s">
        <v>82</v>
      </c>
      <c r="E1832" s="10" t="s">
        <v>2129</v>
      </c>
      <c r="F1832" s="10" t="s">
        <v>172</v>
      </c>
      <c r="G1832" s="10" t="s">
        <v>166</v>
      </c>
      <c r="H1832" s="11" t="str">
        <f>IF(OR(M1832&lt;=0,N1832&lt;=0),"SKIPPED - NONPOSITIVE",IF(OR(M1832&lt;L1832,N1832&lt;L1832),"SKIPPED - BELOW MIN",IF(OR(M1832&gt;J1832,N1832&gt;K1832),"SKIPPED - EXCEEDS BASE",IF(COUNTIFS($M$1815:M1831,M1832,$N$1815:N1831,N1832)&gt;0,"SKIPPED - DUPLICATE","VALID - GENERATED"))))</f>
        <v>VALID - GENERATED</v>
      </c>
      <c r="I1832" s="10" t="s">
        <v>2130</v>
      </c>
      <c r="J1832" s="12">
        <f>'05-ISO Reference'!$B$24</f>
        <v>125</v>
      </c>
      <c r="K1832" s="12">
        <f>'05-ISO Reference'!$C$24</f>
        <v>176</v>
      </c>
      <c r="L1832" s="12">
        <f>'01-Process Controls'!$G$5</f>
        <v>3</v>
      </c>
      <c r="M1832" s="12">
        <f>ROUNDDOWN(J1832*'04-Variant Rules'!$D$22,0)</f>
        <v>31</v>
      </c>
      <c r="N1832" s="12">
        <f>ROUNDDOWN(K1832*'04-Variant Rules'!$E$22,0)</f>
        <v>88</v>
      </c>
      <c r="O1832" s="9">
        <v>17</v>
      </c>
    </row>
    <row r="1833" spans="1:15" ht="21" customHeight="1">
      <c r="A1833" s="9" t="s">
        <v>2148</v>
      </c>
      <c r="B1833" s="12">
        <f>IF(LEFT(H1833,5)="VALID",M1833,"")</f>
        <v>83</v>
      </c>
      <c r="C1833" s="12">
        <f>IF(LEFT(H1833,5)="VALID",N1833,"")</f>
        <v>88</v>
      </c>
      <c r="D1833" s="10" t="s">
        <v>82</v>
      </c>
      <c r="E1833" s="10" t="s">
        <v>2129</v>
      </c>
      <c r="F1833" s="10" t="s">
        <v>174</v>
      </c>
      <c r="G1833" s="10" t="s">
        <v>166</v>
      </c>
      <c r="H1833" s="11" t="str">
        <f>IF(OR(M1833&lt;=0,N1833&lt;=0),"SKIPPED - NONPOSITIVE",IF(OR(M1833&lt;L1833,N1833&lt;L1833),"SKIPPED - BELOW MIN",IF(OR(M1833&gt;J1833,N1833&gt;K1833),"SKIPPED - EXCEEDS BASE",IF(COUNTIFS($M$1815:M1832,M1833,$N$1815:N1832,N1833)&gt;0,"SKIPPED - DUPLICATE","VALID - GENERATED"))))</f>
        <v>VALID - GENERATED</v>
      </c>
      <c r="I1833" s="10" t="s">
        <v>2130</v>
      </c>
      <c r="J1833" s="12">
        <f>'05-ISO Reference'!$B$24</f>
        <v>125</v>
      </c>
      <c r="K1833" s="12">
        <f>'05-ISO Reference'!$C$24</f>
        <v>176</v>
      </c>
      <c r="L1833" s="12">
        <f>'01-Process Controls'!$G$5</f>
        <v>3</v>
      </c>
      <c r="M1833" s="12">
        <f>ROUNDDOWN(J1833*'04-Variant Rules'!$D$23,0)</f>
        <v>83</v>
      </c>
      <c r="N1833" s="12">
        <f>ROUNDDOWN(K1833*'04-Variant Rules'!$E$23,0)</f>
        <v>88</v>
      </c>
      <c r="O1833" s="9">
        <v>18</v>
      </c>
    </row>
    <row r="1834" spans="1:15" ht="21" customHeight="1">
      <c r="A1834" s="9" t="s">
        <v>2149</v>
      </c>
      <c r="B1834" s="12">
        <f>IF(LEFT(H1834,5)="VALID",M1834,"")</f>
        <v>62</v>
      </c>
      <c r="C1834" s="12">
        <f>IF(LEFT(H1834,5)="VALID",N1834,"")</f>
        <v>117</v>
      </c>
      <c r="D1834" s="10" t="s">
        <v>82</v>
      </c>
      <c r="E1834" s="10" t="s">
        <v>2129</v>
      </c>
      <c r="F1834" s="10" t="s">
        <v>176</v>
      </c>
      <c r="G1834" s="10" t="s">
        <v>166</v>
      </c>
      <c r="H1834" s="11" t="str">
        <f>IF(OR(M1834&lt;=0,N1834&lt;=0),"SKIPPED - NONPOSITIVE",IF(OR(M1834&lt;L1834,N1834&lt;L1834),"SKIPPED - BELOW MIN",IF(OR(M1834&gt;J1834,N1834&gt;K1834),"SKIPPED - EXCEEDS BASE",IF(COUNTIFS($M$1815:M1833,M1834,$N$1815:N1833,N1834)&gt;0,"SKIPPED - DUPLICATE","VALID - GENERATED"))))</f>
        <v>VALID - GENERATED</v>
      </c>
      <c r="I1834" s="10" t="s">
        <v>2130</v>
      </c>
      <c r="J1834" s="12">
        <f>'05-ISO Reference'!$B$24</f>
        <v>125</v>
      </c>
      <c r="K1834" s="12">
        <f>'05-ISO Reference'!$C$24</f>
        <v>176</v>
      </c>
      <c r="L1834" s="12">
        <f>'01-Process Controls'!$G$5</f>
        <v>3</v>
      </c>
      <c r="M1834" s="12">
        <f>ROUNDDOWN(J1834*'04-Variant Rules'!$D$24,0)</f>
        <v>62</v>
      </c>
      <c r="N1834" s="12">
        <f>ROUNDDOWN(K1834*'04-Variant Rules'!$E$24,0)</f>
        <v>117</v>
      </c>
      <c r="O1834" s="9">
        <v>19</v>
      </c>
    </row>
    <row r="1835" spans="1:15" ht="21" customHeight="1">
      <c r="A1835" s="9" t="s">
        <v>2150</v>
      </c>
      <c r="B1835" s="12">
        <f>IF(LEFT(H1835,5)="VALID",M1835,"")</f>
        <v>93</v>
      </c>
      <c r="C1835" s="12">
        <f>IF(LEFT(H1835,5)="VALID",N1835,"")</f>
        <v>88</v>
      </c>
      <c r="D1835" s="10" t="s">
        <v>82</v>
      </c>
      <c r="E1835" s="10" t="s">
        <v>2129</v>
      </c>
      <c r="F1835" s="10" t="s">
        <v>178</v>
      </c>
      <c r="G1835" s="10" t="s">
        <v>166</v>
      </c>
      <c r="H1835" s="11" t="str">
        <f>IF(OR(M1835&lt;=0,N1835&lt;=0),"SKIPPED - NONPOSITIVE",IF(OR(M1835&lt;L1835,N1835&lt;L1835),"SKIPPED - BELOW MIN",IF(OR(M1835&gt;J1835,N1835&gt;K1835),"SKIPPED - EXCEEDS BASE",IF(COUNTIFS($M$1815:M1834,M1835,$N$1815:N1834,N1835)&gt;0,"SKIPPED - DUPLICATE","VALID - GENERATED"))))</f>
        <v>VALID - GENERATED</v>
      </c>
      <c r="I1835" s="10" t="s">
        <v>2130</v>
      </c>
      <c r="J1835" s="12">
        <f>'05-ISO Reference'!$B$24</f>
        <v>125</v>
      </c>
      <c r="K1835" s="12">
        <f>'05-ISO Reference'!$C$24</f>
        <v>176</v>
      </c>
      <c r="L1835" s="12">
        <f>'01-Process Controls'!$G$5</f>
        <v>3</v>
      </c>
      <c r="M1835" s="12">
        <f>ROUNDDOWN(J1835*'04-Variant Rules'!$D$25,0)</f>
        <v>93</v>
      </c>
      <c r="N1835" s="12">
        <f>ROUNDDOWN(K1835*'04-Variant Rules'!$E$25,0)</f>
        <v>88</v>
      </c>
      <c r="O1835" s="9">
        <v>20</v>
      </c>
    </row>
    <row r="1836" spans="1:15" ht="21" customHeight="1">
      <c r="A1836" s="9" t="s">
        <v>2151</v>
      </c>
      <c r="B1836" s="12">
        <f>IF(LEFT(H1836,5)="VALID",M1836,"")</f>
        <v>62</v>
      </c>
      <c r="C1836" s="12">
        <f>IF(LEFT(H1836,5)="VALID",N1836,"")</f>
        <v>132</v>
      </c>
      <c r="D1836" s="10" t="s">
        <v>82</v>
      </c>
      <c r="E1836" s="10" t="s">
        <v>2129</v>
      </c>
      <c r="F1836" s="10" t="s">
        <v>180</v>
      </c>
      <c r="G1836" s="10" t="s">
        <v>166</v>
      </c>
      <c r="H1836" s="11" t="str">
        <f>IF(OR(M1836&lt;=0,N1836&lt;=0),"SKIPPED - NONPOSITIVE",IF(OR(M1836&lt;L1836,N1836&lt;L1836),"SKIPPED - BELOW MIN",IF(OR(M1836&gt;J1836,N1836&gt;K1836),"SKIPPED - EXCEEDS BASE",IF(COUNTIFS($M$1815:M1835,M1836,$N$1815:N1835,N1836)&gt;0,"SKIPPED - DUPLICATE","VALID - GENERATED"))))</f>
        <v>VALID - GENERATED</v>
      </c>
      <c r="I1836" s="10" t="s">
        <v>2130</v>
      </c>
      <c r="J1836" s="12">
        <f>'05-ISO Reference'!$B$24</f>
        <v>125</v>
      </c>
      <c r="K1836" s="12">
        <f>'05-ISO Reference'!$C$24</f>
        <v>176</v>
      </c>
      <c r="L1836" s="12">
        <f>'01-Process Controls'!$G$5</f>
        <v>3</v>
      </c>
      <c r="M1836" s="12">
        <f>ROUNDDOWN(J1836*'04-Variant Rules'!$D$26,0)</f>
        <v>62</v>
      </c>
      <c r="N1836" s="12">
        <f>ROUNDDOWN(K1836*'04-Variant Rules'!$E$26,0)</f>
        <v>132</v>
      </c>
      <c r="O1836" s="9">
        <v>21</v>
      </c>
    </row>
    <row r="1837" spans="1:15" ht="21" customHeight="1">
      <c r="A1837" s="9" t="s">
        <v>2152</v>
      </c>
      <c r="B1837" s="12">
        <f>IF(LEFT(H1837,5)="VALID",M1837,"")</f>
        <v>118</v>
      </c>
      <c r="C1837" s="12">
        <f>IF(LEFT(H1837,5)="VALID",N1837,"")</f>
        <v>167</v>
      </c>
      <c r="D1837" s="10" t="s">
        <v>82</v>
      </c>
      <c r="E1837" s="10" t="s">
        <v>2129</v>
      </c>
      <c r="F1837" s="10" t="s">
        <v>182</v>
      </c>
      <c r="G1837" s="10" t="s">
        <v>183</v>
      </c>
      <c r="H1837" s="11" t="str">
        <f>IF(OR(M1837&lt;=0,N1837&lt;=0),"SKIPPED - NONPOSITIVE",IF(OR(M1837&lt;L1837,N1837&lt;L1837),"SKIPPED - BELOW MIN",IF(OR(M1837&gt;J1837,N1837&gt;K1837),"SKIPPED - EXCEEDS BASE",IF(COUNTIFS($M$1815:M1836,M1837,$N$1815:N1836,N1837)&gt;0,"SKIPPED - DUPLICATE","VALID - GENERATED"))))</f>
        <v>VALID - GENERATED</v>
      </c>
      <c r="I1837" s="10" t="s">
        <v>2130</v>
      </c>
      <c r="J1837" s="12">
        <f>'05-ISO Reference'!$B$24</f>
        <v>125</v>
      </c>
      <c r="K1837" s="12">
        <f>'05-ISO Reference'!$C$24</f>
        <v>176</v>
      </c>
      <c r="L1837" s="12">
        <f>'01-Process Controls'!$G$5</f>
        <v>3</v>
      </c>
      <c r="M1837" s="12">
        <f>ROUNDDOWN(J1837*'04-Variant Rules'!$D$27,0)</f>
        <v>118</v>
      </c>
      <c r="N1837" s="12">
        <f>ROUNDDOWN(K1837*'04-Variant Rules'!$E$27,0)</f>
        <v>167</v>
      </c>
      <c r="O1837" s="9">
        <v>22</v>
      </c>
    </row>
    <row r="1838" spans="1:15" ht="21" customHeight="1">
      <c r="A1838" s="9" t="s">
        <v>2153</v>
      </c>
      <c r="B1838" s="12">
        <f>IF(LEFT(H1838,5)="VALID",M1838,"")</f>
        <v>112</v>
      </c>
      <c r="C1838" s="12">
        <f>IF(LEFT(H1838,5)="VALID",N1838,"")</f>
        <v>158</v>
      </c>
      <c r="D1838" s="10" t="s">
        <v>82</v>
      </c>
      <c r="E1838" s="10" t="s">
        <v>2129</v>
      </c>
      <c r="F1838" s="10" t="s">
        <v>185</v>
      </c>
      <c r="G1838" s="10" t="s">
        <v>186</v>
      </c>
      <c r="H1838" s="11" t="str">
        <f>IF(OR(M1838&lt;=0,N1838&lt;=0),"SKIPPED - NONPOSITIVE",IF(OR(M1838&lt;L1838,N1838&lt;L1838),"SKIPPED - BELOW MIN",IF(OR(M1838&gt;J1838,N1838&gt;K1838),"SKIPPED - EXCEEDS BASE",IF(COUNTIFS($M$1815:M1837,M1838,$N$1815:N1837,N1838)&gt;0,"SKIPPED - DUPLICATE","VALID - GENERATED"))))</f>
        <v>VALID - GENERATED</v>
      </c>
      <c r="I1838" s="10" t="s">
        <v>2130</v>
      </c>
      <c r="J1838" s="12">
        <f>'05-ISO Reference'!$B$24</f>
        <v>125</v>
      </c>
      <c r="K1838" s="12">
        <f>'05-ISO Reference'!$C$24</f>
        <v>176</v>
      </c>
      <c r="L1838" s="12">
        <f>'01-Process Controls'!$G$5</f>
        <v>3</v>
      </c>
      <c r="M1838" s="12">
        <f>ROUNDDOWN(J1838*'04-Variant Rules'!$D$28,0)</f>
        <v>112</v>
      </c>
      <c r="N1838" s="12">
        <f>ROUNDDOWN(K1838*'04-Variant Rules'!$E$28,0)</f>
        <v>158</v>
      </c>
      <c r="O1838" s="9">
        <v>23</v>
      </c>
    </row>
    <row r="1839" spans="1:15" ht="21" customHeight="1">
      <c r="A1839" s="9" t="s">
        <v>2154</v>
      </c>
      <c r="B1839" s="12">
        <f>IF(LEFT(H1839,5)="VALID",M1839,"")</f>
        <v>106</v>
      </c>
      <c r="C1839" s="12">
        <f>IF(LEFT(H1839,5)="VALID",N1839,"")</f>
        <v>149</v>
      </c>
      <c r="D1839" s="10" t="s">
        <v>82</v>
      </c>
      <c r="E1839" s="10" t="s">
        <v>2129</v>
      </c>
      <c r="F1839" s="10" t="s">
        <v>188</v>
      </c>
      <c r="G1839" s="10" t="s">
        <v>186</v>
      </c>
      <c r="H1839" s="11" t="str">
        <f>IF(OR(M1839&lt;=0,N1839&lt;=0),"SKIPPED - NONPOSITIVE",IF(OR(M1839&lt;L1839,N1839&lt;L1839),"SKIPPED - BELOW MIN",IF(OR(M1839&gt;J1839,N1839&gt;K1839),"SKIPPED - EXCEEDS BASE",IF(COUNTIFS($M$1815:M1838,M1839,$N$1815:N1838,N1839)&gt;0,"SKIPPED - DUPLICATE","VALID - GENERATED"))))</f>
        <v>VALID - GENERATED</v>
      </c>
      <c r="I1839" s="10" t="s">
        <v>2130</v>
      </c>
      <c r="J1839" s="12">
        <f>'05-ISO Reference'!$B$24</f>
        <v>125</v>
      </c>
      <c r="K1839" s="12">
        <f>'05-ISO Reference'!$C$24</f>
        <v>176</v>
      </c>
      <c r="L1839" s="12">
        <f>'01-Process Controls'!$G$5</f>
        <v>3</v>
      </c>
      <c r="M1839" s="12">
        <f>ROUNDDOWN(J1839*'04-Variant Rules'!$D$29,0)</f>
        <v>106</v>
      </c>
      <c r="N1839" s="12">
        <f>ROUNDDOWN(K1839*'04-Variant Rules'!$E$29,0)</f>
        <v>149</v>
      </c>
      <c r="O1839" s="9">
        <v>24</v>
      </c>
    </row>
    <row r="1840" spans="1:15" ht="21" customHeight="1">
      <c r="A1840" s="9" t="s">
        <v>2155</v>
      </c>
      <c r="B1840" s="12">
        <f>IF(LEFT(H1840,5)="VALID",M1840,"")</f>
        <v>100</v>
      </c>
      <c r="C1840" s="12">
        <f>IF(LEFT(H1840,5)="VALID",N1840,"")</f>
        <v>140</v>
      </c>
      <c r="D1840" s="10" t="s">
        <v>82</v>
      </c>
      <c r="E1840" s="10" t="s">
        <v>2129</v>
      </c>
      <c r="F1840" s="10" t="s">
        <v>190</v>
      </c>
      <c r="G1840" s="10" t="s">
        <v>186</v>
      </c>
      <c r="H1840" s="11" t="str">
        <f>IF(OR(M1840&lt;=0,N1840&lt;=0),"SKIPPED - NONPOSITIVE",IF(OR(M1840&lt;L1840,N1840&lt;L1840),"SKIPPED - BELOW MIN",IF(OR(M1840&gt;J1840,N1840&gt;K1840),"SKIPPED - EXCEEDS BASE",IF(COUNTIFS($M$1815:M1839,M1840,$N$1815:N1839,N1840)&gt;0,"SKIPPED - DUPLICATE","VALID - GENERATED"))))</f>
        <v>VALID - GENERATED</v>
      </c>
      <c r="I1840" s="10" t="s">
        <v>2130</v>
      </c>
      <c r="J1840" s="12">
        <f>'05-ISO Reference'!$B$24</f>
        <v>125</v>
      </c>
      <c r="K1840" s="12">
        <f>'05-ISO Reference'!$C$24</f>
        <v>176</v>
      </c>
      <c r="L1840" s="12">
        <f>'01-Process Controls'!$G$5</f>
        <v>3</v>
      </c>
      <c r="M1840" s="12">
        <f>ROUNDDOWN(J1840*'04-Variant Rules'!$D$30,0)</f>
        <v>100</v>
      </c>
      <c r="N1840" s="12">
        <f>ROUNDDOWN(K1840*'04-Variant Rules'!$E$30,0)</f>
        <v>140</v>
      </c>
      <c r="O1840" s="9">
        <v>25</v>
      </c>
    </row>
    <row r="1841" spans="1:15" ht="21" customHeight="1">
      <c r="A1841" s="9" t="s">
        <v>2156</v>
      </c>
      <c r="B1841" s="12">
        <f>IF(LEFT(H1841,5)="VALID",M1841,"")</f>
        <v>93</v>
      </c>
      <c r="C1841" s="12">
        <f>IF(LEFT(H1841,5)="VALID",N1841,"")</f>
        <v>132</v>
      </c>
      <c r="D1841" s="10" t="s">
        <v>82</v>
      </c>
      <c r="E1841" s="10" t="s">
        <v>2129</v>
      </c>
      <c r="F1841" s="10" t="s">
        <v>192</v>
      </c>
      <c r="G1841" s="10" t="s">
        <v>186</v>
      </c>
      <c r="H1841" s="11" t="str">
        <f>IF(OR(M1841&lt;=0,N1841&lt;=0),"SKIPPED - NONPOSITIVE",IF(OR(M1841&lt;L1841,N1841&lt;L1841),"SKIPPED - BELOW MIN",IF(OR(M1841&gt;J1841,N1841&gt;K1841),"SKIPPED - EXCEEDS BASE",IF(COUNTIFS($M$1815:M1840,M1841,$N$1815:N1840,N1841)&gt;0,"SKIPPED - DUPLICATE","VALID - GENERATED"))))</f>
        <v>VALID - GENERATED</v>
      </c>
      <c r="I1841" s="10" t="s">
        <v>2130</v>
      </c>
      <c r="J1841" s="12">
        <f>'05-ISO Reference'!$B$24</f>
        <v>125</v>
      </c>
      <c r="K1841" s="12">
        <f>'05-ISO Reference'!$C$24</f>
        <v>176</v>
      </c>
      <c r="L1841" s="12">
        <f>'01-Process Controls'!$G$5</f>
        <v>3</v>
      </c>
      <c r="M1841" s="12">
        <f>ROUNDDOWN(J1841*'04-Variant Rules'!$D$31,0)</f>
        <v>93</v>
      </c>
      <c r="N1841" s="12">
        <f>ROUNDDOWN(K1841*'04-Variant Rules'!$E$31,0)</f>
        <v>132</v>
      </c>
      <c r="O1841" s="9">
        <v>26</v>
      </c>
    </row>
    <row r="1842" spans="1:15" ht="21" customHeight="1">
      <c r="A1842" s="9" t="s">
        <v>2157</v>
      </c>
      <c r="B1842" s="12">
        <f>IF(LEFT(H1842,5)="VALID",M1842,"")</f>
        <v>87</v>
      </c>
      <c r="C1842" s="12">
        <f>IF(LEFT(H1842,5)="VALID",N1842,"")</f>
        <v>123</v>
      </c>
      <c r="D1842" s="10" t="s">
        <v>82</v>
      </c>
      <c r="E1842" s="10" t="s">
        <v>2129</v>
      </c>
      <c r="F1842" s="10" t="s">
        <v>194</v>
      </c>
      <c r="G1842" s="10" t="s">
        <v>186</v>
      </c>
      <c r="H1842" s="11" t="str">
        <f>IF(OR(M1842&lt;=0,N1842&lt;=0),"SKIPPED - NONPOSITIVE",IF(OR(M1842&lt;L1842,N1842&lt;L1842),"SKIPPED - BELOW MIN",IF(OR(M1842&gt;J1842,N1842&gt;K1842),"SKIPPED - EXCEEDS BASE",IF(COUNTIFS($M$1815:M1841,M1842,$N$1815:N1841,N1842)&gt;0,"SKIPPED - DUPLICATE","VALID - GENERATED"))))</f>
        <v>VALID - GENERATED</v>
      </c>
      <c r="I1842" s="10" t="s">
        <v>2130</v>
      </c>
      <c r="J1842" s="12">
        <f>'05-ISO Reference'!$B$24</f>
        <v>125</v>
      </c>
      <c r="K1842" s="12">
        <f>'05-ISO Reference'!$C$24</f>
        <v>176</v>
      </c>
      <c r="L1842" s="12">
        <f>'01-Process Controls'!$G$5</f>
        <v>3</v>
      </c>
      <c r="M1842" s="12">
        <f>ROUNDDOWN(J1842*'04-Variant Rules'!$D$32,0)</f>
        <v>87</v>
      </c>
      <c r="N1842" s="12">
        <f>ROUNDDOWN(K1842*'04-Variant Rules'!$E$32,0)</f>
        <v>123</v>
      </c>
      <c r="O1842" s="9">
        <v>27</v>
      </c>
    </row>
    <row r="1843" spans="1:15" ht="21" customHeight="1">
      <c r="A1843" s="9" t="s">
        <v>2158</v>
      </c>
      <c r="B1843" s="12">
        <f>IF(LEFT(H1843,5)="VALID",M1843,"")</f>
        <v>83</v>
      </c>
      <c r="C1843" s="12">
        <f>IF(LEFT(H1843,5)="VALID",N1843,"")</f>
        <v>117</v>
      </c>
      <c r="D1843" s="10" t="s">
        <v>82</v>
      </c>
      <c r="E1843" s="10" t="s">
        <v>2129</v>
      </c>
      <c r="F1843" s="10" t="s">
        <v>196</v>
      </c>
      <c r="G1843" s="10" t="s">
        <v>186</v>
      </c>
      <c r="H1843" s="11" t="str">
        <f>IF(OR(M1843&lt;=0,N1843&lt;=0),"SKIPPED - NONPOSITIVE",IF(OR(M1843&lt;L1843,N1843&lt;L1843),"SKIPPED - BELOW MIN",IF(OR(M1843&gt;J1843,N1843&gt;K1843),"SKIPPED - EXCEEDS BASE",IF(COUNTIFS($M$1815:M1842,M1843,$N$1815:N1842,N1843)&gt;0,"SKIPPED - DUPLICATE","VALID - GENERATED"))))</f>
        <v>VALID - GENERATED</v>
      </c>
      <c r="I1843" s="10" t="s">
        <v>2130</v>
      </c>
      <c r="J1843" s="12">
        <f>'05-ISO Reference'!$B$24</f>
        <v>125</v>
      </c>
      <c r="K1843" s="12">
        <f>'05-ISO Reference'!$C$24</f>
        <v>176</v>
      </c>
      <c r="L1843" s="12">
        <f>'01-Process Controls'!$G$5</f>
        <v>3</v>
      </c>
      <c r="M1843" s="12">
        <f>ROUNDDOWN(J1843*'04-Variant Rules'!$D$33,0)</f>
        <v>83</v>
      </c>
      <c r="N1843" s="12">
        <f>ROUNDDOWN(K1843*'04-Variant Rules'!$E$33,0)</f>
        <v>117</v>
      </c>
      <c r="O1843" s="9">
        <v>28</v>
      </c>
    </row>
    <row r="1844" spans="1:15" ht="21" customHeight="1">
      <c r="A1844" s="9" t="s">
        <v>2159</v>
      </c>
      <c r="B1844" s="12">
        <f>IF(LEFT(H1844,5)="VALID",M1844,"")</f>
        <v>75</v>
      </c>
      <c r="C1844" s="12">
        <f>IF(LEFT(H1844,5)="VALID",N1844,"")</f>
        <v>105</v>
      </c>
      <c r="D1844" s="10" t="s">
        <v>82</v>
      </c>
      <c r="E1844" s="10" t="s">
        <v>2129</v>
      </c>
      <c r="F1844" s="10" t="s">
        <v>198</v>
      </c>
      <c r="G1844" s="10" t="s">
        <v>186</v>
      </c>
      <c r="H1844" s="11" t="str">
        <f>IF(OR(M1844&lt;=0,N1844&lt;=0),"SKIPPED - NONPOSITIVE",IF(OR(M1844&lt;L1844,N1844&lt;L1844),"SKIPPED - BELOW MIN",IF(OR(M1844&gt;J1844,N1844&gt;K1844),"SKIPPED - EXCEEDS BASE",IF(COUNTIFS($M$1815:M1843,M1844,$N$1815:N1843,N1844)&gt;0,"SKIPPED - DUPLICATE","VALID - GENERATED"))))</f>
        <v>VALID - GENERATED</v>
      </c>
      <c r="I1844" s="10" t="s">
        <v>2130</v>
      </c>
      <c r="J1844" s="12">
        <f>'05-ISO Reference'!$B$24</f>
        <v>125</v>
      </c>
      <c r="K1844" s="12">
        <f>'05-ISO Reference'!$C$24</f>
        <v>176</v>
      </c>
      <c r="L1844" s="12">
        <f>'01-Process Controls'!$G$5</f>
        <v>3</v>
      </c>
      <c r="M1844" s="12">
        <f>ROUNDDOWN(J1844*'04-Variant Rules'!$D$34,0)</f>
        <v>75</v>
      </c>
      <c r="N1844" s="12">
        <f>ROUNDDOWN(K1844*'04-Variant Rules'!$E$34,0)</f>
        <v>105</v>
      </c>
      <c r="O1844" s="9">
        <v>29</v>
      </c>
    </row>
    <row r="1845" spans="1:15" ht="21" customHeight="1">
      <c r="A1845" s="9" t="s">
        <v>2160</v>
      </c>
      <c r="B1845" s="12">
        <f>IF(LEFT(H1845,5)="VALID",M1845,"")</f>
        <v>68</v>
      </c>
      <c r="C1845" s="12">
        <f>IF(LEFT(H1845,5)="VALID",N1845,"")</f>
        <v>96</v>
      </c>
      <c r="D1845" s="10" t="s">
        <v>82</v>
      </c>
      <c r="E1845" s="10" t="s">
        <v>2129</v>
      </c>
      <c r="F1845" s="10" t="s">
        <v>200</v>
      </c>
      <c r="G1845" s="10" t="s">
        <v>186</v>
      </c>
      <c r="H1845" s="11" t="str">
        <f>IF(OR(M1845&lt;=0,N1845&lt;=0),"SKIPPED - NONPOSITIVE",IF(OR(M1845&lt;L1845,N1845&lt;L1845),"SKIPPED - BELOW MIN",IF(OR(M1845&gt;J1845,N1845&gt;K1845),"SKIPPED - EXCEEDS BASE",IF(COUNTIFS($M$1815:M1844,M1845,$N$1815:N1844,N1845)&gt;0,"SKIPPED - DUPLICATE","VALID - GENERATED"))))</f>
        <v>VALID - GENERATED</v>
      </c>
      <c r="I1845" s="10" t="s">
        <v>2130</v>
      </c>
      <c r="J1845" s="12">
        <f>'05-ISO Reference'!$B$24</f>
        <v>125</v>
      </c>
      <c r="K1845" s="12">
        <f>'05-ISO Reference'!$C$24</f>
        <v>176</v>
      </c>
      <c r="L1845" s="12">
        <f>'01-Process Controls'!$G$5</f>
        <v>3</v>
      </c>
      <c r="M1845" s="12">
        <f>ROUNDDOWN(J1845*'04-Variant Rules'!$D$35,0)</f>
        <v>68</v>
      </c>
      <c r="N1845" s="12">
        <f>ROUNDDOWN(K1845*'04-Variant Rules'!$E$35,0)</f>
        <v>96</v>
      </c>
      <c r="O1845" s="9">
        <v>30</v>
      </c>
    </row>
    <row r="1846" spans="1:15" ht="21" customHeight="1">
      <c r="A1846" s="9" t="s">
        <v>2161</v>
      </c>
      <c r="B1846" s="12">
        <f>IF(LEFT(H1846,5)="VALID",M1846,"")</f>
        <v>56</v>
      </c>
      <c r="C1846" s="12">
        <f>IF(LEFT(H1846,5)="VALID",N1846,"")</f>
        <v>79</v>
      </c>
      <c r="D1846" s="10" t="s">
        <v>82</v>
      </c>
      <c r="E1846" s="10" t="s">
        <v>2129</v>
      </c>
      <c r="F1846" s="10" t="s">
        <v>202</v>
      </c>
      <c r="G1846" s="10" t="s">
        <v>186</v>
      </c>
      <c r="H1846" s="11" t="str">
        <f>IF(OR(M1846&lt;=0,N1846&lt;=0),"SKIPPED - NONPOSITIVE",IF(OR(M1846&lt;L1846,N1846&lt;L1846),"SKIPPED - BELOW MIN",IF(OR(M1846&gt;J1846,N1846&gt;K1846),"SKIPPED - EXCEEDS BASE",IF(COUNTIFS($M$1815:M1845,M1846,$N$1815:N1845,N1846)&gt;0,"SKIPPED - DUPLICATE","VALID - GENERATED"))))</f>
        <v>VALID - GENERATED</v>
      </c>
      <c r="I1846" s="10" t="s">
        <v>2130</v>
      </c>
      <c r="J1846" s="12">
        <f>'05-ISO Reference'!$B$24</f>
        <v>125</v>
      </c>
      <c r="K1846" s="12">
        <f>'05-ISO Reference'!$C$24</f>
        <v>176</v>
      </c>
      <c r="L1846" s="12">
        <f>'01-Process Controls'!$G$5</f>
        <v>3</v>
      </c>
      <c r="M1846" s="12">
        <f>ROUNDDOWN(J1846*'04-Variant Rules'!$D$36,0)</f>
        <v>56</v>
      </c>
      <c r="N1846" s="12">
        <f>ROUNDDOWN(K1846*'04-Variant Rules'!$E$36,0)</f>
        <v>79</v>
      </c>
      <c r="O1846" s="9">
        <v>31</v>
      </c>
    </row>
    <row r="1847" spans="1:15" ht="21" customHeight="1">
      <c r="A1847" s="9" t="s">
        <v>2162</v>
      </c>
      <c r="B1847" s="12">
        <f>IF(LEFT(H1847,5)="VALID",M1847,"")</f>
        <v>50</v>
      </c>
      <c r="C1847" s="12">
        <f>IF(LEFT(H1847,5)="VALID",N1847,"")</f>
        <v>70</v>
      </c>
      <c r="D1847" s="10" t="s">
        <v>82</v>
      </c>
      <c r="E1847" s="10" t="s">
        <v>2129</v>
      </c>
      <c r="F1847" s="10" t="s">
        <v>204</v>
      </c>
      <c r="G1847" s="10" t="s">
        <v>186</v>
      </c>
      <c r="H1847" s="11" t="str">
        <f>IF(OR(M1847&lt;=0,N1847&lt;=0),"SKIPPED - NONPOSITIVE",IF(OR(M1847&lt;L1847,N1847&lt;L1847),"SKIPPED - BELOW MIN",IF(OR(M1847&gt;J1847,N1847&gt;K1847),"SKIPPED - EXCEEDS BASE",IF(COUNTIFS($M$1815:M1846,M1847,$N$1815:N1846,N1847)&gt;0,"SKIPPED - DUPLICATE","VALID - GENERATED"))))</f>
        <v>VALID - GENERATED</v>
      </c>
      <c r="I1847" s="10" t="s">
        <v>2130</v>
      </c>
      <c r="J1847" s="12">
        <f>'05-ISO Reference'!$B$24</f>
        <v>125</v>
      </c>
      <c r="K1847" s="12">
        <f>'05-ISO Reference'!$C$24</f>
        <v>176</v>
      </c>
      <c r="L1847" s="12">
        <f>'01-Process Controls'!$G$5</f>
        <v>3</v>
      </c>
      <c r="M1847" s="12">
        <f>ROUNDDOWN(J1847*'04-Variant Rules'!$D$37,0)</f>
        <v>50</v>
      </c>
      <c r="N1847" s="12">
        <f>ROUNDDOWN(K1847*'04-Variant Rules'!$E$37,0)</f>
        <v>70</v>
      </c>
      <c r="O1847" s="9">
        <v>32</v>
      </c>
    </row>
    <row r="1848" spans="1:15" ht="21" customHeight="1">
      <c r="A1848" s="9" t="s">
        <v>2163</v>
      </c>
      <c r="B1848" s="12">
        <f>IF(LEFT(H1848,5)="VALID",M1848,"")</f>
        <v>43</v>
      </c>
      <c r="C1848" s="12">
        <f>IF(LEFT(H1848,5)="VALID",N1848,"")</f>
        <v>61</v>
      </c>
      <c r="D1848" s="10" t="s">
        <v>82</v>
      </c>
      <c r="E1848" s="10" t="s">
        <v>2129</v>
      </c>
      <c r="F1848" s="10" t="s">
        <v>206</v>
      </c>
      <c r="G1848" s="10" t="s">
        <v>186</v>
      </c>
      <c r="H1848" s="11" t="str">
        <f>IF(OR(M1848&lt;=0,N1848&lt;=0),"SKIPPED - NONPOSITIVE",IF(OR(M1848&lt;L1848,N1848&lt;L1848),"SKIPPED - BELOW MIN",IF(OR(M1848&gt;J1848,N1848&gt;K1848),"SKIPPED - EXCEEDS BASE",IF(COUNTIFS($M$1815:M1847,M1848,$N$1815:N1847,N1848)&gt;0,"SKIPPED - DUPLICATE","VALID - GENERATED"))))</f>
        <v>VALID - GENERATED</v>
      </c>
      <c r="I1848" s="10" t="s">
        <v>2130</v>
      </c>
      <c r="J1848" s="12">
        <f>'05-ISO Reference'!$B$24</f>
        <v>125</v>
      </c>
      <c r="K1848" s="12">
        <f>'05-ISO Reference'!$C$24</f>
        <v>176</v>
      </c>
      <c r="L1848" s="12">
        <f>'01-Process Controls'!$G$5</f>
        <v>3</v>
      </c>
      <c r="M1848" s="12">
        <f>ROUNDDOWN(J1848*'04-Variant Rules'!$D$38,0)</f>
        <v>43</v>
      </c>
      <c r="N1848" s="12">
        <f>ROUNDDOWN(K1848*'04-Variant Rules'!$E$38,0)</f>
        <v>61</v>
      </c>
      <c r="O1848" s="9">
        <v>33</v>
      </c>
    </row>
    <row r="1849" spans="1:15" ht="21" customHeight="1">
      <c r="A1849" s="9" t="s">
        <v>2164</v>
      </c>
      <c r="B1849" s="12">
        <f>IF(LEFT(H1849,5)="VALID",M1849,"")</f>
        <v>37</v>
      </c>
      <c r="C1849" s="12">
        <f>IF(LEFT(H1849,5)="VALID",N1849,"")</f>
        <v>52</v>
      </c>
      <c r="D1849" s="10" t="s">
        <v>82</v>
      </c>
      <c r="E1849" s="10" t="s">
        <v>2129</v>
      </c>
      <c r="F1849" s="10" t="s">
        <v>208</v>
      </c>
      <c r="G1849" s="10" t="s">
        <v>186</v>
      </c>
      <c r="H1849" s="11" t="str">
        <f>IF(OR(M1849&lt;=0,N1849&lt;=0),"SKIPPED - NONPOSITIVE",IF(OR(M1849&lt;L1849,N1849&lt;L1849),"SKIPPED - BELOW MIN",IF(OR(M1849&gt;J1849,N1849&gt;K1849),"SKIPPED - EXCEEDS BASE",IF(COUNTIFS($M$1815:M1848,M1849,$N$1815:N1848,N1849)&gt;0,"SKIPPED - DUPLICATE","VALID - GENERATED"))))</f>
        <v>VALID - GENERATED</v>
      </c>
      <c r="I1849" s="10" t="s">
        <v>2130</v>
      </c>
      <c r="J1849" s="12">
        <f>'05-ISO Reference'!$B$24</f>
        <v>125</v>
      </c>
      <c r="K1849" s="12">
        <f>'05-ISO Reference'!$C$24</f>
        <v>176</v>
      </c>
      <c r="L1849" s="12">
        <f>'01-Process Controls'!$G$5</f>
        <v>3</v>
      </c>
      <c r="M1849" s="12">
        <f>ROUNDDOWN(J1849*'04-Variant Rules'!$D$39,0)</f>
        <v>37</v>
      </c>
      <c r="N1849" s="12">
        <f>ROUNDDOWN(K1849*'04-Variant Rules'!$E$39,0)</f>
        <v>52</v>
      </c>
      <c r="O1849" s="9">
        <v>34</v>
      </c>
    </row>
    <row r="1850" spans="1:15" ht="21" customHeight="1">
      <c r="A1850" s="9" t="s">
        <v>2165</v>
      </c>
      <c r="B1850" s="12">
        <f>IF(LEFT(H1850,5)="VALID",M1850,"")</f>
        <v>25</v>
      </c>
      <c r="C1850" s="12">
        <f>IF(LEFT(H1850,5)="VALID",N1850,"")</f>
        <v>35</v>
      </c>
      <c r="D1850" s="10" t="s">
        <v>82</v>
      </c>
      <c r="E1850" s="10" t="s">
        <v>2129</v>
      </c>
      <c r="F1850" s="10" t="s">
        <v>210</v>
      </c>
      <c r="G1850" s="10" t="s">
        <v>186</v>
      </c>
      <c r="H1850" s="11" t="str">
        <f>IF(OR(M1850&lt;=0,N1850&lt;=0),"SKIPPED - NONPOSITIVE",IF(OR(M1850&lt;L1850,N1850&lt;L1850),"SKIPPED - BELOW MIN",IF(OR(M1850&gt;J1850,N1850&gt;K1850),"SKIPPED - EXCEEDS BASE",IF(COUNTIFS($M$1815:M1849,M1850,$N$1815:N1849,N1850)&gt;0,"SKIPPED - DUPLICATE","VALID - GENERATED"))))</f>
        <v>VALID - GENERATED</v>
      </c>
      <c r="I1850" s="10" t="s">
        <v>2130</v>
      </c>
      <c r="J1850" s="12">
        <f>'05-ISO Reference'!$B$24</f>
        <v>125</v>
      </c>
      <c r="K1850" s="12">
        <f>'05-ISO Reference'!$C$24</f>
        <v>176</v>
      </c>
      <c r="L1850" s="12">
        <f>'01-Process Controls'!$G$5</f>
        <v>3</v>
      </c>
      <c r="M1850" s="12">
        <f>ROUNDDOWN(J1850*'04-Variant Rules'!$D$40,0)</f>
        <v>25</v>
      </c>
      <c r="N1850" s="12">
        <f>ROUNDDOWN(K1850*'04-Variant Rules'!$E$40,0)</f>
        <v>35</v>
      </c>
      <c r="O1850" s="9">
        <v>35</v>
      </c>
    </row>
    <row r="1851" spans="1:15" ht="21" customHeight="1">
      <c r="A1851" s="9" t="s">
        <v>2166</v>
      </c>
      <c r="B1851" s="12">
        <f>IF(LEFT(H1851,5)="VALID",M1851,"")</f>
        <v>18</v>
      </c>
      <c r="C1851" s="12">
        <f>IF(LEFT(H1851,5)="VALID",N1851,"")</f>
        <v>26</v>
      </c>
      <c r="D1851" s="10" t="s">
        <v>82</v>
      </c>
      <c r="E1851" s="10" t="s">
        <v>2129</v>
      </c>
      <c r="F1851" s="10" t="s">
        <v>212</v>
      </c>
      <c r="G1851" s="10" t="s">
        <v>213</v>
      </c>
      <c r="H1851" s="11" t="str">
        <f>IF(OR(M1851&lt;=0,N1851&lt;=0),"SKIPPED - NONPOSITIVE",IF(OR(M1851&lt;L1851,N1851&lt;L1851),"SKIPPED - BELOW MIN",IF(OR(M1851&gt;J1851,N1851&gt;K1851),"SKIPPED - EXCEEDS BASE",IF(COUNTIFS($M$1815:M1850,M1851,$N$1815:N1850,N1851)&gt;0,"SKIPPED - DUPLICATE","VALID - GENERATED"))))</f>
        <v>VALID - GENERATED</v>
      </c>
      <c r="I1851" s="10" t="s">
        <v>2130</v>
      </c>
      <c r="J1851" s="12">
        <f>'05-ISO Reference'!$B$24</f>
        <v>125</v>
      </c>
      <c r="K1851" s="12">
        <f>'05-ISO Reference'!$C$24</f>
        <v>176</v>
      </c>
      <c r="L1851" s="12">
        <f>'01-Process Controls'!$G$5</f>
        <v>3</v>
      </c>
      <c r="M1851" s="12">
        <f>ROUNDDOWN(J1851*'04-Variant Rules'!$D$41,0)</f>
        <v>18</v>
      </c>
      <c r="N1851" s="12">
        <f>ROUNDDOWN(K1851*'04-Variant Rules'!$E$41,0)</f>
        <v>26</v>
      </c>
      <c r="O1851" s="9">
        <v>36</v>
      </c>
    </row>
    <row r="1852" spans="1:15" ht="21" customHeight="1">
      <c r="A1852" s="9" t="s">
        <v>2167</v>
      </c>
      <c r="B1852" s="12">
        <f>IF(LEFT(H1852,5)="VALID",M1852,"")</f>
        <v>125</v>
      </c>
      <c r="C1852" s="12">
        <f>IF(LEFT(H1852,5)="VALID",N1852,"")</f>
        <v>125</v>
      </c>
      <c r="D1852" s="10" t="s">
        <v>82</v>
      </c>
      <c r="E1852" s="10" t="s">
        <v>2129</v>
      </c>
      <c r="F1852" s="10" t="s">
        <v>215</v>
      </c>
      <c r="G1852" s="10" t="s">
        <v>216</v>
      </c>
      <c r="H1852" s="11" t="str">
        <f>IF(OR(M1852&lt;=0,N1852&lt;=0),"SKIPPED - NONPOSITIVE",IF(OR(M1852&lt;L1852,N1852&lt;L1852),"SKIPPED - BELOW MIN",IF(OR(M1852&gt;J1852,N1852&gt;K1852),"SKIPPED - EXCEEDS BASE",IF(COUNTIFS($M$1815:M1851,M1852,$N$1815:N1851,N1852)&gt;0,"SKIPPED - DUPLICATE","VALID - GENERATED"))))</f>
        <v>VALID - GENERATED</v>
      </c>
      <c r="I1852" s="10" t="s">
        <v>2130</v>
      </c>
      <c r="J1852" s="12">
        <f>'05-ISO Reference'!$B$24</f>
        <v>125</v>
      </c>
      <c r="K1852" s="12">
        <f>'05-ISO Reference'!$C$24</f>
        <v>176</v>
      </c>
      <c r="L1852" s="12">
        <f>'01-Process Controls'!$G$5</f>
        <v>3</v>
      </c>
      <c r="M1852" s="12">
        <f>ROUNDDOWN(MIN(J1852,K1852)*'04-Variant Rules'!$D$42,0)</f>
        <v>125</v>
      </c>
      <c r="N1852" s="12">
        <f>ROUNDDOWN(MIN(J1852,K1852)*'04-Variant Rules'!$D$42,0)</f>
        <v>125</v>
      </c>
      <c r="O1852" s="9">
        <v>37</v>
      </c>
    </row>
    <row r="1853" spans="1:15" ht="21" customHeight="1">
      <c r="A1853" s="9" t="s">
        <v>2168</v>
      </c>
      <c r="B1853" s="12">
        <f>IF(LEFT(H1853,5)="VALID",M1853,"")</f>
        <v>112</v>
      </c>
      <c r="C1853" s="12">
        <f>IF(LEFT(H1853,5)="VALID",N1853,"")</f>
        <v>112</v>
      </c>
      <c r="D1853" s="10" t="s">
        <v>82</v>
      </c>
      <c r="E1853" s="10" t="s">
        <v>2129</v>
      </c>
      <c r="F1853" s="10" t="s">
        <v>218</v>
      </c>
      <c r="G1853" s="10" t="s">
        <v>219</v>
      </c>
      <c r="H1853" s="11" t="str">
        <f>IF(OR(M1853&lt;=0,N1853&lt;=0),"SKIPPED - NONPOSITIVE",IF(OR(M1853&lt;L1853,N1853&lt;L1853),"SKIPPED - BELOW MIN",IF(OR(M1853&gt;J1853,N1853&gt;K1853),"SKIPPED - EXCEEDS BASE",IF(COUNTIFS($M$1815:M1852,M1853,$N$1815:N1852,N1853)&gt;0,"SKIPPED - DUPLICATE","VALID - GENERATED"))))</f>
        <v>VALID - GENERATED</v>
      </c>
      <c r="I1853" s="10" t="s">
        <v>2130</v>
      </c>
      <c r="J1853" s="12">
        <f>'05-ISO Reference'!$B$24</f>
        <v>125</v>
      </c>
      <c r="K1853" s="12">
        <f>'05-ISO Reference'!$C$24</f>
        <v>176</v>
      </c>
      <c r="L1853" s="12">
        <f>'01-Process Controls'!$G$5</f>
        <v>3</v>
      </c>
      <c r="M1853" s="12">
        <f>ROUNDDOWN(MIN(J1853,K1853)*'04-Variant Rules'!$D$43,0)</f>
        <v>112</v>
      </c>
      <c r="N1853" s="12">
        <f>ROUNDDOWN(MIN(J1853,K1853)*'04-Variant Rules'!$D$43,0)</f>
        <v>112</v>
      </c>
      <c r="O1853" s="9">
        <v>38</v>
      </c>
    </row>
    <row r="1854" spans="1:15" ht="21" customHeight="1">
      <c r="A1854" s="9" t="s">
        <v>2169</v>
      </c>
      <c r="B1854" s="12">
        <f>IF(LEFT(H1854,5)="VALID",M1854,"")</f>
        <v>100</v>
      </c>
      <c r="C1854" s="12">
        <f>IF(LEFT(H1854,5)="VALID",N1854,"")</f>
        <v>100</v>
      </c>
      <c r="D1854" s="10" t="s">
        <v>82</v>
      </c>
      <c r="E1854" s="10" t="s">
        <v>2129</v>
      </c>
      <c r="F1854" s="10" t="s">
        <v>221</v>
      </c>
      <c r="G1854" s="10" t="s">
        <v>219</v>
      </c>
      <c r="H1854" s="11" t="str">
        <f>IF(OR(M1854&lt;=0,N1854&lt;=0),"SKIPPED - NONPOSITIVE",IF(OR(M1854&lt;L1854,N1854&lt;L1854),"SKIPPED - BELOW MIN",IF(OR(M1854&gt;J1854,N1854&gt;K1854),"SKIPPED - EXCEEDS BASE",IF(COUNTIFS($M$1815:M1853,M1854,$N$1815:N1853,N1854)&gt;0,"SKIPPED - DUPLICATE","VALID - GENERATED"))))</f>
        <v>VALID - GENERATED</v>
      </c>
      <c r="I1854" s="10" t="s">
        <v>2130</v>
      </c>
      <c r="J1854" s="12">
        <f>'05-ISO Reference'!$B$24</f>
        <v>125</v>
      </c>
      <c r="K1854" s="12">
        <f>'05-ISO Reference'!$C$24</f>
        <v>176</v>
      </c>
      <c r="L1854" s="12">
        <f>'01-Process Controls'!$G$5</f>
        <v>3</v>
      </c>
      <c r="M1854" s="12">
        <f>ROUNDDOWN(MIN(J1854,K1854)*'04-Variant Rules'!$D$44,0)</f>
        <v>100</v>
      </c>
      <c r="N1854" s="12">
        <f>ROUNDDOWN(MIN(J1854,K1854)*'04-Variant Rules'!$D$44,0)</f>
        <v>100</v>
      </c>
      <c r="O1854" s="9">
        <v>39</v>
      </c>
    </row>
    <row r="1855" spans="1:15" ht="21" customHeight="1">
      <c r="A1855" s="9" t="s">
        <v>2170</v>
      </c>
      <c r="B1855" s="12">
        <f>IF(LEFT(H1855,5)="VALID",M1855,"")</f>
        <v>93</v>
      </c>
      <c r="C1855" s="12">
        <f>IF(LEFT(H1855,5)="VALID",N1855,"")</f>
        <v>93</v>
      </c>
      <c r="D1855" s="10" t="s">
        <v>82</v>
      </c>
      <c r="E1855" s="10" t="s">
        <v>2129</v>
      </c>
      <c r="F1855" s="10" t="s">
        <v>223</v>
      </c>
      <c r="G1855" s="10" t="s">
        <v>219</v>
      </c>
      <c r="H1855" s="11" t="str">
        <f>IF(OR(M1855&lt;=0,N1855&lt;=0),"SKIPPED - NONPOSITIVE",IF(OR(M1855&lt;L1855,N1855&lt;L1855),"SKIPPED - BELOW MIN",IF(OR(M1855&gt;J1855,N1855&gt;K1855),"SKIPPED - EXCEEDS BASE",IF(COUNTIFS($M$1815:M1854,M1855,$N$1815:N1854,N1855)&gt;0,"SKIPPED - DUPLICATE","VALID - GENERATED"))))</f>
        <v>VALID - GENERATED</v>
      </c>
      <c r="I1855" s="10" t="s">
        <v>2130</v>
      </c>
      <c r="J1855" s="12">
        <f>'05-ISO Reference'!$B$24</f>
        <v>125</v>
      </c>
      <c r="K1855" s="12">
        <f>'05-ISO Reference'!$C$24</f>
        <v>176</v>
      </c>
      <c r="L1855" s="12">
        <f>'01-Process Controls'!$G$5</f>
        <v>3</v>
      </c>
      <c r="M1855" s="12">
        <f>ROUNDDOWN(MIN(J1855,K1855)*'04-Variant Rules'!$D$45,0)</f>
        <v>93</v>
      </c>
      <c r="N1855" s="12">
        <f>ROUNDDOWN(MIN(J1855,K1855)*'04-Variant Rules'!$D$45,0)</f>
        <v>93</v>
      </c>
      <c r="O1855" s="9">
        <v>40</v>
      </c>
    </row>
    <row r="1856" spans="1:15" ht="21" customHeight="1">
      <c r="A1856" s="9" t="s">
        <v>2171</v>
      </c>
      <c r="B1856" s="12">
        <f>IF(LEFT(H1856,5)="VALID",M1856,"")</f>
        <v>83</v>
      </c>
      <c r="C1856" s="12">
        <f>IF(LEFT(H1856,5)="VALID",N1856,"")</f>
        <v>83</v>
      </c>
      <c r="D1856" s="10" t="s">
        <v>82</v>
      </c>
      <c r="E1856" s="10" t="s">
        <v>2129</v>
      </c>
      <c r="F1856" s="10" t="s">
        <v>225</v>
      </c>
      <c r="G1856" s="10" t="s">
        <v>219</v>
      </c>
      <c r="H1856" s="11" t="str">
        <f>IF(OR(M1856&lt;=0,N1856&lt;=0),"SKIPPED - NONPOSITIVE",IF(OR(M1856&lt;L1856,N1856&lt;L1856),"SKIPPED - BELOW MIN",IF(OR(M1856&gt;J1856,N1856&gt;K1856),"SKIPPED - EXCEEDS BASE",IF(COUNTIFS($M$1815:M1855,M1856,$N$1815:N1855,N1856)&gt;0,"SKIPPED - DUPLICATE","VALID - GENERATED"))))</f>
        <v>VALID - GENERATED</v>
      </c>
      <c r="I1856" s="10" t="s">
        <v>2130</v>
      </c>
      <c r="J1856" s="12">
        <f>'05-ISO Reference'!$B$24</f>
        <v>125</v>
      </c>
      <c r="K1856" s="12">
        <f>'05-ISO Reference'!$C$24</f>
        <v>176</v>
      </c>
      <c r="L1856" s="12">
        <f>'01-Process Controls'!$G$5</f>
        <v>3</v>
      </c>
      <c r="M1856" s="12">
        <f>ROUNDDOWN(MIN(J1856,K1856)*'04-Variant Rules'!$D$46,0)</f>
        <v>83</v>
      </c>
      <c r="N1856" s="12">
        <f>ROUNDDOWN(MIN(J1856,K1856)*'04-Variant Rules'!$D$46,0)</f>
        <v>83</v>
      </c>
      <c r="O1856" s="9">
        <v>41</v>
      </c>
    </row>
    <row r="1857" spans="1:15" ht="21" customHeight="1">
      <c r="A1857" s="9" t="s">
        <v>2172</v>
      </c>
      <c r="B1857" s="12">
        <f>IF(LEFT(H1857,5)="VALID",M1857,"")</f>
        <v>75</v>
      </c>
      <c r="C1857" s="12">
        <f>IF(LEFT(H1857,5)="VALID",N1857,"")</f>
        <v>75</v>
      </c>
      <c r="D1857" s="10" t="s">
        <v>82</v>
      </c>
      <c r="E1857" s="10" t="s">
        <v>2129</v>
      </c>
      <c r="F1857" s="10" t="s">
        <v>227</v>
      </c>
      <c r="G1857" s="10" t="s">
        <v>219</v>
      </c>
      <c r="H1857" s="11" t="str">
        <f>IF(OR(M1857&lt;=0,N1857&lt;=0),"SKIPPED - NONPOSITIVE",IF(OR(M1857&lt;L1857,N1857&lt;L1857),"SKIPPED - BELOW MIN",IF(OR(M1857&gt;J1857,N1857&gt;K1857),"SKIPPED - EXCEEDS BASE",IF(COUNTIFS($M$1815:M1856,M1857,$N$1815:N1856,N1857)&gt;0,"SKIPPED - DUPLICATE","VALID - GENERATED"))))</f>
        <v>VALID - GENERATED</v>
      </c>
      <c r="I1857" s="10" t="s">
        <v>2130</v>
      </c>
      <c r="J1857" s="12">
        <f>'05-ISO Reference'!$B$24</f>
        <v>125</v>
      </c>
      <c r="K1857" s="12">
        <f>'05-ISO Reference'!$C$24</f>
        <v>176</v>
      </c>
      <c r="L1857" s="12">
        <f>'01-Process Controls'!$G$5</f>
        <v>3</v>
      </c>
      <c r="M1857" s="12">
        <f>ROUNDDOWN(MIN(J1857,K1857)*'04-Variant Rules'!$D$47,0)</f>
        <v>75</v>
      </c>
      <c r="N1857" s="12">
        <f>ROUNDDOWN(MIN(J1857,K1857)*'04-Variant Rules'!$D$47,0)</f>
        <v>75</v>
      </c>
      <c r="O1857" s="9">
        <v>42</v>
      </c>
    </row>
    <row r="1858" spans="1:15" ht="21" customHeight="1">
      <c r="A1858" s="9" t="s">
        <v>2173</v>
      </c>
      <c r="B1858" s="12">
        <f>IF(LEFT(H1858,5)="VALID",M1858,"")</f>
        <v>62</v>
      </c>
      <c r="C1858" s="12">
        <f>IF(LEFT(H1858,5)="VALID",N1858,"")</f>
        <v>62</v>
      </c>
      <c r="D1858" s="10" t="s">
        <v>82</v>
      </c>
      <c r="E1858" s="10" t="s">
        <v>2129</v>
      </c>
      <c r="F1858" s="10" t="s">
        <v>229</v>
      </c>
      <c r="G1858" s="10" t="s">
        <v>219</v>
      </c>
      <c r="H1858" s="11" t="str">
        <f>IF(OR(M1858&lt;=0,N1858&lt;=0),"SKIPPED - NONPOSITIVE",IF(OR(M1858&lt;L1858,N1858&lt;L1858),"SKIPPED - BELOW MIN",IF(OR(M1858&gt;J1858,N1858&gt;K1858),"SKIPPED - EXCEEDS BASE",IF(COUNTIFS($M$1815:M1857,M1858,$N$1815:N1857,N1858)&gt;0,"SKIPPED - DUPLICATE","VALID - GENERATED"))))</f>
        <v>VALID - GENERATED</v>
      </c>
      <c r="I1858" s="10" t="s">
        <v>2130</v>
      </c>
      <c r="J1858" s="12">
        <f>'05-ISO Reference'!$B$24</f>
        <v>125</v>
      </c>
      <c r="K1858" s="12">
        <f>'05-ISO Reference'!$C$24</f>
        <v>176</v>
      </c>
      <c r="L1858" s="12">
        <f>'01-Process Controls'!$G$5</f>
        <v>3</v>
      </c>
      <c r="M1858" s="12">
        <f>ROUNDDOWN(MIN(J1858,K1858)*'04-Variant Rules'!$D$48,0)</f>
        <v>62</v>
      </c>
      <c r="N1858" s="12">
        <f>ROUNDDOWN(MIN(J1858,K1858)*'04-Variant Rules'!$D$48,0)</f>
        <v>62</v>
      </c>
      <c r="O1858" s="9">
        <v>43</v>
      </c>
    </row>
    <row r="1859" spans="1:15" ht="21" customHeight="1">
      <c r="A1859" s="9" t="s">
        <v>2174</v>
      </c>
      <c r="B1859" s="12">
        <f>IF(LEFT(H1859,5)="VALID",M1859,"")</f>
        <v>50</v>
      </c>
      <c r="C1859" s="12">
        <f>IF(LEFT(H1859,5)="VALID",N1859,"")</f>
        <v>50</v>
      </c>
      <c r="D1859" s="10" t="s">
        <v>82</v>
      </c>
      <c r="E1859" s="10" t="s">
        <v>2129</v>
      </c>
      <c r="F1859" s="10" t="s">
        <v>231</v>
      </c>
      <c r="G1859" s="10" t="s">
        <v>219</v>
      </c>
      <c r="H1859" s="11" t="str">
        <f>IF(OR(M1859&lt;=0,N1859&lt;=0),"SKIPPED - NONPOSITIVE",IF(OR(M1859&lt;L1859,N1859&lt;L1859),"SKIPPED - BELOW MIN",IF(OR(M1859&gt;J1859,N1859&gt;K1859),"SKIPPED - EXCEEDS BASE",IF(COUNTIFS($M$1815:M1858,M1859,$N$1815:N1858,N1859)&gt;0,"SKIPPED - DUPLICATE","VALID - GENERATED"))))</f>
        <v>VALID - GENERATED</v>
      </c>
      <c r="I1859" s="10" t="s">
        <v>2130</v>
      </c>
      <c r="J1859" s="12">
        <f>'05-ISO Reference'!$B$24</f>
        <v>125</v>
      </c>
      <c r="K1859" s="12">
        <f>'05-ISO Reference'!$C$24</f>
        <v>176</v>
      </c>
      <c r="L1859" s="12">
        <f>'01-Process Controls'!$G$5</f>
        <v>3</v>
      </c>
      <c r="M1859" s="12">
        <f>ROUNDDOWN(MIN(J1859,K1859)*'04-Variant Rules'!$D$49,0)</f>
        <v>50</v>
      </c>
      <c r="N1859" s="12">
        <f>ROUNDDOWN(MIN(J1859,K1859)*'04-Variant Rules'!$D$49,0)</f>
        <v>50</v>
      </c>
      <c r="O1859" s="9">
        <v>44</v>
      </c>
    </row>
    <row r="1860" spans="1:15" ht="21" customHeight="1">
      <c r="A1860" s="9" t="s">
        <v>2175</v>
      </c>
      <c r="B1860" s="12">
        <f>IF(LEFT(H1860,5)="VALID",M1860,"")</f>
        <v>41</v>
      </c>
      <c r="C1860" s="12">
        <f>IF(LEFT(H1860,5)="VALID",N1860,"")</f>
        <v>41</v>
      </c>
      <c r="D1860" s="10" t="s">
        <v>82</v>
      </c>
      <c r="E1860" s="10" t="s">
        <v>2129</v>
      </c>
      <c r="F1860" s="10" t="s">
        <v>233</v>
      </c>
      <c r="G1860" s="10" t="s">
        <v>219</v>
      </c>
      <c r="H1860" s="11" t="str">
        <f>IF(OR(M1860&lt;=0,N1860&lt;=0),"SKIPPED - NONPOSITIVE",IF(OR(M1860&lt;L1860,N1860&lt;L1860),"SKIPPED - BELOW MIN",IF(OR(M1860&gt;J1860,N1860&gt;K1860),"SKIPPED - EXCEEDS BASE",IF(COUNTIFS($M$1815:M1859,M1860,$N$1815:N1859,N1860)&gt;0,"SKIPPED - DUPLICATE","VALID - GENERATED"))))</f>
        <v>VALID - GENERATED</v>
      </c>
      <c r="I1860" s="10" t="s">
        <v>2130</v>
      </c>
      <c r="J1860" s="12">
        <f>'05-ISO Reference'!$B$24</f>
        <v>125</v>
      </c>
      <c r="K1860" s="12">
        <f>'05-ISO Reference'!$C$24</f>
        <v>176</v>
      </c>
      <c r="L1860" s="12">
        <f>'01-Process Controls'!$G$5</f>
        <v>3</v>
      </c>
      <c r="M1860" s="12">
        <f>ROUNDDOWN(MIN(J1860,K1860)*'04-Variant Rules'!$D$50,0)</f>
        <v>41</v>
      </c>
      <c r="N1860" s="12">
        <f>ROUNDDOWN(MIN(J1860,K1860)*'04-Variant Rules'!$D$50,0)</f>
        <v>41</v>
      </c>
      <c r="O1860" s="9">
        <v>45</v>
      </c>
    </row>
    <row r="1861" spans="1:15" ht="21" customHeight="1">
      <c r="A1861" s="9" t="s">
        <v>2176</v>
      </c>
      <c r="B1861" s="12">
        <f>IF(LEFT(H1861,5)="VALID",M1861,"")</f>
        <v>31</v>
      </c>
      <c r="C1861" s="12">
        <f>IF(LEFT(H1861,5)="VALID",N1861,"")</f>
        <v>31</v>
      </c>
      <c r="D1861" s="10" t="s">
        <v>82</v>
      </c>
      <c r="E1861" s="10" t="s">
        <v>2129</v>
      </c>
      <c r="F1861" s="10" t="s">
        <v>235</v>
      </c>
      <c r="G1861" s="10" t="s">
        <v>219</v>
      </c>
      <c r="H1861" s="11" t="str">
        <f>IF(OR(M1861&lt;=0,N1861&lt;=0),"SKIPPED - NONPOSITIVE",IF(OR(M1861&lt;L1861,N1861&lt;L1861),"SKIPPED - BELOW MIN",IF(OR(M1861&gt;J1861,N1861&gt;K1861),"SKIPPED - EXCEEDS BASE",IF(COUNTIFS($M$1815:M1860,M1861,$N$1815:N1860,N1861)&gt;0,"SKIPPED - DUPLICATE","VALID - GENERATED"))))</f>
        <v>VALID - GENERATED</v>
      </c>
      <c r="I1861" s="10" t="s">
        <v>2130</v>
      </c>
      <c r="J1861" s="12">
        <f>'05-ISO Reference'!$B$24</f>
        <v>125</v>
      </c>
      <c r="K1861" s="12">
        <f>'05-ISO Reference'!$C$24</f>
        <v>176</v>
      </c>
      <c r="L1861" s="12">
        <f>'01-Process Controls'!$G$5</f>
        <v>3</v>
      </c>
      <c r="M1861" s="12">
        <f>ROUNDDOWN(MIN(J1861,K1861)*'04-Variant Rules'!$D$51,0)</f>
        <v>31</v>
      </c>
      <c r="N1861" s="12">
        <f>ROUNDDOWN(MIN(J1861,K1861)*'04-Variant Rules'!$D$51,0)</f>
        <v>31</v>
      </c>
      <c r="O1861" s="9">
        <v>46</v>
      </c>
    </row>
    <row r="1862" spans="1:15" ht="21" customHeight="1">
      <c r="A1862" s="9" t="s">
        <v>2177</v>
      </c>
      <c r="B1862" s="12">
        <f>IF(LEFT(H1862,5)="VALID",M1862,"")</f>
        <v>25</v>
      </c>
      <c r="C1862" s="12">
        <f>IF(LEFT(H1862,5)="VALID",N1862,"")</f>
        <v>25</v>
      </c>
      <c r="D1862" s="10" t="s">
        <v>82</v>
      </c>
      <c r="E1862" s="10" t="s">
        <v>2129</v>
      </c>
      <c r="F1862" s="10" t="s">
        <v>237</v>
      </c>
      <c r="G1862" s="10" t="s">
        <v>219</v>
      </c>
      <c r="H1862" s="11" t="str">
        <f>IF(OR(M1862&lt;=0,N1862&lt;=0),"SKIPPED - NONPOSITIVE",IF(OR(M1862&lt;L1862,N1862&lt;L1862),"SKIPPED - BELOW MIN",IF(OR(M1862&gt;J1862,N1862&gt;K1862),"SKIPPED - EXCEEDS BASE",IF(COUNTIFS($M$1815:M1861,M1862,$N$1815:N1861,N1862)&gt;0,"SKIPPED - DUPLICATE","VALID - GENERATED"))))</f>
        <v>VALID - GENERATED</v>
      </c>
      <c r="I1862" s="10" t="s">
        <v>2130</v>
      </c>
      <c r="J1862" s="12">
        <f>'05-ISO Reference'!$B$24</f>
        <v>125</v>
      </c>
      <c r="K1862" s="12">
        <f>'05-ISO Reference'!$C$24</f>
        <v>176</v>
      </c>
      <c r="L1862" s="12">
        <f>'01-Process Controls'!$G$5</f>
        <v>3</v>
      </c>
      <c r="M1862" s="12">
        <f>ROUNDDOWN(MIN(J1862,K1862)*'04-Variant Rules'!$D$52,0)</f>
        <v>25</v>
      </c>
      <c r="N1862" s="12">
        <f>ROUNDDOWN(MIN(J1862,K1862)*'04-Variant Rules'!$D$52,0)</f>
        <v>25</v>
      </c>
      <c r="O1862" s="9">
        <v>47</v>
      </c>
    </row>
    <row r="1863" spans="1:15" ht="21" customHeight="1">
      <c r="A1863" s="9" t="s">
        <v>2178</v>
      </c>
      <c r="B1863" s="12">
        <f>IF(LEFT(H1863,5)="VALID",M1863,"")</f>
        <v>125</v>
      </c>
      <c r="C1863" s="12">
        <f>IF(LEFT(H1863,5)="VALID",N1863,"")</f>
        <v>93</v>
      </c>
      <c r="D1863" s="10" t="s">
        <v>82</v>
      </c>
      <c r="E1863" s="10" t="s">
        <v>2129</v>
      </c>
      <c r="F1863" s="10" t="s">
        <v>239</v>
      </c>
      <c r="G1863" s="10" t="s">
        <v>240</v>
      </c>
      <c r="H1863" s="11" t="str">
        <f>IF(OR(M1863&lt;=0,N1863&lt;=0),"SKIPPED - NONPOSITIVE",IF(OR(M1863&lt;L1863,N1863&lt;L1863),"SKIPPED - BELOW MIN",IF(OR(M1863&gt;J1863,N1863&gt;K1863),"SKIPPED - EXCEEDS BASE",IF(COUNTIFS($M$1815:M1862,M1863,$N$1815:N1862,N1863)&gt;0,"SKIPPED - DUPLICATE","VALID - GENERATED"))))</f>
        <v>VALID - GENERATED</v>
      </c>
      <c r="I1863" s="10" t="s">
        <v>2130</v>
      </c>
      <c r="J1863" s="12">
        <f>'05-ISO Reference'!$B$24</f>
        <v>125</v>
      </c>
      <c r="K1863" s="12">
        <f>'05-ISO Reference'!$C$24</f>
        <v>176</v>
      </c>
      <c r="L1863" s="12">
        <f>'01-Process Controls'!$G$5</f>
        <v>3</v>
      </c>
      <c r="M1863" s="12">
        <f>ROUNDDOWN(MIN(J1863,K1863*'04-Variant Rules'!$D$53),0)</f>
        <v>125</v>
      </c>
      <c r="N1863" s="12">
        <f>ROUNDDOWN(M1863/'04-Variant Rules'!$D$53,0)</f>
        <v>93</v>
      </c>
      <c r="O1863" s="9">
        <v>48</v>
      </c>
    </row>
    <row r="1864" spans="1:15" ht="21" customHeight="1">
      <c r="A1864" s="9" t="s">
        <v>2179</v>
      </c>
      <c r="B1864" s="12">
        <f>IF(LEFT(H1864,5)="VALID",M1864,"")</f>
        <v>125</v>
      </c>
      <c r="C1864" s="12">
        <f>IF(LEFT(H1864,5)="VALID",N1864,"")</f>
        <v>166</v>
      </c>
      <c r="D1864" s="10" t="s">
        <v>82</v>
      </c>
      <c r="E1864" s="10" t="s">
        <v>2129</v>
      </c>
      <c r="F1864" s="10" t="s">
        <v>242</v>
      </c>
      <c r="G1864" s="10" t="s">
        <v>243</v>
      </c>
      <c r="H1864" s="11" t="str">
        <f>IF(OR(M1864&lt;=0,N1864&lt;=0),"SKIPPED - NONPOSITIVE",IF(OR(M1864&lt;L1864,N1864&lt;L1864),"SKIPPED - BELOW MIN",IF(OR(M1864&gt;J1864,N1864&gt;K1864),"SKIPPED - EXCEEDS BASE",IF(COUNTIFS($M$1815:M1863,M1864,$N$1815:N1863,N1864)&gt;0,"SKIPPED - DUPLICATE","VALID - GENERATED"))))</f>
        <v>VALID - GENERATED</v>
      </c>
      <c r="I1864" s="10" t="s">
        <v>2130</v>
      </c>
      <c r="J1864" s="12">
        <f>'05-ISO Reference'!$B$24</f>
        <v>125</v>
      </c>
      <c r="K1864" s="12">
        <f>'05-ISO Reference'!$C$24</f>
        <v>176</v>
      </c>
      <c r="L1864" s="12">
        <f>'01-Process Controls'!$G$5</f>
        <v>3</v>
      </c>
      <c r="M1864" s="12">
        <f>ROUNDDOWN(MIN(J1864,K1864*'04-Variant Rules'!$D$54),0)</f>
        <v>125</v>
      </c>
      <c r="N1864" s="12">
        <f>ROUNDDOWN(M1864/'04-Variant Rules'!$D$54,0)</f>
        <v>166</v>
      </c>
      <c r="O1864" s="9">
        <v>49</v>
      </c>
    </row>
    <row r="1865" spans="1:15" ht="21" customHeight="1">
      <c r="A1865" s="9" t="s">
        <v>2180</v>
      </c>
      <c r="B1865" s="12">
        <f>IF(LEFT(H1865,5)="VALID",M1865,"")</f>
        <v>125</v>
      </c>
      <c r="C1865" s="12">
        <f>IF(LEFT(H1865,5)="VALID",N1865,"")</f>
        <v>83</v>
      </c>
      <c r="D1865" s="10" t="s">
        <v>82</v>
      </c>
      <c r="E1865" s="10" t="s">
        <v>2129</v>
      </c>
      <c r="F1865" s="10" t="s">
        <v>245</v>
      </c>
      <c r="G1865" s="10" t="s">
        <v>246</v>
      </c>
      <c r="H1865" s="11" t="str">
        <f>IF(OR(M1865&lt;=0,N1865&lt;=0),"SKIPPED - NONPOSITIVE",IF(OR(M1865&lt;L1865,N1865&lt;L1865),"SKIPPED - BELOW MIN",IF(OR(M1865&gt;J1865,N1865&gt;K1865),"SKIPPED - EXCEEDS BASE",IF(COUNTIFS($M$1815:M1864,M1865,$N$1815:N1864,N1865)&gt;0,"SKIPPED - DUPLICATE","VALID - GENERATED"))))</f>
        <v>VALID - GENERATED</v>
      </c>
      <c r="I1865" s="10" t="s">
        <v>2130</v>
      </c>
      <c r="J1865" s="12">
        <f>'05-ISO Reference'!$B$24</f>
        <v>125</v>
      </c>
      <c r="K1865" s="12">
        <f>'05-ISO Reference'!$C$24</f>
        <v>176</v>
      </c>
      <c r="L1865" s="12">
        <f>'01-Process Controls'!$G$5</f>
        <v>3</v>
      </c>
      <c r="M1865" s="12">
        <f>ROUNDDOWN(MIN(J1865,K1865*'04-Variant Rules'!$D$55),0)</f>
        <v>125</v>
      </c>
      <c r="N1865" s="12">
        <f>ROUNDDOWN(M1865/'04-Variant Rules'!$D$55,0)</f>
        <v>83</v>
      </c>
      <c r="O1865" s="9">
        <v>50</v>
      </c>
    </row>
    <row r="1866" spans="1:15" ht="21" customHeight="1">
      <c r="A1866" s="9" t="s">
        <v>2181</v>
      </c>
      <c r="B1866" s="12">
        <f>IF(LEFT(H1866,5)="VALID",M1866,"")</f>
        <v>117</v>
      </c>
      <c r="C1866" s="12">
        <f>IF(LEFT(H1866,5)="VALID",N1866,"")</f>
        <v>175</v>
      </c>
      <c r="D1866" s="10" t="s">
        <v>82</v>
      </c>
      <c r="E1866" s="10" t="s">
        <v>2129</v>
      </c>
      <c r="F1866" s="10" t="s">
        <v>248</v>
      </c>
      <c r="G1866" s="10" t="s">
        <v>249</v>
      </c>
      <c r="H1866" s="11" t="str">
        <f>IF(OR(M1866&lt;=0,N1866&lt;=0),"SKIPPED - NONPOSITIVE",IF(OR(M1866&lt;L1866,N1866&lt;L1866),"SKIPPED - BELOW MIN",IF(OR(M1866&gt;J1866,N1866&gt;K1866),"SKIPPED - EXCEEDS BASE",IF(COUNTIFS($M$1815:M1865,M1866,$N$1815:N1865,N1866)&gt;0,"SKIPPED - DUPLICATE","VALID - GENERATED"))))</f>
        <v>VALID - GENERATED</v>
      </c>
      <c r="I1866" s="10" t="s">
        <v>2130</v>
      </c>
      <c r="J1866" s="12">
        <f>'05-ISO Reference'!$B$24</f>
        <v>125</v>
      </c>
      <c r="K1866" s="12">
        <f>'05-ISO Reference'!$C$24</f>
        <v>176</v>
      </c>
      <c r="L1866" s="12">
        <f>'01-Process Controls'!$G$5</f>
        <v>3</v>
      </c>
      <c r="M1866" s="12">
        <f>ROUNDDOWN(MIN(J1866,K1866*'04-Variant Rules'!$D$56),0)</f>
        <v>117</v>
      </c>
      <c r="N1866" s="12">
        <f>ROUNDDOWN(M1866/'04-Variant Rules'!$D$56,0)</f>
        <v>175</v>
      </c>
      <c r="O1866" s="9">
        <v>51</v>
      </c>
    </row>
    <row r="1867" spans="1:15" ht="21" customHeight="1">
      <c r="A1867" s="9" t="s">
        <v>2182</v>
      </c>
      <c r="B1867" s="12">
        <f>IF(LEFT(H1867,5)="VALID",M1867,"")</f>
        <v>125</v>
      </c>
      <c r="C1867" s="12">
        <f>IF(LEFT(H1867,5)="VALID",N1867,"")</f>
        <v>70</v>
      </c>
      <c r="D1867" s="10" t="s">
        <v>82</v>
      </c>
      <c r="E1867" s="10" t="s">
        <v>2129</v>
      </c>
      <c r="F1867" s="10" t="s">
        <v>251</v>
      </c>
      <c r="G1867" s="10" t="s">
        <v>252</v>
      </c>
      <c r="H1867" s="11" t="str">
        <f>IF(OR(M1867&lt;=0,N1867&lt;=0),"SKIPPED - NONPOSITIVE",IF(OR(M1867&lt;L1867,N1867&lt;L1867),"SKIPPED - BELOW MIN",IF(OR(M1867&gt;J1867,N1867&gt;K1867),"SKIPPED - EXCEEDS BASE",IF(COUNTIFS($M$1815:M1866,M1867,$N$1815:N1866,N1867)&gt;0,"SKIPPED - DUPLICATE","VALID - GENERATED"))))</f>
        <v>VALID - GENERATED</v>
      </c>
      <c r="I1867" s="10" t="s">
        <v>2130</v>
      </c>
      <c r="J1867" s="12">
        <f>'05-ISO Reference'!$B$24</f>
        <v>125</v>
      </c>
      <c r="K1867" s="12">
        <f>'05-ISO Reference'!$C$24</f>
        <v>176</v>
      </c>
      <c r="L1867" s="12">
        <f>'01-Process Controls'!$G$5</f>
        <v>3</v>
      </c>
      <c r="M1867" s="12">
        <f>ROUNDDOWN(MIN(J1867,K1867*'04-Variant Rules'!$D$57),0)</f>
        <v>125</v>
      </c>
      <c r="N1867" s="12">
        <f>ROUNDDOWN(M1867/'04-Variant Rules'!$D$57,0)</f>
        <v>70</v>
      </c>
      <c r="O1867" s="9">
        <v>52</v>
      </c>
    </row>
    <row r="1868" spans="1:15" ht="21" customHeight="1">
      <c r="A1868" s="9" t="s">
        <v>2183</v>
      </c>
      <c r="B1868" s="12">
        <f>IF(LEFT(H1868,5)="VALID",M1868,"")</f>
        <v>99</v>
      </c>
      <c r="C1868" s="12">
        <f>IF(LEFT(H1868,5)="VALID",N1868,"")</f>
        <v>176</v>
      </c>
      <c r="D1868" s="10" t="s">
        <v>82</v>
      </c>
      <c r="E1868" s="10" t="s">
        <v>2129</v>
      </c>
      <c r="F1868" s="10" t="s">
        <v>254</v>
      </c>
      <c r="G1868" s="10" t="s">
        <v>255</v>
      </c>
      <c r="H1868" s="11" t="str">
        <f>IF(OR(M1868&lt;=0,N1868&lt;=0),"SKIPPED - NONPOSITIVE",IF(OR(M1868&lt;L1868,N1868&lt;L1868),"SKIPPED - BELOW MIN",IF(OR(M1868&gt;J1868,N1868&gt;K1868),"SKIPPED - EXCEEDS BASE",IF(COUNTIFS($M$1815:M1867,M1868,$N$1815:N1867,N1868)&gt;0,"SKIPPED - DUPLICATE","VALID - GENERATED"))))</f>
        <v>VALID - GENERATED</v>
      </c>
      <c r="I1868" s="10" t="s">
        <v>2130</v>
      </c>
      <c r="J1868" s="12">
        <f>'05-ISO Reference'!$B$24</f>
        <v>125</v>
      </c>
      <c r="K1868" s="12">
        <f>'05-ISO Reference'!$C$24</f>
        <v>176</v>
      </c>
      <c r="L1868" s="12">
        <f>'01-Process Controls'!$G$5</f>
        <v>3</v>
      </c>
      <c r="M1868" s="12">
        <f>ROUNDDOWN(MIN(J1868,K1868*'04-Variant Rules'!$D$58),0)</f>
        <v>99</v>
      </c>
      <c r="N1868" s="12">
        <f>ROUNDDOWN(M1868/'04-Variant Rules'!$D$58,0)</f>
        <v>176</v>
      </c>
      <c r="O1868" s="9">
        <v>53</v>
      </c>
    </row>
    <row r="1869" spans="1:15" ht="21" customHeight="1">
      <c r="A1869" s="9" t="s">
        <v>2184</v>
      </c>
      <c r="B1869" s="12">
        <f>IF(LEFT(H1869,5)="VALID",M1869,"")</f>
        <v>125</v>
      </c>
      <c r="C1869" s="12">
        <f>IF(LEFT(H1869,5)="VALID",N1869,"")</f>
        <v>62</v>
      </c>
      <c r="D1869" s="10" t="s">
        <v>82</v>
      </c>
      <c r="E1869" s="10" t="s">
        <v>2129</v>
      </c>
      <c r="F1869" s="10" t="s">
        <v>257</v>
      </c>
      <c r="G1869" s="10" t="s">
        <v>258</v>
      </c>
      <c r="H1869" s="11" t="str">
        <f>IF(OR(M1869&lt;=0,N1869&lt;=0),"SKIPPED - NONPOSITIVE",IF(OR(M1869&lt;L1869,N1869&lt;L1869),"SKIPPED - BELOW MIN",IF(OR(M1869&gt;J1869,N1869&gt;K1869),"SKIPPED - EXCEEDS BASE",IF(COUNTIFS($M$1815:M1868,M1869,$N$1815:N1868,N1869)&gt;0,"SKIPPED - DUPLICATE","VALID - GENERATED"))))</f>
        <v>VALID - GENERATED</v>
      </c>
      <c r="I1869" s="10" t="s">
        <v>2130</v>
      </c>
      <c r="J1869" s="12">
        <f>'05-ISO Reference'!$B$24</f>
        <v>125</v>
      </c>
      <c r="K1869" s="12">
        <f>'05-ISO Reference'!$C$24</f>
        <v>176</v>
      </c>
      <c r="L1869" s="12">
        <f>'01-Process Controls'!$G$5</f>
        <v>3</v>
      </c>
      <c r="M1869" s="12">
        <f>ROUNDDOWN(MIN(J1869,K1869*'04-Variant Rules'!$D$59),0)</f>
        <v>125</v>
      </c>
      <c r="N1869" s="12">
        <f>ROUNDDOWN(M1869/'04-Variant Rules'!$D$59,0)</f>
        <v>62</v>
      </c>
      <c r="O1869" s="9">
        <v>54</v>
      </c>
    </row>
    <row r="1870" spans="1:15" ht="21" customHeight="1">
      <c r="A1870" s="9" t="s">
        <v>2185</v>
      </c>
      <c r="B1870" s="12">
        <f>IF(LEFT(H1870,5)="VALID",M1870,"")</f>
        <v>88</v>
      </c>
      <c r="C1870" s="12">
        <f>IF(LEFT(H1870,5)="VALID",N1870,"")</f>
        <v>176</v>
      </c>
      <c r="D1870" s="10" t="s">
        <v>82</v>
      </c>
      <c r="E1870" s="10" t="s">
        <v>2129</v>
      </c>
      <c r="F1870" s="10" t="s">
        <v>260</v>
      </c>
      <c r="G1870" s="10" t="s">
        <v>261</v>
      </c>
      <c r="H1870" s="11" t="str">
        <f>IF(OR(M1870&lt;=0,N1870&lt;=0),"SKIPPED - NONPOSITIVE",IF(OR(M1870&lt;L1870,N1870&lt;L1870),"SKIPPED - BELOW MIN",IF(OR(M1870&gt;J1870,N1870&gt;K1870),"SKIPPED - EXCEEDS BASE",IF(COUNTIFS($M$1815:M1869,M1870,$N$1815:N1869,N1870)&gt;0,"SKIPPED - DUPLICATE","VALID - GENERATED"))))</f>
        <v>VALID - GENERATED</v>
      </c>
      <c r="I1870" s="10" t="s">
        <v>2130</v>
      </c>
      <c r="J1870" s="12">
        <f>'05-ISO Reference'!$B$24</f>
        <v>125</v>
      </c>
      <c r="K1870" s="12">
        <f>'05-ISO Reference'!$C$24</f>
        <v>176</v>
      </c>
      <c r="L1870" s="12">
        <f>'01-Process Controls'!$G$5</f>
        <v>3</v>
      </c>
      <c r="M1870" s="12">
        <f>ROUNDDOWN(MIN(J1870,K1870*'04-Variant Rules'!$D$60),0)</f>
        <v>88</v>
      </c>
      <c r="N1870" s="12">
        <f>ROUNDDOWN(M1870/'04-Variant Rules'!$D$60,0)</f>
        <v>176</v>
      </c>
      <c r="O1870" s="9">
        <v>55</v>
      </c>
    </row>
    <row r="1871" spans="1:15" ht="21" customHeight="1">
      <c r="A1871" s="9" t="s">
        <v>2186</v>
      </c>
      <c r="B1871" s="48"/>
      <c r="C1871" s="48"/>
      <c r="D1871" s="10" t="s">
        <v>263</v>
      </c>
      <c r="E1871" s="10" t="s">
        <v>2187</v>
      </c>
      <c r="F1871" s="10" t="s">
        <v>265</v>
      </c>
      <c r="G1871" s="10" t="s">
        <v>266</v>
      </c>
      <c r="H1871" s="11" t="str">
        <f>IF(AND(B1871="",C1871=""),"CUSTOM BLANK",IF(OR(B1871="",C1871=""),"ERROR - ENTER BOTH",IF(OR(B1871&lt;=0,C1871&lt;=0),"ERROR - NONPOSITIVE",IF(OR(B1871&lt;L1871,C1871&lt;L1871),"ERROR - BELOW MIN",IF(OR(AND(B1871&lt;=J1871,C1871&lt;=K1871),AND(B1871&lt;=K1871,C1871&lt;=J1871)),"VALID - CUSTOM","ERROR - EXCEEDS BASE")))))</f>
        <v>CUSTOM BLANK</v>
      </c>
      <c r="I1871" s="10" t="s">
        <v>267</v>
      </c>
      <c r="J1871" s="12">
        <f>'05-ISO Reference'!$B$24</f>
        <v>125</v>
      </c>
      <c r="K1871" s="12">
        <f>'05-ISO Reference'!$C$24</f>
        <v>176</v>
      </c>
      <c r="L1871" s="12">
        <f>'01-Process Controls'!$G$5</f>
        <v>3</v>
      </c>
      <c r="M1871" s="8"/>
      <c r="N1871" s="8"/>
    </row>
    <row r="1872" spans="1:15" ht="21" customHeight="1">
      <c r="A1872" s="9" t="s">
        <v>2188</v>
      </c>
      <c r="B1872" s="48"/>
      <c r="C1872" s="48"/>
      <c r="D1872" s="10" t="s">
        <v>263</v>
      </c>
      <c r="E1872" s="10" t="s">
        <v>2187</v>
      </c>
      <c r="F1872" s="10" t="s">
        <v>265</v>
      </c>
      <c r="G1872" s="10" t="s">
        <v>266</v>
      </c>
      <c r="H1872" s="11" t="str">
        <f>IF(AND(B1872="",C1872=""),"CUSTOM BLANK",IF(OR(B1872="",C1872=""),"ERROR - ENTER BOTH",IF(OR(B1872&lt;=0,C1872&lt;=0),"ERROR - NONPOSITIVE",IF(OR(B1872&lt;L1872,C1872&lt;L1872),"ERROR - BELOW MIN",IF(OR(AND(B1872&lt;=J1872,C1872&lt;=K1872),AND(B1872&lt;=K1872,C1872&lt;=J1872)),"VALID - CUSTOM","ERROR - EXCEEDS BASE")))))</f>
        <v>CUSTOM BLANK</v>
      </c>
      <c r="I1872" s="10" t="s">
        <v>267</v>
      </c>
      <c r="J1872" s="12">
        <f>'05-ISO Reference'!$B$24</f>
        <v>125</v>
      </c>
      <c r="K1872" s="12">
        <f>'05-ISO Reference'!$C$24</f>
        <v>176</v>
      </c>
      <c r="L1872" s="12">
        <f>'01-Process Controls'!$G$5</f>
        <v>3</v>
      </c>
      <c r="M1872" s="8"/>
      <c r="N1872" s="8"/>
    </row>
    <row r="1873" spans="1:15" ht="21" customHeight="1">
      <c r="A1873" s="9" t="s">
        <v>2189</v>
      </c>
      <c r="B1873" s="48"/>
      <c r="C1873" s="48"/>
      <c r="D1873" s="10" t="s">
        <v>263</v>
      </c>
      <c r="E1873" s="10" t="s">
        <v>2187</v>
      </c>
      <c r="F1873" s="10" t="s">
        <v>265</v>
      </c>
      <c r="G1873" s="10" t="s">
        <v>266</v>
      </c>
      <c r="H1873" s="11" t="str">
        <f>IF(AND(B1873="",C1873=""),"CUSTOM BLANK",IF(OR(B1873="",C1873=""),"ERROR - ENTER BOTH",IF(OR(B1873&lt;=0,C1873&lt;=0),"ERROR - NONPOSITIVE",IF(OR(B1873&lt;L1873,C1873&lt;L1873),"ERROR - BELOW MIN",IF(OR(AND(B1873&lt;=J1873,C1873&lt;=K1873),AND(B1873&lt;=K1873,C1873&lt;=J1873)),"VALID - CUSTOM","ERROR - EXCEEDS BASE")))))</f>
        <v>CUSTOM BLANK</v>
      </c>
      <c r="I1873" s="10" t="s">
        <v>267</v>
      </c>
      <c r="J1873" s="12">
        <f>'05-ISO Reference'!$B$24</f>
        <v>125</v>
      </c>
      <c r="K1873" s="12">
        <f>'05-ISO Reference'!$C$24</f>
        <v>176</v>
      </c>
      <c r="L1873" s="12">
        <f>'01-Process Controls'!$G$5</f>
        <v>3</v>
      </c>
      <c r="M1873" s="8"/>
      <c r="N1873" s="8"/>
    </row>
    <row r="1874" spans="1:15" ht="21" customHeight="1">
      <c r="A1874" s="9" t="s">
        <v>2190</v>
      </c>
      <c r="B1874" s="48"/>
      <c r="C1874" s="48"/>
      <c r="D1874" s="10" t="s">
        <v>263</v>
      </c>
      <c r="E1874" s="10" t="s">
        <v>2187</v>
      </c>
      <c r="F1874" s="10" t="s">
        <v>265</v>
      </c>
      <c r="G1874" s="10" t="s">
        <v>266</v>
      </c>
      <c r="H1874" s="11" t="str">
        <f>IF(AND(B1874="",C1874=""),"CUSTOM BLANK",IF(OR(B1874="",C1874=""),"ERROR - ENTER BOTH",IF(OR(B1874&lt;=0,C1874&lt;=0),"ERROR - NONPOSITIVE",IF(OR(B1874&lt;L1874,C1874&lt;L1874),"ERROR - BELOW MIN",IF(OR(AND(B1874&lt;=J1874,C1874&lt;=K1874),AND(B1874&lt;=K1874,C1874&lt;=J1874)),"VALID - CUSTOM","ERROR - EXCEEDS BASE")))))</f>
        <v>CUSTOM BLANK</v>
      </c>
      <c r="I1874" s="10" t="s">
        <v>267</v>
      </c>
      <c r="J1874" s="12">
        <f>'05-ISO Reference'!$B$24</f>
        <v>125</v>
      </c>
      <c r="K1874" s="12">
        <f>'05-ISO Reference'!$C$24</f>
        <v>176</v>
      </c>
      <c r="L1874" s="12">
        <f>'01-Process Controls'!$G$5</f>
        <v>3</v>
      </c>
      <c r="M1874" s="8"/>
      <c r="N1874" s="8"/>
    </row>
    <row r="1875" spans="1:15" ht="21" customHeight="1">
      <c r="A1875" s="9" t="s">
        <v>2191</v>
      </c>
      <c r="B1875" s="48"/>
      <c r="C1875" s="48"/>
      <c r="D1875" s="10" t="s">
        <v>263</v>
      </c>
      <c r="E1875" s="10" t="s">
        <v>2187</v>
      </c>
      <c r="F1875" s="10" t="s">
        <v>265</v>
      </c>
      <c r="G1875" s="10" t="s">
        <v>266</v>
      </c>
      <c r="H1875" s="11" t="str">
        <f>IF(AND(B1875="",C1875=""),"CUSTOM BLANK",IF(OR(B1875="",C1875=""),"ERROR - ENTER BOTH",IF(OR(B1875&lt;=0,C1875&lt;=0),"ERROR - NONPOSITIVE",IF(OR(B1875&lt;L1875,C1875&lt;L1875),"ERROR - BELOW MIN",IF(OR(AND(B1875&lt;=J1875,C1875&lt;=K1875),AND(B1875&lt;=K1875,C1875&lt;=J1875)),"VALID - CUSTOM","ERROR - EXCEEDS BASE")))))</f>
        <v>CUSTOM BLANK</v>
      </c>
      <c r="I1875" s="10" t="s">
        <v>267</v>
      </c>
      <c r="J1875" s="12">
        <f>'05-ISO Reference'!$B$24</f>
        <v>125</v>
      </c>
      <c r="K1875" s="12">
        <f>'05-ISO Reference'!$C$24</f>
        <v>176</v>
      </c>
      <c r="L1875" s="12">
        <f>'01-Process Controls'!$G$5</f>
        <v>3</v>
      </c>
      <c r="M1875" s="8"/>
      <c r="N1875" s="8"/>
    </row>
    <row r="1876" spans="1:15" ht="21" customHeight="1">
      <c r="A1876" s="9" t="s">
        <v>2192</v>
      </c>
      <c r="B1876" s="48"/>
      <c r="C1876" s="48"/>
      <c r="D1876" s="10" t="s">
        <v>263</v>
      </c>
      <c r="E1876" s="10" t="s">
        <v>2187</v>
      </c>
      <c r="F1876" s="10" t="s">
        <v>265</v>
      </c>
      <c r="G1876" s="10" t="s">
        <v>266</v>
      </c>
      <c r="H1876" s="11" t="str">
        <f>IF(AND(B1876="",C1876=""),"CUSTOM BLANK",IF(OR(B1876="",C1876=""),"ERROR - ENTER BOTH",IF(OR(B1876&lt;=0,C1876&lt;=0),"ERROR - NONPOSITIVE",IF(OR(B1876&lt;L1876,C1876&lt;L1876),"ERROR - BELOW MIN",IF(OR(AND(B1876&lt;=J1876,C1876&lt;=K1876),AND(B1876&lt;=K1876,C1876&lt;=J1876)),"VALID - CUSTOM","ERROR - EXCEEDS BASE")))))</f>
        <v>CUSTOM BLANK</v>
      </c>
      <c r="I1876" s="10" t="s">
        <v>267</v>
      </c>
      <c r="J1876" s="12">
        <f>'05-ISO Reference'!$B$24</f>
        <v>125</v>
      </c>
      <c r="K1876" s="12">
        <f>'05-ISO Reference'!$C$24</f>
        <v>176</v>
      </c>
      <c r="L1876" s="12">
        <f>'01-Process Controls'!$G$5</f>
        <v>3</v>
      </c>
      <c r="M1876" s="8"/>
      <c r="N1876" s="8"/>
    </row>
    <row r="1877" spans="1:15" ht="21" customHeight="1">
      <c r="A1877" s="9" t="s">
        <v>2193</v>
      </c>
      <c r="B1877" s="48"/>
      <c r="C1877" s="48"/>
      <c r="D1877" s="10" t="s">
        <v>263</v>
      </c>
      <c r="E1877" s="10" t="s">
        <v>2187</v>
      </c>
      <c r="F1877" s="10" t="s">
        <v>265</v>
      </c>
      <c r="G1877" s="10" t="s">
        <v>266</v>
      </c>
      <c r="H1877" s="11" t="str">
        <f>IF(AND(B1877="",C1877=""),"CUSTOM BLANK",IF(OR(B1877="",C1877=""),"ERROR - ENTER BOTH",IF(OR(B1877&lt;=0,C1877&lt;=0),"ERROR - NONPOSITIVE",IF(OR(B1877&lt;L1877,C1877&lt;L1877),"ERROR - BELOW MIN",IF(OR(AND(B1877&lt;=J1877,C1877&lt;=K1877),AND(B1877&lt;=K1877,C1877&lt;=J1877)),"VALID - CUSTOM","ERROR - EXCEEDS BASE")))))</f>
        <v>CUSTOM BLANK</v>
      </c>
      <c r="I1877" s="10" t="s">
        <v>267</v>
      </c>
      <c r="J1877" s="12">
        <f>'05-ISO Reference'!$B$24</f>
        <v>125</v>
      </c>
      <c r="K1877" s="12">
        <f>'05-ISO Reference'!$C$24</f>
        <v>176</v>
      </c>
      <c r="L1877" s="12">
        <f>'01-Process Controls'!$G$5</f>
        <v>3</v>
      </c>
      <c r="M1877" s="8"/>
      <c r="N1877" s="8"/>
    </row>
    <row r="1878" spans="1:15" ht="21" customHeight="1">
      <c r="A1878" s="9" t="s">
        <v>2194</v>
      </c>
      <c r="B1878" s="48"/>
      <c r="C1878" s="48"/>
      <c r="D1878" s="10" t="s">
        <v>263</v>
      </c>
      <c r="E1878" s="10" t="s">
        <v>2187</v>
      </c>
      <c r="F1878" s="10" t="s">
        <v>265</v>
      </c>
      <c r="G1878" s="10" t="s">
        <v>266</v>
      </c>
      <c r="H1878" s="11" t="str">
        <f>IF(AND(B1878="",C1878=""),"CUSTOM BLANK",IF(OR(B1878="",C1878=""),"ERROR - ENTER BOTH",IF(OR(B1878&lt;=0,C1878&lt;=0),"ERROR - NONPOSITIVE",IF(OR(B1878&lt;L1878,C1878&lt;L1878),"ERROR - BELOW MIN",IF(OR(AND(B1878&lt;=J1878,C1878&lt;=K1878),AND(B1878&lt;=K1878,C1878&lt;=J1878)),"VALID - CUSTOM","ERROR - EXCEEDS BASE")))))</f>
        <v>CUSTOM BLANK</v>
      </c>
      <c r="I1878" s="10" t="s">
        <v>267</v>
      </c>
      <c r="J1878" s="12">
        <f>'05-ISO Reference'!$B$24</f>
        <v>125</v>
      </c>
      <c r="K1878" s="12">
        <f>'05-ISO Reference'!$C$24</f>
        <v>176</v>
      </c>
      <c r="L1878" s="12">
        <f>'01-Process Controls'!$G$5</f>
        <v>3</v>
      </c>
      <c r="M1878" s="8"/>
      <c r="N1878" s="8"/>
    </row>
    <row r="1879" spans="1:15" ht="21" customHeight="1">
      <c r="A1879" s="9" t="s">
        <v>2195</v>
      </c>
      <c r="B1879" s="48"/>
      <c r="C1879" s="48"/>
      <c r="D1879" s="10" t="s">
        <v>263</v>
      </c>
      <c r="E1879" s="10" t="s">
        <v>2187</v>
      </c>
      <c r="F1879" s="10" t="s">
        <v>265</v>
      </c>
      <c r="G1879" s="10" t="s">
        <v>266</v>
      </c>
      <c r="H1879" s="11" t="str">
        <f>IF(AND(B1879="",C1879=""),"CUSTOM BLANK",IF(OR(B1879="",C1879=""),"ERROR - ENTER BOTH",IF(OR(B1879&lt;=0,C1879&lt;=0),"ERROR - NONPOSITIVE",IF(OR(B1879&lt;L1879,C1879&lt;L1879),"ERROR - BELOW MIN",IF(OR(AND(B1879&lt;=J1879,C1879&lt;=K1879),AND(B1879&lt;=K1879,C1879&lt;=J1879)),"VALID - CUSTOM","ERROR - EXCEEDS BASE")))))</f>
        <v>CUSTOM BLANK</v>
      </c>
      <c r="I1879" s="10" t="s">
        <v>267</v>
      </c>
      <c r="J1879" s="12">
        <f>'05-ISO Reference'!$B$24</f>
        <v>125</v>
      </c>
      <c r="K1879" s="12">
        <f>'05-ISO Reference'!$C$24</f>
        <v>176</v>
      </c>
      <c r="L1879" s="12">
        <f>'01-Process Controls'!$G$5</f>
        <v>3</v>
      </c>
      <c r="M1879" s="8"/>
      <c r="N1879" s="8"/>
    </row>
    <row r="1880" spans="1:15" ht="21" customHeight="1">
      <c r="A1880" s="9" t="s">
        <v>2196</v>
      </c>
      <c r="B1880" s="48"/>
      <c r="C1880" s="48"/>
      <c r="D1880" s="10" t="s">
        <v>263</v>
      </c>
      <c r="E1880" s="10" t="s">
        <v>2187</v>
      </c>
      <c r="F1880" s="10" t="s">
        <v>265</v>
      </c>
      <c r="G1880" s="10" t="s">
        <v>266</v>
      </c>
      <c r="H1880" s="11" t="str">
        <f>IF(AND(B1880="",C1880=""),"CUSTOM BLANK",IF(OR(B1880="",C1880=""),"ERROR - ENTER BOTH",IF(OR(B1880&lt;=0,C1880&lt;=0),"ERROR - NONPOSITIVE",IF(OR(B1880&lt;L1880,C1880&lt;L1880),"ERROR - BELOW MIN",IF(OR(AND(B1880&lt;=J1880,C1880&lt;=K1880),AND(B1880&lt;=K1880,C1880&lt;=J1880)),"VALID - CUSTOM","ERROR - EXCEEDS BASE")))))</f>
        <v>CUSTOM BLANK</v>
      </c>
      <c r="I1880" s="10" t="s">
        <v>267</v>
      </c>
      <c r="J1880" s="12">
        <f>'05-ISO Reference'!$B$24</f>
        <v>125</v>
      </c>
      <c r="K1880" s="12">
        <f>'05-ISO Reference'!$C$24</f>
        <v>176</v>
      </c>
      <c r="L1880" s="12">
        <f>'01-Process Controls'!$G$5</f>
        <v>3</v>
      </c>
      <c r="M1880" s="8"/>
      <c r="N1880" s="8"/>
    </row>
    <row r="1881" spans="1:15" ht="21" customHeight="1">
      <c r="A1881" s="9" t="s">
        <v>2197</v>
      </c>
      <c r="B1881" s="48"/>
      <c r="C1881" s="48"/>
      <c r="D1881" s="10" t="s">
        <v>263</v>
      </c>
      <c r="E1881" s="10" t="s">
        <v>2187</v>
      </c>
      <c r="F1881" s="10" t="s">
        <v>265</v>
      </c>
      <c r="G1881" s="10" t="s">
        <v>266</v>
      </c>
      <c r="H1881" s="11" t="str">
        <f>IF(AND(B1881="",C1881=""),"CUSTOM BLANK",IF(OR(B1881="",C1881=""),"ERROR - ENTER BOTH",IF(OR(B1881&lt;=0,C1881&lt;=0),"ERROR - NONPOSITIVE",IF(OR(B1881&lt;L1881,C1881&lt;L1881),"ERROR - BELOW MIN",IF(OR(AND(B1881&lt;=J1881,C1881&lt;=K1881),AND(B1881&lt;=K1881,C1881&lt;=J1881)),"VALID - CUSTOM","ERROR - EXCEEDS BASE")))))</f>
        <v>CUSTOM BLANK</v>
      </c>
      <c r="I1881" s="10" t="s">
        <v>267</v>
      </c>
      <c r="J1881" s="12">
        <f>'05-ISO Reference'!$B$24</f>
        <v>125</v>
      </c>
      <c r="K1881" s="12">
        <f>'05-ISO Reference'!$C$24</f>
        <v>176</v>
      </c>
      <c r="L1881" s="12">
        <f>'01-Process Controls'!$G$5</f>
        <v>3</v>
      </c>
      <c r="M1881" s="8"/>
      <c r="N1881" s="8"/>
    </row>
    <row r="1882" spans="1:15" ht="21" customHeight="1">
      <c r="A1882" s="9" t="s">
        <v>2198</v>
      </c>
      <c r="B1882" s="48"/>
      <c r="C1882" s="48"/>
      <c r="D1882" s="10" t="s">
        <v>263</v>
      </c>
      <c r="E1882" s="10" t="s">
        <v>2187</v>
      </c>
      <c r="F1882" s="10" t="s">
        <v>265</v>
      </c>
      <c r="G1882" s="10" t="s">
        <v>266</v>
      </c>
      <c r="H1882" s="11" t="str">
        <f>IF(AND(B1882="",C1882=""),"CUSTOM BLANK",IF(OR(B1882="",C1882=""),"ERROR - ENTER BOTH",IF(OR(B1882&lt;=0,C1882&lt;=0),"ERROR - NONPOSITIVE",IF(OR(B1882&lt;L1882,C1882&lt;L1882),"ERROR - BELOW MIN",IF(OR(AND(B1882&lt;=J1882,C1882&lt;=K1882),AND(B1882&lt;=K1882,C1882&lt;=J1882)),"VALID - CUSTOM","ERROR - EXCEEDS BASE")))))</f>
        <v>CUSTOM BLANK</v>
      </c>
      <c r="I1882" s="10" t="s">
        <v>267</v>
      </c>
      <c r="J1882" s="12">
        <f>'05-ISO Reference'!$B$24</f>
        <v>125</v>
      </c>
      <c r="K1882" s="12">
        <f>'05-ISO Reference'!$C$24</f>
        <v>176</v>
      </c>
      <c r="L1882" s="12">
        <f>'01-Process Controls'!$G$5</f>
        <v>3</v>
      </c>
      <c r="M1882" s="8"/>
      <c r="N1882" s="8"/>
    </row>
    <row r="1883" spans="1:15" ht="21" customHeight="1">
      <c r="A1883" s="9" t="s">
        <v>2199</v>
      </c>
      <c r="B1883" s="48"/>
      <c r="C1883" s="48"/>
      <c r="D1883" s="10" t="s">
        <v>263</v>
      </c>
      <c r="E1883" s="10" t="s">
        <v>2187</v>
      </c>
      <c r="F1883" s="10" t="s">
        <v>265</v>
      </c>
      <c r="G1883" s="10" t="s">
        <v>266</v>
      </c>
      <c r="H1883" s="11" t="str">
        <f>IF(AND(B1883="",C1883=""),"CUSTOM BLANK",IF(OR(B1883="",C1883=""),"ERROR - ENTER BOTH",IF(OR(B1883&lt;=0,C1883&lt;=0),"ERROR - NONPOSITIVE",IF(OR(B1883&lt;L1883,C1883&lt;L1883),"ERROR - BELOW MIN",IF(OR(AND(B1883&lt;=J1883,C1883&lt;=K1883),AND(B1883&lt;=K1883,C1883&lt;=J1883)),"VALID - CUSTOM","ERROR - EXCEEDS BASE")))))</f>
        <v>CUSTOM BLANK</v>
      </c>
      <c r="I1883" s="10" t="s">
        <v>267</v>
      </c>
      <c r="J1883" s="12">
        <f>'05-ISO Reference'!$B$24</f>
        <v>125</v>
      </c>
      <c r="K1883" s="12">
        <f>'05-ISO Reference'!$C$24</f>
        <v>176</v>
      </c>
      <c r="L1883" s="12">
        <f>'01-Process Controls'!$G$5</f>
        <v>3</v>
      </c>
      <c r="M1883" s="8"/>
      <c r="N1883" s="8"/>
    </row>
    <row r="1884" spans="1:15" ht="21" customHeight="1">
      <c r="A1884" s="9" t="s">
        <v>2200</v>
      </c>
      <c r="B1884" s="48"/>
      <c r="C1884" s="48"/>
      <c r="D1884" s="10" t="s">
        <v>263</v>
      </c>
      <c r="E1884" s="10" t="s">
        <v>2187</v>
      </c>
      <c r="F1884" s="10" t="s">
        <v>265</v>
      </c>
      <c r="G1884" s="10" t="s">
        <v>266</v>
      </c>
      <c r="H1884" s="11" t="str">
        <f>IF(AND(B1884="",C1884=""),"CUSTOM BLANK",IF(OR(B1884="",C1884=""),"ERROR - ENTER BOTH",IF(OR(B1884&lt;=0,C1884&lt;=0),"ERROR - NONPOSITIVE",IF(OR(B1884&lt;L1884,C1884&lt;L1884),"ERROR - BELOW MIN",IF(OR(AND(B1884&lt;=J1884,C1884&lt;=K1884),AND(B1884&lt;=K1884,C1884&lt;=J1884)),"VALID - CUSTOM","ERROR - EXCEEDS BASE")))))</f>
        <v>CUSTOM BLANK</v>
      </c>
      <c r="I1884" s="10" t="s">
        <v>267</v>
      </c>
      <c r="J1884" s="12">
        <f>'05-ISO Reference'!$B$24</f>
        <v>125</v>
      </c>
      <c r="K1884" s="12">
        <f>'05-ISO Reference'!$C$24</f>
        <v>176</v>
      </c>
      <c r="L1884" s="12">
        <f>'01-Process Controls'!$G$5</f>
        <v>3</v>
      </c>
      <c r="M1884" s="8"/>
      <c r="N1884" s="8"/>
    </row>
    <row r="1885" spans="1:15" ht="21" customHeight="1">
      <c r="A1885" s="9" t="s">
        <v>2201</v>
      </c>
      <c r="B1885" s="48"/>
      <c r="C1885" s="48"/>
      <c r="D1885" s="10" t="s">
        <v>263</v>
      </c>
      <c r="E1885" s="10" t="s">
        <v>2187</v>
      </c>
      <c r="F1885" s="10" t="s">
        <v>265</v>
      </c>
      <c r="G1885" s="10" t="s">
        <v>266</v>
      </c>
      <c r="H1885" s="11" t="str">
        <f>IF(AND(B1885="",C1885=""),"CUSTOM BLANK",IF(OR(B1885="",C1885=""),"ERROR - ENTER BOTH",IF(OR(B1885&lt;=0,C1885&lt;=0),"ERROR - NONPOSITIVE",IF(OR(B1885&lt;L1885,C1885&lt;L1885),"ERROR - BELOW MIN",IF(OR(AND(B1885&lt;=J1885,C1885&lt;=K1885),AND(B1885&lt;=K1885,C1885&lt;=J1885)),"VALID - CUSTOM","ERROR - EXCEEDS BASE")))))</f>
        <v>CUSTOM BLANK</v>
      </c>
      <c r="I1885" s="10" t="s">
        <v>267</v>
      </c>
      <c r="J1885" s="12">
        <f>'05-ISO Reference'!$B$24</f>
        <v>125</v>
      </c>
      <c r="K1885" s="12">
        <f>'05-ISO Reference'!$C$24</f>
        <v>176</v>
      </c>
      <c r="L1885" s="12">
        <f>'01-Process Controls'!$G$5</f>
        <v>3</v>
      </c>
      <c r="M1885" s="8"/>
      <c r="N1885" s="8"/>
    </row>
    <row r="1886" spans="1:15" ht="21" customHeight="1">
      <c r="A1886" s="44" t="s">
        <v>2202</v>
      </c>
      <c r="B1886" s="45">
        <f>IF(LEFT(H1886,5)="VALID",M1886,"")</f>
        <v>88</v>
      </c>
      <c r="C1886" s="45">
        <f>IF(LEFT(H1886,5)="VALID",N1886,"")</f>
        <v>125</v>
      </c>
      <c r="D1886" s="46" t="s">
        <v>82</v>
      </c>
      <c r="E1886" s="46" t="s">
        <v>2203</v>
      </c>
      <c r="F1886" s="46" t="s">
        <v>122</v>
      </c>
      <c r="G1886" s="46" t="s">
        <v>123</v>
      </c>
      <c r="H1886" s="47" t="str">
        <f>"VALID - BASE"</f>
        <v>VALID - BASE</v>
      </c>
      <c r="I1886" s="46" t="s">
        <v>2204</v>
      </c>
      <c r="J1886" s="12">
        <f>'05-ISO Reference'!$B$25</f>
        <v>88</v>
      </c>
      <c r="K1886" s="12">
        <f>'05-ISO Reference'!$C$25</f>
        <v>125</v>
      </c>
      <c r="L1886" s="12">
        <f>'01-Process Controls'!$G$5</f>
        <v>3</v>
      </c>
      <c r="M1886" s="12">
        <f>ROUNDDOWN(J1886,0)</f>
        <v>88</v>
      </c>
      <c r="N1886" s="12">
        <f>ROUNDDOWN(K1886,0)</f>
        <v>125</v>
      </c>
      <c r="O1886" s="9">
        <v>0</v>
      </c>
    </row>
    <row r="1887" spans="1:15" ht="21" customHeight="1">
      <c r="A1887" s="9" t="s">
        <v>2205</v>
      </c>
      <c r="B1887" s="12">
        <f>IF(LEFT(H1887,5)="VALID",M1887,"")</f>
        <v>44</v>
      </c>
      <c r="C1887" s="12">
        <f>IF(LEFT(H1887,5)="VALID",N1887,"")</f>
        <v>125</v>
      </c>
      <c r="D1887" s="10" t="s">
        <v>82</v>
      </c>
      <c r="E1887" s="10" t="s">
        <v>2203</v>
      </c>
      <c r="F1887" s="10" t="s">
        <v>126</v>
      </c>
      <c r="G1887" s="10" t="s">
        <v>127</v>
      </c>
      <c r="H1887" s="11" t="str">
        <f>IF(OR(M1887&lt;=0,N1887&lt;=0),"SKIPPED - NONPOSITIVE",IF(OR(M1887&lt;L1887,N1887&lt;L1887),"SKIPPED - BELOW MIN",IF(OR(M1887&gt;J1887,N1887&gt;K1887),"SKIPPED - EXCEEDS BASE",IF(COUNTIFS($M$1886:M1886,M1887,$N$1886:N1886,N1887)&gt;0,"SKIPPED - DUPLICATE","VALID - GENERATED"))))</f>
        <v>VALID - GENERATED</v>
      </c>
      <c r="I1887" s="10" t="s">
        <v>2204</v>
      </c>
      <c r="J1887" s="12">
        <f>'05-ISO Reference'!$B$25</f>
        <v>88</v>
      </c>
      <c r="K1887" s="12">
        <f>'05-ISO Reference'!$C$25</f>
        <v>125</v>
      </c>
      <c r="L1887" s="12">
        <f>'01-Process Controls'!$G$5</f>
        <v>3</v>
      </c>
      <c r="M1887" s="12">
        <f>ROUNDDOWN(J1887*'04-Variant Rules'!$D$6,0)</f>
        <v>44</v>
      </c>
      <c r="N1887" s="12">
        <f>ROUNDDOWN(K1887,0)</f>
        <v>125</v>
      </c>
      <c r="O1887" s="9">
        <v>1</v>
      </c>
    </row>
    <row r="1888" spans="1:15" ht="21" customHeight="1">
      <c r="A1888" s="9" t="s">
        <v>2206</v>
      </c>
      <c r="B1888" s="12">
        <f>IF(LEFT(H1888,5)="VALID",M1888,"")</f>
        <v>29</v>
      </c>
      <c r="C1888" s="12">
        <f>IF(LEFT(H1888,5)="VALID",N1888,"")</f>
        <v>125</v>
      </c>
      <c r="D1888" s="10" t="s">
        <v>82</v>
      </c>
      <c r="E1888" s="10" t="s">
        <v>2203</v>
      </c>
      <c r="F1888" s="10" t="s">
        <v>129</v>
      </c>
      <c r="G1888" s="10" t="s">
        <v>130</v>
      </c>
      <c r="H1888" s="11" t="str">
        <f>IF(OR(M1888&lt;=0,N1888&lt;=0),"SKIPPED - NONPOSITIVE",IF(OR(M1888&lt;L1888,N1888&lt;L1888),"SKIPPED - BELOW MIN",IF(OR(M1888&gt;J1888,N1888&gt;K1888),"SKIPPED - EXCEEDS BASE",IF(COUNTIFS($M$1886:M1887,M1888,$N$1886:N1887,N1888)&gt;0,"SKIPPED - DUPLICATE","VALID - GENERATED"))))</f>
        <v>VALID - GENERATED</v>
      </c>
      <c r="I1888" s="10" t="s">
        <v>2204</v>
      </c>
      <c r="J1888" s="12">
        <f>'05-ISO Reference'!$B$25</f>
        <v>88</v>
      </c>
      <c r="K1888" s="12">
        <f>'05-ISO Reference'!$C$25</f>
        <v>125</v>
      </c>
      <c r="L1888" s="12">
        <f>'01-Process Controls'!$G$5</f>
        <v>3</v>
      </c>
      <c r="M1888" s="12">
        <f>ROUNDDOWN(J1888*'04-Variant Rules'!$D$7,0)</f>
        <v>29</v>
      </c>
      <c r="N1888" s="12">
        <f>ROUNDDOWN(K1888,0)</f>
        <v>125</v>
      </c>
      <c r="O1888" s="9">
        <v>2</v>
      </c>
    </row>
    <row r="1889" spans="1:15" ht="21" customHeight="1">
      <c r="A1889" s="9" t="s">
        <v>2207</v>
      </c>
      <c r="B1889" s="12">
        <f>IF(LEFT(H1889,5)="VALID",M1889,"")</f>
        <v>22</v>
      </c>
      <c r="C1889" s="12">
        <f>IF(LEFT(H1889,5)="VALID",N1889,"")</f>
        <v>125</v>
      </c>
      <c r="D1889" s="10" t="s">
        <v>82</v>
      </c>
      <c r="E1889" s="10" t="s">
        <v>2203</v>
      </c>
      <c r="F1889" s="10" t="s">
        <v>132</v>
      </c>
      <c r="G1889" s="10" t="s">
        <v>133</v>
      </c>
      <c r="H1889" s="11" t="str">
        <f>IF(OR(M1889&lt;=0,N1889&lt;=0),"SKIPPED - NONPOSITIVE",IF(OR(M1889&lt;L1889,N1889&lt;L1889),"SKIPPED - BELOW MIN",IF(OR(M1889&gt;J1889,N1889&gt;K1889),"SKIPPED - EXCEEDS BASE",IF(COUNTIFS($M$1886:M1888,M1889,$N$1886:N1888,N1889)&gt;0,"SKIPPED - DUPLICATE","VALID - GENERATED"))))</f>
        <v>VALID - GENERATED</v>
      </c>
      <c r="I1889" s="10" t="s">
        <v>2204</v>
      </c>
      <c r="J1889" s="12">
        <f>'05-ISO Reference'!$B$25</f>
        <v>88</v>
      </c>
      <c r="K1889" s="12">
        <f>'05-ISO Reference'!$C$25</f>
        <v>125</v>
      </c>
      <c r="L1889" s="12">
        <f>'01-Process Controls'!$G$5</f>
        <v>3</v>
      </c>
      <c r="M1889" s="12">
        <f>ROUNDDOWN(J1889*'04-Variant Rules'!$D$8,0)</f>
        <v>22</v>
      </c>
      <c r="N1889" s="12">
        <f>ROUNDDOWN(K1889,0)</f>
        <v>125</v>
      </c>
      <c r="O1889" s="9">
        <v>3</v>
      </c>
    </row>
    <row r="1890" spans="1:15" ht="21" customHeight="1">
      <c r="A1890" s="9" t="s">
        <v>2208</v>
      </c>
      <c r="B1890" s="12">
        <f>IF(LEFT(H1890,5)="VALID",M1890,"")</f>
        <v>58</v>
      </c>
      <c r="C1890" s="12">
        <f>IF(LEFT(H1890,5)="VALID",N1890,"")</f>
        <v>125</v>
      </c>
      <c r="D1890" s="10" t="s">
        <v>82</v>
      </c>
      <c r="E1890" s="10" t="s">
        <v>2203</v>
      </c>
      <c r="F1890" s="10" t="s">
        <v>135</v>
      </c>
      <c r="G1890" s="10" t="s">
        <v>136</v>
      </c>
      <c r="H1890" s="11" t="str">
        <f>IF(OR(M1890&lt;=0,N1890&lt;=0),"SKIPPED - NONPOSITIVE",IF(OR(M1890&lt;L1890,N1890&lt;L1890),"SKIPPED - BELOW MIN",IF(OR(M1890&gt;J1890,N1890&gt;K1890),"SKIPPED - EXCEEDS BASE",IF(COUNTIFS($M$1886:M1889,M1890,$N$1886:N1889,N1890)&gt;0,"SKIPPED - DUPLICATE","VALID - GENERATED"))))</f>
        <v>VALID - GENERATED</v>
      </c>
      <c r="I1890" s="10" t="s">
        <v>2204</v>
      </c>
      <c r="J1890" s="12">
        <f>'05-ISO Reference'!$B$25</f>
        <v>88</v>
      </c>
      <c r="K1890" s="12">
        <f>'05-ISO Reference'!$C$25</f>
        <v>125</v>
      </c>
      <c r="L1890" s="12">
        <f>'01-Process Controls'!$G$5</f>
        <v>3</v>
      </c>
      <c r="M1890" s="12">
        <f>ROUNDDOWN(J1890*'04-Variant Rules'!$D$9,0)</f>
        <v>58</v>
      </c>
      <c r="N1890" s="12">
        <f>ROUNDDOWN(K1890,0)</f>
        <v>125</v>
      </c>
      <c r="O1890" s="9">
        <v>4</v>
      </c>
    </row>
    <row r="1891" spans="1:15" ht="21" customHeight="1">
      <c r="A1891" s="9" t="s">
        <v>2209</v>
      </c>
      <c r="B1891" s="12">
        <f>IF(LEFT(H1891,5)="VALID",M1891,"")</f>
        <v>66</v>
      </c>
      <c r="C1891" s="12">
        <f>IF(LEFT(H1891,5)="VALID",N1891,"")</f>
        <v>125</v>
      </c>
      <c r="D1891" s="10" t="s">
        <v>82</v>
      </c>
      <c r="E1891" s="10" t="s">
        <v>2203</v>
      </c>
      <c r="F1891" s="10" t="s">
        <v>138</v>
      </c>
      <c r="G1891" s="10" t="s">
        <v>139</v>
      </c>
      <c r="H1891" s="11" t="str">
        <f>IF(OR(M1891&lt;=0,N1891&lt;=0),"SKIPPED - NONPOSITIVE",IF(OR(M1891&lt;L1891,N1891&lt;L1891),"SKIPPED - BELOW MIN",IF(OR(M1891&gt;J1891,N1891&gt;K1891),"SKIPPED - EXCEEDS BASE",IF(COUNTIFS($M$1886:M1890,M1891,$N$1886:N1890,N1891)&gt;0,"SKIPPED - DUPLICATE","VALID - GENERATED"))))</f>
        <v>VALID - GENERATED</v>
      </c>
      <c r="I1891" s="10" t="s">
        <v>2204</v>
      </c>
      <c r="J1891" s="12">
        <f>'05-ISO Reference'!$B$25</f>
        <v>88</v>
      </c>
      <c r="K1891" s="12">
        <f>'05-ISO Reference'!$C$25</f>
        <v>125</v>
      </c>
      <c r="L1891" s="12">
        <f>'01-Process Controls'!$G$5</f>
        <v>3</v>
      </c>
      <c r="M1891" s="12">
        <f>ROUNDDOWN(J1891*'04-Variant Rules'!$D$10,0)</f>
        <v>66</v>
      </c>
      <c r="N1891" s="12">
        <f>ROUNDDOWN(K1891,0)</f>
        <v>125</v>
      </c>
      <c r="O1891" s="9">
        <v>5</v>
      </c>
    </row>
    <row r="1892" spans="1:15" ht="21" customHeight="1">
      <c r="A1892" s="9" t="s">
        <v>2210</v>
      </c>
      <c r="B1892" s="12">
        <f>IF(LEFT(H1892,5)="VALID",M1892,"")</f>
        <v>88</v>
      </c>
      <c r="C1892" s="12">
        <f>IF(LEFT(H1892,5)="VALID",N1892,"")</f>
        <v>62</v>
      </c>
      <c r="D1892" s="10" t="s">
        <v>82</v>
      </c>
      <c r="E1892" s="10" t="s">
        <v>2203</v>
      </c>
      <c r="F1892" s="10" t="s">
        <v>141</v>
      </c>
      <c r="G1892" s="10" t="s">
        <v>142</v>
      </c>
      <c r="H1892" s="11" t="str">
        <f>IF(OR(M1892&lt;=0,N1892&lt;=0),"SKIPPED - NONPOSITIVE",IF(OR(M1892&lt;L1892,N1892&lt;L1892),"SKIPPED - BELOW MIN",IF(OR(M1892&gt;J1892,N1892&gt;K1892),"SKIPPED - EXCEEDS BASE",IF(COUNTIFS($M$1886:M1891,M1892,$N$1886:N1891,N1892)&gt;0,"SKIPPED - DUPLICATE","VALID - GENERATED"))))</f>
        <v>VALID - GENERATED</v>
      </c>
      <c r="I1892" s="10" t="s">
        <v>2204</v>
      </c>
      <c r="J1892" s="12">
        <f>'05-ISO Reference'!$B$25</f>
        <v>88</v>
      </c>
      <c r="K1892" s="12">
        <f>'05-ISO Reference'!$C$25</f>
        <v>125</v>
      </c>
      <c r="L1892" s="12">
        <f>'01-Process Controls'!$G$5</f>
        <v>3</v>
      </c>
      <c r="M1892" s="12">
        <f>ROUNDDOWN(J1892,0)</f>
        <v>88</v>
      </c>
      <c r="N1892" s="12">
        <f>ROUNDDOWN(K1892*'04-Variant Rules'!$D$11,0)</f>
        <v>62</v>
      </c>
      <c r="O1892" s="9">
        <v>6</v>
      </c>
    </row>
    <row r="1893" spans="1:15" ht="21" customHeight="1">
      <c r="A1893" s="9" t="s">
        <v>2211</v>
      </c>
      <c r="B1893" s="12">
        <f>IF(LEFT(H1893,5)="VALID",M1893,"")</f>
        <v>88</v>
      </c>
      <c r="C1893" s="12">
        <f>IF(LEFT(H1893,5)="VALID",N1893,"")</f>
        <v>41</v>
      </c>
      <c r="D1893" s="10" t="s">
        <v>82</v>
      </c>
      <c r="E1893" s="10" t="s">
        <v>2203</v>
      </c>
      <c r="F1893" s="10" t="s">
        <v>144</v>
      </c>
      <c r="G1893" s="10" t="s">
        <v>145</v>
      </c>
      <c r="H1893" s="11" t="str">
        <f>IF(OR(M1893&lt;=0,N1893&lt;=0),"SKIPPED - NONPOSITIVE",IF(OR(M1893&lt;L1893,N1893&lt;L1893),"SKIPPED - BELOW MIN",IF(OR(M1893&gt;J1893,N1893&gt;K1893),"SKIPPED - EXCEEDS BASE",IF(COUNTIFS($M$1886:M1892,M1893,$N$1886:N1892,N1893)&gt;0,"SKIPPED - DUPLICATE","VALID - GENERATED"))))</f>
        <v>VALID - GENERATED</v>
      </c>
      <c r="I1893" s="10" t="s">
        <v>2204</v>
      </c>
      <c r="J1893" s="12">
        <f>'05-ISO Reference'!$B$25</f>
        <v>88</v>
      </c>
      <c r="K1893" s="12">
        <f>'05-ISO Reference'!$C$25</f>
        <v>125</v>
      </c>
      <c r="L1893" s="12">
        <f>'01-Process Controls'!$G$5</f>
        <v>3</v>
      </c>
      <c r="M1893" s="12">
        <f>ROUNDDOWN(J1893,0)</f>
        <v>88</v>
      </c>
      <c r="N1893" s="12">
        <f>ROUNDDOWN(K1893*'04-Variant Rules'!$D$12,0)</f>
        <v>41</v>
      </c>
      <c r="O1893" s="9">
        <v>7</v>
      </c>
    </row>
    <row r="1894" spans="1:15" ht="21" customHeight="1">
      <c r="A1894" s="9" t="s">
        <v>2212</v>
      </c>
      <c r="B1894" s="12">
        <f>IF(LEFT(H1894,5)="VALID",M1894,"")</f>
        <v>88</v>
      </c>
      <c r="C1894" s="12">
        <f>IF(LEFT(H1894,5)="VALID",N1894,"")</f>
        <v>31</v>
      </c>
      <c r="D1894" s="10" t="s">
        <v>82</v>
      </c>
      <c r="E1894" s="10" t="s">
        <v>2203</v>
      </c>
      <c r="F1894" s="10" t="s">
        <v>147</v>
      </c>
      <c r="G1894" s="10" t="s">
        <v>148</v>
      </c>
      <c r="H1894" s="11" t="str">
        <f>IF(OR(M1894&lt;=0,N1894&lt;=0),"SKIPPED - NONPOSITIVE",IF(OR(M1894&lt;L1894,N1894&lt;L1894),"SKIPPED - BELOW MIN",IF(OR(M1894&gt;J1894,N1894&gt;K1894),"SKIPPED - EXCEEDS BASE",IF(COUNTIFS($M$1886:M1893,M1894,$N$1886:N1893,N1894)&gt;0,"SKIPPED - DUPLICATE","VALID - GENERATED"))))</f>
        <v>VALID - GENERATED</v>
      </c>
      <c r="I1894" s="10" t="s">
        <v>2204</v>
      </c>
      <c r="J1894" s="12">
        <f>'05-ISO Reference'!$B$25</f>
        <v>88</v>
      </c>
      <c r="K1894" s="12">
        <f>'05-ISO Reference'!$C$25</f>
        <v>125</v>
      </c>
      <c r="L1894" s="12">
        <f>'01-Process Controls'!$G$5</f>
        <v>3</v>
      </c>
      <c r="M1894" s="12">
        <f>ROUNDDOWN(J1894,0)</f>
        <v>88</v>
      </c>
      <c r="N1894" s="12">
        <f>ROUNDDOWN(K1894*'04-Variant Rules'!$D$13,0)</f>
        <v>31</v>
      </c>
      <c r="O1894" s="9">
        <v>8</v>
      </c>
    </row>
    <row r="1895" spans="1:15" ht="21" customHeight="1">
      <c r="A1895" s="9" t="s">
        <v>2213</v>
      </c>
      <c r="B1895" s="12">
        <f>IF(LEFT(H1895,5)="VALID",M1895,"")</f>
        <v>88</v>
      </c>
      <c r="C1895" s="12">
        <f>IF(LEFT(H1895,5)="VALID",N1895,"")</f>
        <v>83</v>
      </c>
      <c r="D1895" s="10" t="s">
        <v>82</v>
      </c>
      <c r="E1895" s="10" t="s">
        <v>2203</v>
      </c>
      <c r="F1895" s="10" t="s">
        <v>150</v>
      </c>
      <c r="G1895" s="10" t="s">
        <v>151</v>
      </c>
      <c r="H1895" s="11" t="str">
        <f>IF(OR(M1895&lt;=0,N1895&lt;=0),"SKIPPED - NONPOSITIVE",IF(OR(M1895&lt;L1895,N1895&lt;L1895),"SKIPPED - BELOW MIN",IF(OR(M1895&gt;J1895,N1895&gt;K1895),"SKIPPED - EXCEEDS BASE",IF(COUNTIFS($M$1886:M1894,M1895,$N$1886:N1894,N1895)&gt;0,"SKIPPED - DUPLICATE","VALID - GENERATED"))))</f>
        <v>VALID - GENERATED</v>
      </c>
      <c r="I1895" s="10" t="s">
        <v>2204</v>
      </c>
      <c r="J1895" s="12">
        <f>'05-ISO Reference'!$B$25</f>
        <v>88</v>
      </c>
      <c r="K1895" s="12">
        <f>'05-ISO Reference'!$C$25</f>
        <v>125</v>
      </c>
      <c r="L1895" s="12">
        <f>'01-Process Controls'!$G$5</f>
        <v>3</v>
      </c>
      <c r="M1895" s="12">
        <f>ROUNDDOWN(J1895,0)</f>
        <v>88</v>
      </c>
      <c r="N1895" s="12">
        <f>ROUNDDOWN(K1895*'04-Variant Rules'!$D$14,0)</f>
        <v>83</v>
      </c>
      <c r="O1895" s="9">
        <v>9</v>
      </c>
    </row>
    <row r="1896" spans="1:15" ht="21" customHeight="1">
      <c r="A1896" s="9" t="s">
        <v>2214</v>
      </c>
      <c r="B1896" s="12">
        <f>IF(LEFT(H1896,5)="VALID",M1896,"")</f>
        <v>88</v>
      </c>
      <c r="C1896" s="12">
        <f>IF(LEFT(H1896,5)="VALID",N1896,"")</f>
        <v>93</v>
      </c>
      <c r="D1896" s="10" t="s">
        <v>82</v>
      </c>
      <c r="E1896" s="10" t="s">
        <v>2203</v>
      </c>
      <c r="F1896" s="10" t="s">
        <v>153</v>
      </c>
      <c r="G1896" s="10" t="s">
        <v>154</v>
      </c>
      <c r="H1896" s="11" t="str">
        <f>IF(OR(M1896&lt;=0,N1896&lt;=0),"SKIPPED - NONPOSITIVE",IF(OR(M1896&lt;L1896,N1896&lt;L1896),"SKIPPED - BELOW MIN",IF(OR(M1896&gt;J1896,N1896&gt;K1896),"SKIPPED - EXCEEDS BASE",IF(COUNTIFS($M$1886:M1895,M1896,$N$1886:N1895,N1896)&gt;0,"SKIPPED - DUPLICATE","VALID - GENERATED"))))</f>
        <v>VALID - GENERATED</v>
      </c>
      <c r="I1896" s="10" t="s">
        <v>2204</v>
      </c>
      <c r="J1896" s="12">
        <f>'05-ISO Reference'!$B$25</f>
        <v>88</v>
      </c>
      <c r="K1896" s="12">
        <f>'05-ISO Reference'!$C$25</f>
        <v>125</v>
      </c>
      <c r="L1896" s="12">
        <f>'01-Process Controls'!$G$5</f>
        <v>3</v>
      </c>
      <c r="M1896" s="12">
        <f>ROUNDDOWN(J1896,0)</f>
        <v>88</v>
      </c>
      <c r="N1896" s="12">
        <f>ROUNDDOWN(K1896*'04-Variant Rules'!$D$15,0)</f>
        <v>93</v>
      </c>
      <c r="O1896" s="9">
        <v>10</v>
      </c>
    </row>
    <row r="1897" spans="1:15" ht="21" customHeight="1">
      <c r="A1897" s="9" t="s">
        <v>2215</v>
      </c>
      <c r="B1897" s="12">
        <f>IF(LEFT(H1897,5)="VALID",M1897,"")</f>
        <v>44</v>
      </c>
      <c r="C1897" s="12">
        <f>IF(LEFT(H1897,5)="VALID",N1897,"")</f>
        <v>62</v>
      </c>
      <c r="D1897" s="10" t="s">
        <v>82</v>
      </c>
      <c r="E1897" s="10" t="s">
        <v>2203</v>
      </c>
      <c r="F1897" s="10" t="s">
        <v>156</v>
      </c>
      <c r="G1897" s="10" t="s">
        <v>157</v>
      </c>
      <c r="H1897" s="11" t="str">
        <f>IF(OR(M1897&lt;=0,N1897&lt;=0),"SKIPPED - NONPOSITIVE",IF(OR(M1897&lt;L1897,N1897&lt;L1897),"SKIPPED - BELOW MIN",IF(OR(M1897&gt;J1897,N1897&gt;K1897),"SKIPPED - EXCEEDS BASE",IF(COUNTIFS($M$1886:M1896,M1897,$N$1886:N1896,N1897)&gt;0,"SKIPPED - DUPLICATE","VALID - GENERATED"))))</f>
        <v>VALID - GENERATED</v>
      </c>
      <c r="I1897" s="10" t="s">
        <v>2204</v>
      </c>
      <c r="J1897" s="12">
        <f>'05-ISO Reference'!$B$25</f>
        <v>88</v>
      </c>
      <c r="K1897" s="12">
        <f>'05-ISO Reference'!$C$25</f>
        <v>125</v>
      </c>
      <c r="L1897" s="12">
        <f>'01-Process Controls'!$G$5</f>
        <v>3</v>
      </c>
      <c r="M1897" s="12">
        <f>ROUNDDOWN(J1897*'04-Variant Rules'!$D$16,0)</f>
        <v>44</v>
      </c>
      <c r="N1897" s="12">
        <f>ROUNDDOWN(K1897*'04-Variant Rules'!$E$16,0)</f>
        <v>62</v>
      </c>
      <c r="O1897" s="9">
        <v>11</v>
      </c>
    </row>
    <row r="1898" spans="1:15" ht="21" customHeight="1">
      <c r="A1898" s="9" t="s">
        <v>2216</v>
      </c>
      <c r="B1898" s="12">
        <f>IF(LEFT(H1898,5)="VALID",M1898,"")</f>
        <v>29</v>
      </c>
      <c r="C1898" s="12">
        <f>IF(LEFT(H1898,5)="VALID",N1898,"")</f>
        <v>41</v>
      </c>
      <c r="D1898" s="10" t="s">
        <v>82</v>
      </c>
      <c r="E1898" s="10" t="s">
        <v>2203</v>
      </c>
      <c r="F1898" s="10" t="s">
        <v>159</v>
      </c>
      <c r="G1898" s="10" t="s">
        <v>160</v>
      </c>
      <c r="H1898" s="11" t="str">
        <f>IF(OR(M1898&lt;=0,N1898&lt;=0),"SKIPPED - NONPOSITIVE",IF(OR(M1898&lt;L1898,N1898&lt;L1898),"SKIPPED - BELOW MIN",IF(OR(M1898&gt;J1898,N1898&gt;K1898),"SKIPPED - EXCEEDS BASE",IF(COUNTIFS($M$1886:M1897,M1898,$N$1886:N1897,N1898)&gt;0,"SKIPPED - DUPLICATE","VALID - GENERATED"))))</f>
        <v>VALID - GENERATED</v>
      </c>
      <c r="I1898" s="10" t="s">
        <v>2204</v>
      </c>
      <c r="J1898" s="12">
        <f>'05-ISO Reference'!$B$25</f>
        <v>88</v>
      </c>
      <c r="K1898" s="12">
        <f>'05-ISO Reference'!$C$25</f>
        <v>125</v>
      </c>
      <c r="L1898" s="12">
        <f>'01-Process Controls'!$G$5</f>
        <v>3</v>
      </c>
      <c r="M1898" s="12">
        <f>ROUNDDOWN(J1898*'04-Variant Rules'!$D$17,0)</f>
        <v>29</v>
      </c>
      <c r="N1898" s="12">
        <f>ROUNDDOWN(K1898*'04-Variant Rules'!$E$17,0)</f>
        <v>41</v>
      </c>
      <c r="O1898" s="9">
        <v>12</v>
      </c>
    </row>
    <row r="1899" spans="1:15" ht="21" customHeight="1">
      <c r="A1899" s="9" t="s">
        <v>2217</v>
      </c>
      <c r="B1899" s="12">
        <f>IF(LEFT(H1899,5)="VALID",M1899,"")</f>
        <v>22</v>
      </c>
      <c r="C1899" s="12">
        <f>IF(LEFT(H1899,5)="VALID",N1899,"")</f>
        <v>31</v>
      </c>
      <c r="D1899" s="10" t="s">
        <v>82</v>
      </c>
      <c r="E1899" s="10" t="s">
        <v>2203</v>
      </c>
      <c r="F1899" s="10" t="s">
        <v>162</v>
      </c>
      <c r="G1899" s="10" t="s">
        <v>163</v>
      </c>
      <c r="H1899" s="11" t="str">
        <f>IF(OR(M1899&lt;=0,N1899&lt;=0),"SKIPPED - NONPOSITIVE",IF(OR(M1899&lt;L1899,N1899&lt;L1899),"SKIPPED - BELOW MIN",IF(OR(M1899&gt;J1899,N1899&gt;K1899),"SKIPPED - EXCEEDS BASE",IF(COUNTIFS($M$1886:M1898,M1899,$N$1886:N1898,N1899)&gt;0,"SKIPPED - DUPLICATE","VALID - GENERATED"))))</f>
        <v>VALID - GENERATED</v>
      </c>
      <c r="I1899" s="10" t="s">
        <v>2204</v>
      </c>
      <c r="J1899" s="12">
        <f>'05-ISO Reference'!$B$25</f>
        <v>88</v>
      </c>
      <c r="K1899" s="12">
        <f>'05-ISO Reference'!$C$25</f>
        <v>125</v>
      </c>
      <c r="L1899" s="12">
        <f>'01-Process Controls'!$G$5</f>
        <v>3</v>
      </c>
      <c r="M1899" s="12">
        <f>ROUNDDOWN(J1899*'04-Variant Rules'!$D$18,0)</f>
        <v>22</v>
      </c>
      <c r="N1899" s="12">
        <f>ROUNDDOWN(K1899*'04-Variant Rules'!$E$18,0)</f>
        <v>31</v>
      </c>
      <c r="O1899" s="9">
        <v>13</v>
      </c>
    </row>
    <row r="1900" spans="1:15" ht="21" customHeight="1">
      <c r="A1900" s="9" t="s">
        <v>2218</v>
      </c>
      <c r="B1900" s="12">
        <f>IF(LEFT(H1900,5)="VALID",M1900,"")</f>
        <v>44</v>
      </c>
      <c r="C1900" s="12">
        <f>IF(LEFT(H1900,5)="VALID",N1900,"")</f>
        <v>41</v>
      </c>
      <c r="D1900" s="10" t="s">
        <v>82</v>
      </c>
      <c r="E1900" s="10" t="s">
        <v>2203</v>
      </c>
      <c r="F1900" s="10" t="s">
        <v>165</v>
      </c>
      <c r="G1900" s="10" t="s">
        <v>166</v>
      </c>
      <c r="H1900" s="11" t="str">
        <f>IF(OR(M1900&lt;=0,N1900&lt;=0),"SKIPPED - NONPOSITIVE",IF(OR(M1900&lt;L1900,N1900&lt;L1900),"SKIPPED - BELOW MIN",IF(OR(M1900&gt;J1900,N1900&gt;K1900),"SKIPPED - EXCEEDS BASE",IF(COUNTIFS($M$1886:M1899,M1900,$N$1886:N1899,N1900)&gt;0,"SKIPPED - DUPLICATE","VALID - GENERATED"))))</f>
        <v>VALID - GENERATED</v>
      </c>
      <c r="I1900" s="10" t="s">
        <v>2204</v>
      </c>
      <c r="J1900" s="12">
        <f>'05-ISO Reference'!$B$25</f>
        <v>88</v>
      </c>
      <c r="K1900" s="12">
        <f>'05-ISO Reference'!$C$25</f>
        <v>125</v>
      </c>
      <c r="L1900" s="12">
        <f>'01-Process Controls'!$G$5</f>
        <v>3</v>
      </c>
      <c r="M1900" s="12">
        <f>ROUNDDOWN(J1900*'04-Variant Rules'!$D$19,0)</f>
        <v>44</v>
      </c>
      <c r="N1900" s="12">
        <f>ROUNDDOWN(K1900*'04-Variant Rules'!$E$19,0)</f>
        <v>41</v>
      </c>
      <c r="O1900" s="9">
        <v>14</v>
      </c>
    </row>
    <row r="1901" spans="1:15" ht="21" customHeight="1">
      <c r="A1901" s="9" t="s">
        <v>2219</v>
      </c>
      <c r="B1901" s="12">
        <f>IF(LEFT(H1901,5)="VALID",M1901,"")</f>
        <v>29</v>
      </c>
      <c r="C1901" s="12">
        <f>IF(LEFT(H1901,5)="VALID",N1901,"")</f>
        <v>62</v>
      </c>
      <c r="D1901" s="10" t="s">
        <v>82</v>
      </c>
      <c r="E1901" s="10" t="s">
        <v>2203</v>
      </c>
      <c r="F1901" s="10" t="s">
        <v>168</v>
      </c>
      <c r="G1901" s="10" t="s">
        <v>166</v>
      </c>
      <c r="H1901" s="11" t="str">
        <f>IF(OR(M1901&lt;=0,N1901&lt;=0),"SKIPPED - NONPOSITIVE",IF(OR(M1901&lt;L1901,N1901&lt;L1901),"SKIPPED - BELOW MIN",IF(OR(M1901&gt;J1901,N1901&gt;K1901),"SKIPPED - EXCEEDS BASE",IF(COUNTIFS($M$1886:M1900,M1901,$N$1886:N1900,N1901)&gt;0,"SKIPPED - DUPLICATE","VALID - GENERATED"))))</f>
        <v>VALID - GENERATED</v>
      </c>
      <c r="I1901" s="10" t="s">
        <v>2204</v>
      </c>
      <c r="J1901" s="12">
        <f>'05-ISO Reference'!$B$25</f>
        <v>88</v>
      </c>
      <c r="K1901" s="12">
        <f>'05-ISO Reference'!$C$25</f>
        <v>125</v>
      </c>
      <c r="L1901" s="12">
        <f>'01-Process Controls'!$G$5</f>
        <v>3</v>
      </c>
      <c r="M1901" s="12">
        <f>ROUNDDOWN(J1901*'04-Variant Rules'!$D$20,0)</f>
        <v>29</v>
      </c>
      <c r="N1901" s="12">
        <f>ROUNDDOWN(K1901*'04-Variant Rules'!$E$20,0)</f>
        <v>62</v>
      </c>
      <c r="O1901" s="9">
        <v>15</v>
      </c>
    </row>
    <row r="1902" spans="1:15" ht="21" customHeight="1">
      <c r="A1902" s="9" t="s">
        <v>2220</v>
      </c>
      <c r="B1902" s="12">
        <f>IF(LEFT(H1902,5)="VALID",M1902,"")</f>
        <v>44</v>
      </c>
      <c r="C1902" s="12">
        <f>IF(LEFT(H1902,5)="VALID",N1902,"")</f>
        <v>31</v>
      </c>
      <c r="D1902" s="10" t="s">
        <v>82</v>
      </c>
      <c r="E1902" s="10" t="s">
        <v>2203</v>
      </c>
      <c r="F1902" s="10" t="s">
        <v>170</v>
      </c>
      <c r="G1902" s="10" t="s">
        <v>166</v>
      </c>
      <c r="H1902" s="11" t="str">
        <f>IF(OR(M1902&lt;=0,N1902&lt;=0),"SKIPPED - NONPOSITIVE",IF(OR(M1902&lt;L1902,N1902&lt;L1902),"SKIPPED - BELOW MIN",IF(OR(M1902&gt;J1902,N1902&gt;K1902),"SKIPPED - EXCEEDS BASE",IF(COUNTIFS($M$1886:M1901,M1902,$N$1886:N1901,N1902)&gt;0,"SKIPPED - DUPLICATE","VALID - GENERATED"))))</f>
        <v>VALID - GENERATED</v>
      </c>
      <c r="I1902" s="10" t="s">
        <v>2204</v>
      </c>
      <c r="J1902" s="12">
        <f>'05-ISO Reference'!$B$25</f>
        <v>88</v>
      </c>
      <c r="K1902" s="12">
        <f>'05-ISO Reference'!$C$25</f>
        <v>125</v>
      </c>
      <c r="L1902" s="12">
        <f>'01-Process Controls'!$G$5</f>
        <v>3</v>
      </c>
      <c r="M1902" s="12">
        <f>ROUNDDOWN(J1902*'04-Variant Rules'!$D$21,0)</f>
        <v>44</v>
      </c>
      <c r="N1902" s="12">
        <f>ROUNDDOWN(K1902*'04-Variant Rules'!$E$21,0)</f>
        <v>31</v>
      </c>
      <c r="O1902" s="9">
        <v>16</v>
      </c>
    </row>
    <row r="1903" spans="1:15" ht="21" customHeight="1">
      <c r="A1903" s="9" t="s">
        <v>2221</v>
      </c>
      <c r="B1903" s="12">
        <f>IF(LEFT(H1903,5)="VALID",M1903,"")</f>
        <v>22</v>
      </c>
      <c r="C1903" s="12">
        <f>IF(LEFT(H1903,5)="VALID",N1903,"")</f>
        <v>62</v>
      </c>
      <c r="D1903" s="10" t="s">
        <v>82</v>
      </c>
      <c r="E1903" s="10" t="s">
        <v>2203</v>
      </c>
      <c r="F1903" s="10" t="s">
        <v>172</v>
      </c>
      <c r="G1903" s="10" t="s">
        <v>166</v>
      </c>
      <c r="H1903" s="11" t="str">
        <f>IF(OR(M1903&lt;=0,N1903&lt;=0),"SKIPPED - NONPOSITIVE",IF(OR(M1903&lt;L1903,N1903&lt;L1903),"SKIPPED - BELOW MIN",IF(OR(M1903&gt;J1903,N1903&gt;K1903),"SKIPPED - EXCEEDS BASE",IF(COUNTIFS($M$1886:M1902,M1903,$N$1886:N1902,N1903)&gt;0,"SKIPPED - DUPLICATE","VALID - GENERATED"))))</f>
        <v>VALID - GENERATED</v>
      </c>
      <c r="I1903" s="10" t="s">
        <v>2204</v>
      </c>
      <c r="J1903" s="12">
        <f>'05-ISO Reference'!$B$25</f>
        <v>88</v>
      </c>
      <c r="K1903" s="12">
        <f>'05-ISO Reference'!$C$25</f>
        <v>125</v>
      </c>
      <c r="L1903" s="12">
        <f>'01-Process Controls'!$G$5</f>
        <v>3</v>
      </c>
      <c r="M1903" s="12">
        <f>ROUNDDOWN(J1903*'04-Variant Rules'!$D$22,0)</f>
        <v>22</v>
      </c>
      <c r="N1903" s="12">
        <f>ROUNDDOWN(K1903*'04-Variant Rules'!$E$22,0)</f>
        <v>62</v>
      </c>
      <c r="O1903" s="9">
        <v>17</v>
      </c>
    </row>
    <row r="1904" spans="1:15" ht="21" customHeight="1">
      <c r="A1904" s="9" t="s">
        <v>2222</v>
      </c>
      <c r="B1904" s="12">
        <f>IF(LEFT(H1904,5)="VALID",M1904,"")</f>
        <v>58</v>
      </c>
      <c r="C1904" s="12">
        <f>IF(LEFT(H1904,5)="VALID",N1904,"")</f>
        <v>62</v>
      </c>
      <c r="D1904" s="10" t="s">
        <v>82</v>
      </c>
      <c r="E1904" s="10" t="s">
        <v>2203</v>
      </c>
      <c r="F1904" s="10" t="s">
        <v>174</v>
      </c>
      <c r="G1904" s="10" t="s">
        <v>166</v>
      </c>
      <c r="H1904" s="11" t="str">
        <f>IF(OR(M1904&lt;=0,N1904&lt;=0),"SKIPPED - NONPOSITIVE",IF(OR(M1904&lt;L1904,N1904&lt;L1904),"SKIPPED - BELOW MIN",IF(OR(M1904&gt;J1904,N1904&gt;K1904),"SKIPPED - EXCEEDS BASE",IF(COUNTIFS($M$1886:M1903,M1904,$N$1886:N1903,N1904)&gt;0,"SKIPPED - DUPLICATE","VALID - GENERATED"))))</f>
        <v>VALID - GENERATED</v>
      </c>
      <c r="I1904" s="10" t="s">
        <v>2204</v>
      </c>
      <c r="J1904" s="12">
        <f>'05-ISO Reference'!$B$25</f>
        <v>88</v>
      </c>
      <c r="K1904" s="12">
        <f>'05-ISO Reference'!$C$25</f>
        <v>125</v>
      </c>
      <c r="L1904" s="12">
        <f>'01-Process Controls'!$G$5</f>
        <v>3</v>
      </c>
      <c r="M1904" s="12">
        <f>ROUNDDOWN(J1904*'04-Variant Rules'!$D$23,0)</f>
        <v>58</v>
      </c>
      <c r="N1904" s="12">
        <f>ROUNDDOWN(K1904*'04-Variant Rules'!$E$23,0)</f>
        <v>62</v>
      </c>
      <c r="O1904" s="9">
        <v>18</v>
      </c>
    </row>
    <row r="1905" spans="1:15" ht="21" customHeight="1">
      <c r="A1905" s="9" t="s">
        <v>2223</v>
      </c>
      <c r="B1905" s="12">
        <f>IF(LEFT(H1905,5)="VALID",M1905,"")</f>
        <v>44</v>
      </c>
      <c r="C1905" s="12">
        <f>IF(LEFT(H1905,5)="VALID",N1905,"")</f>
        <v>83</v>
      </c>
      <c r="D1905" s="10" t="s">
        <v>82</v>
      </c>
      <c r="E1905" s="10" t="s">
        <v>2203</v>
      </c>
      <c r="F1905" s="10" t="s">
        <v>176</v>
      </c>
      <c r="G1905" s="10" t="s">
        <v>166</v>
      </c>
      <c r="H1905" s="11" t="str">
        <f>IF(OR(M1905&lt;=0,N1905&lt;=0),"SKIPPED - NONPOSITIVE",IF(OR(M1905&lt;L1905,N1905&lt;L1905),"SKIPPED - BELOW MIN",IF(OR(M1905&gt;J1905,N1905&gt;K1905),"SKIPPED - EXCEEDS BASE",IF(COUNTIFS($M$1886:M1904,M1905,$N$1886:N1904,N1905)&gt;0,"SKIPPED - DUPLICATE","VALID - GENERATED"))))</f>
        <v>VALID - GENERATED</v>
      </c>
      <c r="I1905" s="10" t="s">
        <v>2204</v>
      </c>
      <c r="J1905" s="12">
        <f>'05-ISO Reference'!$B$25</f>
        <v>88</v>
      </c>
      <c r="K1905" s="12">
        <f>'05-ISO Reference'!$C$25</f>
        <v>125</v>
      </c>
      <c r="L1905" s="12">
        <f>'01-Process Controls'!$G$5</f>
        <v>3</v>
      </c>
      <c r="M1905" s="12">
        <f>ROUNDDOWN(J1905*'04-Variant Rules'!$D$24,0)</f>
        <v>44</v>
      </c>
      <c r="N1905" s="12">
        <f>ROUNDDOWN(K1905*'04-Variant Rules'!$E$24,0)</f>
        <v>83</v>
      </c>
      <c r="O1905" s="9">
        <v>19</v>
      </c>
    </row>
    <row r="1906" spans="1:15" ht="21" customHeight="1">
      <c r="A1906" s="9" t="s">
        <v>2224</v>
      </c>
      <c r="B1906" s="12">
        <f>IF(LEFT(H1906,5)="VALID",M1906,"")</f>
        <v>66</v>
      </c>
      <c r="C1906" s="12">
        <f>IF(LEFT(H1906,5)="VALID",N1906,"")</f>
        <v>62</v>
      </c>
      <c r="D1906" s="10" t="s">
        <v>82</v>
      </c>
      <c r="E1906" s="10" t="s">
        <v>2203</v>
      </c>
      <c r="F1906" s="10" t="s">
        <v>178</v>
      </c>
      <c r="G1906" s="10" t="s">
        <v>166</v>
      </c>
      <c r="H1906" s="11" t="str">
        <f>IF(OR(M1906&lt;=0,N1906&lt;=0),"SKIPPED - NONPOSITIVE",IF(OR(M1906&lt;L1906,N1906&lt;L1906),"SKIPPED - BELOW MIN",IF(OR(M1906&gt;J1906,N1906&gt;K1906),"SKIPPED - EXCEEDS BASE",IF(COUNTIFS($M$1886:M1905,M1906,$N$1886:N1905,N1906)&gt;0,"SKIPPED - DUPLICATE","VALID - GENERATED"))))</f>
        <v>VALID - GENERATED</v>
      </c>
      <c r="I1906" s="10" t="s">
        <v>2204</v>
      </c>
      <c r="J1906" s="12">
        <f>'05-ISO Reference'!$B$25</f>
        <v>88</v>
      </c>
      <c r="K1906" s="12">
        <f>'05-ISO Reference'!$C$25</f>
        <v>125</v>
      </c>
      <c r="L1906" s="12">
        <f>'01-Process Controls'!$G$5</f>
        <v>3</v>
      </c>
      <c r="M1906" s="12">
        <f>ROUNDDOWN(J1906*'04-Variant Rules'!$D$25,0)</f>
        <v>66</v>
      </c>
      <c r="N1906" s="12">
        <f>ROUNDDOWN(K1906*'04-Variant Rules'!$E$25,0)</f>
        <v>62</v>
      </c>
      <c r="O1906" s="9">
        <v>20</v>
      </c>
    </row>
    <row r="1907" spans="1:15" ht="21" customHeight="1">
      <c r="A1907" s="9" t="s">
        <v>2225</v>
      </c>
      <c r="B1907" s="12">
        <f>IF(LEFT(H1907,5)="VALID",M1907,"")</f>
        <v>44</v>
      </c>
      <c r="C1907" s="12">
        <f>IF(LEFT(H1907,5)="VALID",N1907,"")</f>
        <v>93</v>
      </c>
      <c r="D1907" s="10" t="s">
        <v>82</v>
      </c>
      <c r="E1907" s="10" t="s">
        <v>2203</v>
      </c>
      <c r="F1907" s="10" t="s">
        <v>180</v>
      </c>
      <c r="G1907" s="10" t="s">
        <v>166</v>
      </c>
      <c r="H1907" s="11" t="str">
        <f>IF(OR(M1907&lt;=0,N1907&lt;=0),"SKIPPED - NONPOSITIVE",IF(OR(M1907&lt;L1907,N1907&lt;L1907),"SKIPPED - BELOW MIN",IF(OR(M1907&gt;J1907,N1907&gt;K1907),"SKIPPED - EXCEEDS BASE",IF(COUNTIFS($M$1886:M1906,M1907,$N$1886:N1906,N1907)&gt;0,"SKIPPED - DUPLICATE","VALID - GENERATED"))))</f>
        <v>VALID - GENERATED</v>
      </c>
      <c r="I1907" s="10" t="s">
        <v>2204</v>
      </c>
      <c r="J1907" s="12">
        <f>'05-ISO Reference'!$B$25</f>
        <v>88</v>
      </c>
      <c r="K1907" s="12">
        <f>'05-ISO Reference'!$C$25</f>
        <v>125</v>
      </c>
      <c r="L1907" s="12">
        <f>'01-Process Controls'!$G$5</f>
        <v>3</v>
      </c>
      <c r="M1907" s="12">
        <f>ROUNDDOWN(J1907*'04-Variant Rules'!$D$26,0)</f>
        <v>44</v>
      </c>
      <c r="N1907" s="12">
        <f>ROUNDDOWN(K1907*'04-Variant Rules'!$E$26,0)</f>
        <v>93</v>
      </c>
      <c r="O1907" s="9">
        <v>21</v>
      </c>
    </row>
    <row r="1908" spans="1:15" ht="21" customHeight="1">
      <c r="A1908" s="9" t="s">
        <v>2226</v>
      </c>
      <c r="B1908" s="12">
        <f>IF(LEFT(H1908,5)="VALID",M1908,"")</f>
        <v>83</v>
      </c>
      <c r="C1908" s="12">
        <f>IF(LEFT(H1908,5)="VALID",N1908,"")</f>
        <v>118</v>
      </c>
      <c r="D1908" s="10" t="s">
        <v>82</v>
      </c>
      <c r="E1908" s="10" t="s">
        <v>2203</v>
      </c>
      <c r="F1908" s="10" t="s">
        <v>182</v>
      </c>
      <c r="G1908" s="10" t="s">
        <v>183</v>
      </c>
      <c r="H1908" s="11" t="str">
        <f>IF(OR(M1908&lt;=0,N1908&lt;=0),"SKIPPED - NONPOSITIVE",IF(OR(M1908&lt;L1908,N1908&lt;L1908),"SKIPPED - BELOW MIN",IF(OR(M1908&gt;J1908,N1908&gt;K1908),"SKIPPED - EXCEEDS BASE",IF(COUNTIFS($M$1886:M1907,M1908,$N$1886:N1907,N1908)&gt;0,"SKIPPED - DUPLICATE","VALID - GENERATED"))))</f>
        <v>VALID - GENERATED</v>
      </c>
      <c r="I1908" s="10" t="s">
        <v>2204</v>
      </c>
      <c r="J1908" s="12">
        <f>'05-ISO Reference'!$B$25</f>
        <v>88</v>
      </c>
      <c r="K1908" s="12">
        <f>'05-ISO Reference'!$C$25</f>
        <v>125</v>
      </c>
      <c r="L1908" s="12">
        <f>'01-Process Controls'!$G$5</f>
        <v>3</v>
      </c>
      <c r="M1908" s="12">
        <f>ROUNDDOWN(J1908*'04-Variant Rules'!$D$27,0)</f>
        <v>83</v>
      </c>
      <c r="N1908" s="12">
        <f>ROUNDDOWN(K1908*'04-Variant Rules'!$E$27,0)</f>
        <v>118</v>
      </c>
      <c r="O1908" s="9">
        <v>22</v>
      </c>
    </row>
    <row r="1909" spans="1:15" ht="21" customHeight="1">
      <c r="A1909" s="9" t="s">
        <v>2227</v>
      </c>
      <c r="B1909" s="12">
        <f>IF(LEFT(H1909,5)="VALID",M1909,"")</f>
        <v>79</v>
      </c>
      <c r="C1909" s="12">
        <f>IF(LEFT(H1909,5)="VALID",N1909,"")</f>
        <v>112</v>
      </c>
      <c r="D1909" s="10" t="s">
        <v>82</v>
      </c>
      <c r="E1909" s="10" t="s">
        <v>2203</v>
      </c>
      <c r="F1909" s="10" t="s">
        <v>185</v>
      </c>
      <c r="G1909" s="10" t="s">
        <v>186</v>
      </c>
      <c r="H1909" s="11" t="str">
        <f>IF(OR(M1909&lt;=0,N1909&lt;=0),"SKIPPED - NONPOSITIVE",IF(OR(M1909&lt;L1909,N1909&lt;L1909),"SKIPPED - BELOW MIN",IF(OR(M1909&gt;J1909,N1909&gt;K1909),"SKIPPED - EXCEEDS BASE",IF(COUNTIFS($M$1886:M1908,M1909,$N$1886:N1908,N1909)&gt;0,"SKIPPED - DUPLICATE","VALID - GENERATED"))))</f>
        <v>VALID - GENERATED</v>
      </c>
      <c r="I1909" s="10" t="s">
        <v>2204</v>
      </c>
      <c r="J1909" s="12">
        <f>'05-ISO Reference'!$B$25</f>
        <v>88</v>
      </c>
      <c r="K1909" s="12">
        <f>'05-ISO Reference'!$C$25</f>
        <v>125</v>
      </c>
      <c r="L1909" s="12">
        <f>'01-Process Controls'!$G$5</f>
        <v>3</v>
      </c>
      <c r="M1909" s="12">
        <f>ROUNDDOWN(J1909*'04-Variant Rules'!$D$28,0)</f>
        <v>79</v>
      </c>
      <c r="N1909" s="12">
        <f>ROUNDDOWN(K1909*'04-Variant Rules'!$E$28,0)</f>
        <v>112</v>
      </c>
      <c r="O1909" s="9">
        <v>23</v>
      </c>
    </row>
    <row r="1910" spans="1:15" ht="21" customHeight="1">
      <c r="A1910" s="9" t="s">
        <v>2228</v>
      </c>
      <c r="B1910" s="12">
        <f>IF(LEFT(H1910,5)="VALID",M1910,"")</f>
        <v>74</v>
      </c>
      <c r="C1910" s="12">
        <f>IF(LEFT(H1910,5)="VALID",N1910,"")</f>
        <v>106</v>
      </c>
      <c r="D1910" s="10" t="s">
        <v>82</v>
      </c>
      <c r="E1910" s="10" t="s">
        <v>2203</v>
      </c>
      <c r="F1910" s="10" t="s">
        <v>188</v>
      </c>
      <c r="G1910" s="10" t="s">
        <v>186</v>
      </c>
      <c r="H1910" s="11" t="str">
        <f>IF(OR(M1910&lt;=0,N1910&lt;=0),"SKIPPED - NONPOSITIVE",IF(OR(M1910&lt;L1910,N1910&lt;L1910),"SKIPPED - BELOW MIN",IF(OR(M1910&gt;J1910,N1910&gt;K1910),"SKIPPED - EXCEEDS BASE",IF(COUNTIFS($M$1886:M1909,M1910,$N$1886:N1909,N1910)&gt;0,"SKIPPED - DUPLICATE","VALID - GENERATED"))))</f>
        <v>VALID - GENERATED</v>
      </c>
      <c r="I1910" s="10" t="s">
        <v>2204</v>
      </c>
      <c r="J1910" s="12">
        <f>'05-ISO Reference'!$B$25</f>
        <v>88</v>
      </c>
      <c r="K1910" s="12">
        <f>'05-ISO Reference'!$C$25</f>
        <v>125</v>
      </c>
      <c r="L1910" s="12">
        <f>'01-Process Controls'!$G$5</f>
        <v>3</v>
      </c>
      <c r="M1910" s="12">
        <f>ROUNDDOWN(J1910*'04-Variant Rules'!$D$29,0)</f>
        <v>74</v>
      </c>
      <c r="N1910" s="12">
        <f>ROUNDDOWN(K1910*'04-Variant Rules'!$E$29,0)</f>
        <v>106</v>
      </c>
      <c r="O1910" s="9">
        <v>24</v>
      </c>
    </row>
    <row r="1911" spans="1:15" ht="21" customHeight="1">
      <c r="A1911" s="9" t="s">
        <v>2229</v>
      </c>
      <c r="B1911" s="12">
        <f>IF(LEFT(H1911,5)="VALID",M1911,"")</f>
        <v>70</v>
      </c>
      <c r="C1911" s="12">
        <f>IF(LEFT(H1911,5)="VALID",N1911,"")</f>
        <v>100</v>
      </c>
      <c r="D1911" s="10" t="s">
        <v>82</v>
      </c>
      <c r="E1911" s="10" t="s">
        <v>2203</v>
      </c>
      <c r="F1911" s="10" t="s">
        <v>190</v>
      </c>
      <c r="G1911" s="10" t="s">
        <v>186</v>
      </c>
      <c r="H1911" s="11" t="str">
        <f>IF(OR(M1911&lt;=0,N1911&lt;=0),"SKIPPED - NONPOSITIVE",IF(OR(M1911&lt;L1911,N1911&lt;L1911),"SKIPPED - BELOW MIN",IF(OR(M1911&gt;J1911,N1911&gt;K1911),"SKIPPED - EXCEEDS BASE",IF(COUNTIFS($M$1886:M1910,M1911,$N$1886:N1910,N1911)&gt;0,"SKIPPED - DUPLICATE","VALID - GENERATED"))))</f>
        <v>VALID - GENERATED</v>
      </c>
      <c r="I1911" s="10" t="s">
        <v>2204</v>
      </c>
      <c r="J1911" s="12">
        <f>'05-ISO Reference'!$B$25</f>
        <v>88</v>
      </c>
      <c r="K1911" s="12">
        <f>'05-ISO Reference'!$C$25</f>
        <v>125</v>
      </c>
      <c r="L1911" s="12">
        <f>'01-Process Controls'!$G$5</f>
        <v>3</v>
      </c>
      <c r="M1911" s="12">
        <f>ROUNDDOWN(J1911*'04-Variant Rules'!$D$30,0)</f>
        <v>70</v>
      </c>
      <c r="N1911" s="12">
        <f>ROUNDDOWN(K1911*'04-Variant Rules'!$E$30,0)</f>
        <v>100</v>
      </c>
      <c r="O1911" s="9">
        <v>25</v>
      </c>
    </row>
    <row r="1912" spans="1:15" ht="21" customHeight="1">
      <c r="A1912" s="9" t="s">
        <v>2230</v>
      </c>
      <c r="B1912" s="12">
        <f>IF(LEFT(H1912,5)="VALID",M1912,"")</f>
        <v>66</v>
      </c>
      <c r="C1912" s="12">
        <f>IF(LEFT(H1912,5)="VALID",N1912,"")</f>
        <v>93</v>
      </c>
      <c r="D1912" s="10" t="s">
        <v>82</v>
      </c>
      <c r="E1912" s="10" t="s">
        <v>2203</v>
      </c>
      <c r="F1912" s="10" t="s">
        <v>192</v>
      </c>
      <c r="G1912" s="10" t="s">
        <v>186</v>
      </c>
      <c r="H1912" s="11" t="str">
        <f>IF(OR(M1912&lt;=0,N1912&lt;=0),"SKIPPED - NONPOSITIVE",IF(OR(M1912&lt;L1912,N1912&lt;L1912),"SKIPPED - BELOW MIN",IF(OR(M1912&gt;J1912,N1912&gt;K1912),"SKIPPED - EXCEEDS BASE",IF(COUNTIFS($M$1886:M1911,M1912,$N$1886:N1911,N1912)&gt;0,"SKIPPED - DUPLICATE","VALID - GENERATED"))))</f>
        <v>VALID - GENERATED</v>
      </c>
      <c r="I1912" s="10" t="s">
        <v>2204</v>
      </c>
      <c r="J1912" s="12">
        <f>'05-ISO Reference'!$B$25</f>
        <v>88</v>
      </c>
      <c r="K1912" s="12">
        <f>'05-ISO Reference'!$C$25</f>
        <v>125</v>
      </c>
      <c r="L1912" s="12">
        <f>'01-Process Controls'!$G$5</f>
        <v>3</v>
      </c>
      <c r="M1912" s="12">
        <f>ROUNDDOWN(J1912*'04-Variant Rules'!$D$31,0)</f>
        <v>66</v>
      </c>
      <c r="N1912" s="12">
        <f>ROUNDDOWN(K1912*'04-Variant Rules'!$E$31,0)</f>
        <v>93</v>
      </c>
      <c r="O1912" s="9">
        <v>26</v>
      </c>
    </row>
    <row r="1913" spans="1:15" ht="21" customHeight="1">
      <c r="A1913" s="9" t="s">
        <v>2231</v>
      </c>
      <c r="B1913" s="12">
        <f>IF(LEFT(H1913,5)="VALID",M1913,"")</f>
        <v>61</v>
      </c>
      <c r="C1913" s="12">
        <f>IF(LEFT(H1913,5)="VALID",N1913,"")</f>
        <v>87</v>
      </c>
      <c r="D1913" s="10" t="s">
        <v>82</v>
      </c>
      <c r="E1913" s="10" t="s">
        <v>2203</v>
      </c>
      <c r="F1913" s="10" t="s">
        <v>194</v>
      </c>
      <c r="G1913" s="10" t="s">
        <v>186</v>
      </c>
      <c r="H1913" s="11" t="str">
        <f>IF(OR(M1913&lt;=0,N1913&lt;=0),"SKIPPED - NONPOSITIVE",IF(OR(M1913&lt;L1913,N1913&lt;L1913),"SKIPPED - BELOW MIN",IF(OR(M1913&gt;J1913,N1913&gt;K1913),"SKIPPED - EXCEEDS BASE",IF(COUNTIFS($M$1886:M1912,M1913,$N$1886:N1912,N1913)&gt;0,"SKIPPED - DUPLICATE","VALID - GENERATED"))))</f>
        <v>VALID - GENERATED</v>
      </c>
      <c r="I1913" s="10" t="s">
        <v>2204</v>
      </c>
      <c r="J1913" s="12">
        <f>'05-ISO Reference'!$B$25</f>
        <v>88</v>
      </c>
      <c r="K1913" s="12">
        <f>'05-ISO Reference'!$C$25</f>
        <v>125</v>
      </c>
      <c r="L1913" s="12">
        <f>'01-Process Controls'!$G$5</f>
        <v>3</v>
      </c>
      <c r="M1913" s="12">
        <f>ROUNDDOWN(J1913*'04-Variant Rules'!$D$32,0)</f>
        <v>61</v>
      </c>
      <c r="N1913" s="12">
        <f>ROUNDDOWN(K1913*'04-Variant Rules'!$E$32,0)</f>
        <v>87</v>
      </c>
      <c r="O1913" s="9">
        <v>27</v>
      </c>
    </row>
    <row r="1914" spans="1:15" ht="21" customHeight="1">
      <c r="A1914" s="9" t="s">
        <v>2232</v>
      </c>
      <c r="B1914" s="12">
        <f>IF(LEFT(H1914,5)="VALID",M1914,"")</f>
        <v>58</v>
      </c>
      <c r="C1914" s="12">
        <f>IF(LEFT(H1914,5)="VALID",N1914,"")</f>
        <v>83</v>
      </c>
      <c r="D1914" s="10" t="s">
        <v>82</v>
      </c>
      <c r="E1914" s="10" t="s">
        <v>2203</v>
      </c>
      <c r="F1914" s="10" t="s">
        <v>196</v>
      </c>
      <c r="G1914" s="10" t="s">
        <v>186</v>
      </c>
      <c r="H1914" s="11" t="str">
        <f>IF(OR(M1914&lt;=0,N1914&lt;=0),"SKIPPED - NONPOSITIVE",IF(OR(M1914&lt;L1914,N1914&lt;L1914),"SKIPPED - BELOW MIN",IF(OR(M1914&gt;J1914,N1914&gt;K1914),"SKIPPED - EXCEEDS BASE",IF(COUNTIFS($M$1886:M1913,M1914,$N$1886:N1913,N1914)&gt;0,"SKIPPED - DUPLICATE","VALID - GENERATED"))))</f>
        <v>VALID - GENERATED</v>
      </c>
      <c r="I1914" s="10" t="s">
        <v>2204</v>
      </c>
      <c r="J1914" s="12">
        <f>'05-ISO Reference'!$B$25</f>
        <v>88</v>
      </c>
      <c r="K1914" s="12">
        <f>'05-ISO Reference'!$C$25</f>
        <v>125</v>
      </c>
      <c r="L1914" s="12">
        <f>'01-Process Controls'!$G$5</f>
        <v>3</v>
      </c>
      <c r="M1914" s="12">
        <f>ROUNDDOWN(J1914*'04-Variant Rules'!$D$33,0)</f>
        <v>58</v>
      </c>
      <c r="N1914" s="12">
        <f>ROUNDDOWN(K1914*'04-Variant Rules'!$E$33,0)</f>
        <v>83</v>
      </c>
      <c r="O1914" s="9">
        <v>28</v>
      </c>
    </row>
    <row r="1915" spans="1:15" ht="21" customHeight="1">
      <c r="A1915" s="9" t="s">
        <v>2233</v>
      </c>
      <c r="B1915" s="12">
        <f>IF(LEFT(H1915,5)="VALID",M1915,"")</f>
        <v>52</v>
      </c>
      <c r="C1915" s="12">
        <f>IF(LEFT(H1915,5)="VALID",N1915,"")</f>
        <v>75</v>
      </c>
      <c r="D1915" s="10" t="s">
        <v>82</v>
      </c>
      <c r="E1915" s="10" t="s">
        <v>2203</v>
      </c>
      <c r="F1915" s="10" t="s">
        <v>198</v>
      </c>
      <c r="G1915" s="10" t="s">
        <v>186</v>
      </c>
      <c r="H1915" s="11" t="str">
        <f>IF(OR(M1915&lt;=0,N1915&lt;=0),"SKIPPED - NONPOSITIVE",IF(OR(M1915&lt;L1915,N1915&lt;L1915),"SKIPPED - BELOW MIN",IF(OR(M1915&gt;J1915,N1915&gt;K1915),"SKIPPED - EXCEEDS BASE",IF(COUNTIFS($M$1886:M1914,M1915,$N$1886:N1914,N1915)&gt;0,"SKIPPED - DUPLICATE","VALID - GENERATED"))))</f>
        <v>VALID - GENERATED</v>
      </c>
      <c r="I1915" s="10" t="s">
        <v>2204</v>
      </c>
      <c r="J1915" s="12">
        <f>'05-ISO Reference'!$B$25</f>
        <v>88</v>
      </c>
      <c r="K1915" s="12">
        <f>'05-ISO Reference'!$C$25</f>
        <v>125</v>
      </c>
      <c r="L1915" s="12">
        <f>'01-Process Controls'!$G$5</f>
        <v>3</v>
      </c>
      <c r="M1915" s="12">
        <f>ROUNDDOWN(J1915*'04-Variant Rules'!$D$34,0)</f>
        <v>52</v>
      </c>
      <c r="N1915" s="12">
        <f>ROUNDDOWN(K1915*'04-Variant Rules'!$E$34,0)</f>
        <v>75</v>
      </c>
      <c r="O1915" s="9">
        <v>29</v>
      </c>
    </row>
    <row r="1916" spans="1:15" ht="21" customHeight="1">
      <c r="A1916" s="9" t="s">
        <v>2234</v>
      </c>
      <c r="B1916" s="12">
        <f>IF(LEFT(H1916,5)="VALID",M1916,"")</f>
        <v>48</v>
      </c>
      <c r="C1916" s="12">
        <f>IF(LEFT(H1916,5)="VALID",N1916,"")</f>
        <v>68</v>
      </c>
      <c r="D1916" s="10" t="s">
        <v>82</v>
      </c>
      <c r="E1916" s="10" t="s">
        <v>2203</v>
      </c>
      <c r="F1916" s="10" t="s">
        <v>200</v>
      </c>
      <c r="G1916" s="10" t="s">
        <v>186</v>
      </c>
      <c r="H1916" s="11" t="str">
        <f>IF(OR(M1916&lt;=0,N1916&lt;=0),"SKIPPED - NONPOSITIVE",IF(OR(M1916&lt;L1916,N1916&lt;L1916),"SKIPPED - BELOW MIN",IF(OR(M1916&gt;J1916,N1916&gt;K1916),"SKIPPED - EXCEEDS BASE",IF(COUNTIFS($M$1886:M1915,M1916,$N$1886:N1915,N1916)&gt;0,"SKIPPED - DUPLICATE","VALID - GENERATED"))))</f>
        <v>VALID - GENERATED</v>
      </c>
      <c r="I1916" s="10" t="s">
        <v>2204</v>
      </c>
      <c r="J1916" s="12">
        <f>'05-ISO Reference'!$B$25</f>
        <v>88</v>
      </c>
      <c r="K1916" s="12">
        <f>'05-ISO Reference'!$C$25</f>
        <v>125</v>
      </c>
      <c r="L1916" s="12">
        <f>'01-Process Controls'!$G$5</f>
        <v>3</v>
      </c>
      <c r="M1916" s="12">
        <f>ROUNDDOWN(J1916*'04-Variant Rules'!$D$35,0)</f>
        <v>48</v>
      </c>
      <c r="N1916" s="12">
        <f>ROUNDDOWN(K1916*'04-Variant Rules'!$E$35,0)</f>
        <v>68</v>
      </c>
      <c r="O1916" s="9">
        <v>30</v>
      </c>
    </row>
    <row r="1917" spans="1:15" ht="21" customHeight="1">
      <c r="A1917" s="9" t="s">
        <v>2235</v>
      </c>
      <c r="B1917" s="12">
        <f>IF(LEFT(H1917,5)="VALID",M1917,"")</f>
        <v>39</v>
      </c>
      <c r="C1917" s="12">
        <f>IF(LEFT(H1917,5)="VALID",N1917,"")</f>
        <v>56</v>
      </c>
      <c r="D1917" s="10" t="s">
        <v>82</v>
      </c>
      <c r="E1917" s="10" t="s">
        <v>2203</v>
      </c>
      <c r="F1917" s="10" t="s">
        <v>202</v>
      </c>
      <c r="G1917" s="10" t="s">
        <v>186</v>
      </c>
      <c r="H1917" s="11" t="str">
        <f>IF(OR(M1917&lt;=0,N1917&lt;=0),"SKIPPED - NONPOSITIVE",IF(OR(M1917&lt;L1917,N1917&lt;L1917),"SKIPPED - BELOW MIN",IF(OR(M1917&gt;J1917,N1917&gt;K1917),"SKIPPED - EXCEEDS BASE",IF(COUNTIFS($M$1886:M1916,M1917,$N$1886:N1916,N1917)&gt;0,"SKIPPED - DUPLICATE","VALID - GENERATED"))))</f>
        <v>VALID - GENERATED</v>
      </c>
      <c r="I1917" s="10" t="s">
        <v>2204</v>
      </c>
      <c r="J1917" s="12">
        <f>'05-ISO Reference'!$B$25</f>
        <v>88</v>
      </c>
      <c r="K1917" s="12">
        <f>'05-ISO Reference'!$C$25</f>
        <v>125</v>
      </c>
      <c r="L1917" s="12">
        <f>'01-Process Controls'!$G$5</f>
        <v>3</v>
      </c>
      <c r="M1917" s="12">
        <f>ROUNDDOWN(J1917*'04-Variant Rules'!$D$36,0)</f>
        <v>39</v>
      </c>
      <c r="N1917" s="12">
        <f>ROUNDDOWN(K1917*'04-Variant Rules'!$E$36,0)</f>
        <v>56</v>
      </c>
      <c r="O1917" s="9">
        <v>31</v>
      </c>
    </row>
    <row r="1918" spans="1:15" ht="21" customHeight="1">
      <c r="A1918" s="9" t="s">
        <v>2236</v>
      </c>
      <c r="B1918" s="12">
        <f>IF(LEFT(H1918,5)="VALID",M1918,"")</f>
        <v>35</v>
      </c>
      <c r="C1918" s="12">
        <f>IF(LEFT(H1918,5)="VALID",N1918,"")</f>
        <v>50</v>
      </c>
      <c r="D1918" s="10" t="s">
        <v>82</v>
      </c>
      <c r="E1918" s="10" t="s">
        <v>2203</v>
      </c>
      <c r="F1918" s="10" t="s">
        <v>204</v>
      </c>
      <c r="G1918" s="10" t="s">
        <v>186</v>
      </c>
      <c r="H1918" s="11" t="str">
        <f>IF(OR(M1918&lt;=0,N1918&lt;=0),"SKIPPED - NONPOSITIVE",IF(OR(M1918&lt;L1918,N1918&lt;L1918),"SKIPPED - BELOW MIN",IF(OR(M1918&gt;J1918,N1918&gt;K1918),"SKIPPED - EXCEEDS BASE",IF(COUNTIFS($M$1886:M1917,M1918,$N$1886:N1917,N1918)&gt;0,"SKIPPED - DUPLICATE","VALID - GENERATED"))))</f>
        <v>VALID - GENERATED</v>
      </c>
      <c r="I1918" s="10" t="s">
        <v>2204</v>
      </c>
      <c r="J1918" s="12">
        <f>'05-ISO Reference'!$B$25</f>
        <v>88</v>
      </c>
      <c r="K1918" s="12">
        <f>'05-ISO Reference'!$C$25</f>
        <v>125</v>
      </c>
      <c r="L1918" s="12">
        <f>'01-Process Controls'!$G$5</f>
        <v>3</v>
      </c>
      <c r="M1918" s="12">
        <f>ROUNDDOWN(J1918*'04-Variant Rules'!$D$37,0)</f>
        <v>35</v>
      </c>
      <c r="N1918" s="12">
        <f>ROUNDDOWN(K1918*'04-Variant Rules'!$E$37,0)</f>
        <v>50</v>
      </c>
      <c r="O1918" s="9">
        <v>32</v>
      </c>
    </row>
    <row r="1919" spans="1:15" ht="21" customHeight="1">
      <c r="A1919" s="9" t="s">
        <v>2237</v>
      </c>
      <c r="B1919" s="12">
        <f>IF(LEFT(H1919,5)="VALID",M1919,"")</f>
        <v>30</v>
      </c>
      <c r="C1919" s="12">
        <f>IF(LEFT(H1919,5)="VALID",N1919,"")</f>
        <v>43</v>
      </c>
      <c r="D1919" s="10" t="s">
        <v>82</v>
      </c>
      <c r="E1919" s="10" t="s">
        <v>2203</v>
      </c>
      <c r="F1919" s="10" t="s">
        <v>206</v>
      </c>
      <c r="G1919" s="10" t="s">
        <v>186</v>
      </c>
      <c r="H1919" s="11" t="str">
        <f>IF(OR(M1919&lt;=0,N1919&lt;=0),"SKIPPED - NONPOSITIVE",IF(OR(M1919&lt;L1919,N1919&lt;L1919),"SKIPPED - BELOW MIN",IF(OR(M1919&gt;J1919,N1919&gt;K1919),"SKIPPED - EXCEEDS BASE",IF(COUNTIFS($M$1886:M1918,M1919,$N$1886:N1918,N1919)&gt;0,"SKIPPED - DUPLICATE","VALID - GENERATED"))))</f>
        <v>VALID - GENERATED</v>
      </c>
      <c r="I1919" s="10" t="s">
        <v>2204</v>
      </c>
      <c r="J1919" s="12">
        <f>'05-ISO Reference'!$B$25</f>
        <v>88</v>
      </c>
      <c r="K1919" s="12">
        <f>'05-ISO Reference'!$C$25</f>
        <v>125</v>
      </c>
      <c r="L1919" s="12">
        <f>'01-Process Controls'!$G$5</f>
        <v>3</v>
      </c>
      <c r="M1919" s="12">
        <f>ROUNDDOWN(J1919*'04-Variant Rules'!$D$38,0)</f>
        <v>30</v>
      </c>
      <c r="N1919" s="12">
        <f>ROUNDDOWN(K1919*'04-Variant Rules'!$E$38,0)</f>
        <v>43</v>
      </c>
      <c r="O1919" s="9">
        <v>33</v>
      </c>
    </row>
    <row r="1920" spans="1:15" ht="21" customHeight="1">
      <c r="A1920" s="9" t="s">
        <v>2238</v>
      </c>
      <c r="B1920" s="12">
        <f>IF(LEFT(H1920,5)="VALID",M1920,"")</f>
        <v>26</v>
      </c>
      <c r="C1920" s="12">
        <f>IF(LEFT(H1920,5)="VALID",N1920,"")</f>
        <v>37</v>
      </c>
      <c r="D1920" s="10" t="s">
        <v>82</v>
      </c>
      <c r="E1920" s="10" t="s">
        <v>2203</v>
      </c>
      <c r="F1920" s="10" t="s">
        <v>208</v>
      </c>
      <c r="G1920" s="10" t="s">
        <v>186</v>
      </c>
      <c r="H1920" s="11" t="str">
        <f>IF(OR(M1920&lt;=0,N1920&lt;=0),"SKIPPED - NONPOSITIVE",IF(OR(M1920&lt;L1920,N1920&lt;L1920),"SKIPPED - BELOW MIN",IF(OR(M1920&gt;J1920,N1920&gt;K1920),"SKIPPED - EXCEEDS BASE",IF(COUNTIFS($M$1886:M1919,M1920,$N$1886:N1919,N1920)&gt;0,"SKIPPED - DUPLICATE","VALID - GENERATED"))))</f>
        <v>VALID - GENERATED</v>
      </c>
      <c r="I1920" s="10" t="s">
        <v>2204</v>
      </c>
      <c r="J1920" s="12">
        <f>'05-ISO Reference'!$B$25</f>
        <v>88</v>
      </c>
      <c r="K1920" s="12">
        <f>'05-ISO Reference'!$C$25</f>
        <v>125</v>
      </c>
      <c r="L1920" s="12">
        <f>'01-Process Controls'!$G$5</f>
        <v>3</v>
      </c>
      <c r="M1920" s="12">
        <f>ROUNDDOWN(J1920*'04-Variant Rules'!$D$39,0)</f>
        <v>26</v>
      </c>
      <c r="N1920" s="12">
        <f>ROUNDDOWN(K1920*'04-Variant Rules'!$E$39,0)</f>
        <v>37</v>
      </c>
      <c r="O1920" s="9">
        <v>34</v>
      </c>
    </row>
    <row r="1921" spans="1:15" ht="21" customHeight="1">
      <c r="A1921" s="9" t="s">
        <v>2239</v>
      </c>
      <c r="B1921" s="12">
        <f>IF(LEFT(H1921,5)="VALID",M1921,"")</f>
        <v>17</v>
      </c>
      <c r="C1921" s="12">
        <f>IF(LEFT(H1921,5)="VALID",N1921,"")</f>
        <v>25</v>
      </c>
      <c r="D1921" s="10" t="s">
        <v>82</v>
      </c>
      <c r="E1921" s="10" t="s">
        <v>2203</v>
      </c>
      <c r="F1921" s="10" t="s">
        <v>210</v>
      </c>
      <c r="G1921" s="10" t="s">
        <v>186</v>
      </c>
      <c r="H1921" s="11" t="str">
        <f>IF(OR(M1921&lt;=0,N1921&lt;=0),"SKIPPED - NONPOSITIVE",IF(OR(M1921&lt;L1921,N1921&lt;L1921),"SKIPPED - BELOW MIN",IF(OR(M1921&gt;J1921,N1921&gt;K1921),"SKIPPED - EXCEEDS BASE",IF(COUNTIFS($M$1886:M1920,M1921,$N$1886:N1920,N1921)&gt;0,"SKIPPED - DUPLICATE","VALID - GENERATED"))))</f>
        <v>VALID - GENERATED</v>
      </c>
      <c r="I1921" s="10" t="s">
        <v>2204</v>
      </c>
      <c r="J1921" s="12">
        <f>'05-ISO Reference'!$B$25</f>
        <v>88</v>
      </c>
      <c r="K1921" s="12">
        <f>'05-ISO Reference'!$C$25</f>
        <v>125</v>
      </c>
      <c r="L1921" s="12">
        <f>'01-Process Controls'!$G$5</f>
        <v>3</v>
      </c>
      <c r="M1921" s="12">
        <f>ROUNDDOWN(J1921*'04-Variant Rules'!$D$40,0)</f>
        <v>17</v>
      </c>
      <c r="N1921" s="12">
        <f>ROUNDDOWN(K1921*'04-Variant Rules'!$E$40,0)</f>
        <v>25</v>
      </c>
      <c r="O1921" s="9">
        <v>35</v>
      </c>
    </row>
    <row r="1922" spans="1:15" ht="21" customHeight="1">
      <c r="A1922" s="9" t="s">
        <v>2240</v>
      </c>
      <c r="B1922" s="12">
        <f>IF(LEFT(H1922,5)="VALID",M1922,"")</f>
        <v>13</v>
      </c>
      <c r="C1922" s="12">
        <f>IF(LEFT(H1922,5)="VALID",N1922,"")</f>
        <v>18</v>
      </c>
      <c r="D1922" s="10" t="s">
        <v>82</v>
      </c>
      <c r="E1922" s="10" t="s">
        <v>2203</v>
      </c>
      <c r="F1922" s="10" t="s">
        <v>212</v>
      </c>
      <c r="G1922" s="10" t="s">
        <v>213</v>
      </c>
      <c r="H1922" s="11" t="str">
        <f>IF(OR(M1922&lt;=0,N1922&lt;=0),"SKIPPED - NONPOSITIVE",IF(OR(M1922&lt;L1922,N1922&lt;L1922),"SKIPPED - BELOW MIN",IF(OR(M1922&gt;J1922,N1922&gt;K1922),"SKIPPED - EXCEEDS BASE",IF(COUNTIFS($M$1886:M1921,M1922,$N$1886:N1921,N1922)&gt;0,"SKIPPED - DUPLICATE","VALID - GENERATED"))))</f>
        <v>VALID - GENERATED</v>
      </c>
      <c r="I1922" s="10" t="s">
        <v>2204</v>
      </c>
      <c r="J1922" s="12">
        <f>'05-ISO Reference'!$B$25</f>
        <v>88</v>
      </c>
      <c r="K1922" s="12">
        <f>'05-ISO Reference'!$C$25</f>
        <v>125</v>
      </c>
      <c r="L1922" s="12">
        <f>'01-Process Controls'!$G$5</f>
        <v>3</v>
      </c>
      <c r="M1922" s="12">
        <f>ROUNDDOWN(J1922*'04-Variant Rules'!$D$41,0)</f>
        <v>13</v>
      </c>
      <c r="N1922" s="12">
        <f>ROUNDDOWN(K1922*'04-Variant Rules'!$E$41,0)</f>
        <v>18</v>
      </c>
      <c r="O1922" s="9">
        <v>36</v>
      </c>
    </row>
    <row r="1923" spans="1:15" ht="21" customHeight="1">
      <c r="A1923" s="9" t="s">
        <v>2241</v>
      </c>
      <c r="B1923" s="12">
        <f>IF(LEFT(H1923,5)="VALID",M1923,"")</f>
        <v>88</v>
      </c>
      <c r="C1923" s="12">
        <f>IF(LEFT(H1923,5)="VALID",N1923,"")</f>
        <v>88</v>
      </c>
      <c r="D1923" s="10" t="s">
        <v>82</v>
      </c>
      <c r="E1923" s="10" t="s">
        <v>2203</v>
      </c>
      <c r="F1923" s="10" t="s">
        <v>215</v>
      </c>
      <c r="G1923" s="10" t="s">
        <v>216</v>
      </c>
      <c r="H1923" s="11" t="str">
        <f>IF(OR(M1923&lt;=0,N1923&lt;=0),"SKIPPED - NONPOSITIVE",IF(OR(M1923&lt;L1923,N1923&lt;L1923),"SKIPPED - BELOW MIN",IF(OR(M1923&gt;J1923,N1923&gt;K1923),"SKIPPED - EXCEEDS BASE",IF(COUNTIFS($M$1886:M1922,M1923,$N$1886:N1922,N1923)&gt;0,"SKIPPED - DUPLICATE","VALID - GENERATED"))))</f>
        <v>VALID - GENERATED</v>
      </c>
      <c r="I1923" s="10" t="s">
        <v>2204</v>
      </c>
      <c r="J1923" s="12">
        <f>'05-ISO Reference'!$B$25</f>
        <v>88</v>
      </c>
      <c r="K1923" s="12">
        <f>'05-ISO Reference'!$C$25</f>
        <v>125</v>
      </c>
      <c r="L1923" s="12">
        <f>'01-Process Controls'!$G$5</f>
        <v>3</v>
      </c>
      <c r="M1923" s="12">
        <f>ROUNDDOWN(MIN(J1923,K1923)*'04-Variant Rules'!$D$42,0)</f>
        <v>88</v>
      </c>
      <c r="N1923" s="12">
        <f>ROUNDDOWN(MIN(J1923,K1923)*'04-Variant Rules'!$D$42,0)</f>
        <v>88</v>
      </c>
      <c r="O1923" s="9">
        <v>37</v>
      </c>
    </row>
    <row r="1924" spans="1:15" ht="21" customHeight="1">
      <c r="A1924" s="9" t="s">
        <v>2242</v>
      </c>
      <c r="B1924" s="12">
        <f>IF(LEFT(H1924,5)="VALID",M1924,"")</f>
        <v>79</v>
      </c>
      <c r="C1924" s="12">
        <f>IF(LEFT(H1924,5)="VALID",N1924,"")</f>
        <v>79</v>
      </c>
      <c r="D1924" s="10" t="s">
        <v>82</v>
      </c>
      <c r="E1924" s="10" t="s">
        <v>2203</v>
      </c>
      <c r="F1924" s="10" t="s">
        <v>218</v>
      </c>
      <c r="G1924" s="10" t="s">
        <v>219</v>
      </c>
      <c r="H1924" s="11" t="str">
        <f>IF(OR(M1924&lt;=0,N1924&lt;=0),"SKIPPED - NONPOSITIVE",IF(OR(M1924&lt;L1924,N1924&lt;L1924),"SKIPPED - BELOW MIN",IF(OR(M1924&gt;J1924,N1924&gt;K1924),"SKIPPED - EXCEEDS BASE",IF(COUNTIFS($M$1886:M1923,M1924,$N$1886:N1923,N1924)&gt;0,"SKIPPED - DUPLICATE","VALID - GENERATED"))))</f>
        <v>VALID - GENERATED</v>
      </c>
      <c r="I1924" s="10" t="s">
        <v>2204</v>
      </c>
      <c r="J1924" s="12">
        <f>'05-ISO Reference'!$B$25</f>
        <v>88</v>
      </c>
      <c r="K1924" s="12">
        <f>'05-ISO Reference'!$C$25</f>
        <v>125</v>
      </c>
      <c r="L1924" s="12">
        <f>'01-Process Controls'!$G$5</f>
        <v>3</v>
      </c>
      <c r="M1924" s="12">
        <f>ROUNDDOWN(MIN(J1924,K1924)*'04-Variant Rules'!$D$43,0)</f>
        <v>79</v>
      </c>
      <c r="N1924" s="12">
        <f>ROUNDDOWN(MIN(J1924,K1924)*'04-Variant Rules'!$D$43,0)</f>
        <v>79</v>
      </c>
      <c r="O1924" s="9">
        <v>38</v>
      </c>
    </row>
    <row r="1925" spans="1:15" ht="21" customHeight="1">
      <c r="A1925" s="9" t="s">
        <v>2243</v>
      </c>
      <c r="B1925" s="12">
        <f>IF(LEFT(H1925,5)="VALID",M1925,"")</f>
        <v>70</v>
      </c>
      <c r="C1925" s="12">
        <f>IF(LEFT(H1925,5)="VALID",N1925,"")</f>
        <v>70</v>
      </c>
      <c r="D1925" s="10" t="s">
        <v>82</v>
      </c>
      <c r="E1925" s="10" t="s">
        <v>2203</v>
      </c>
      <c r="F1925" s="10" t="s">
        <v>221</v>
      </c>
      <c r="G1925" s="10" t="s">
        <v>219</v>
      </c>
      <c r="H1925" s="11" t="str">
        <f>IF(OR(M1925&lt;=0,N1925&lt;=0),"SKIPPED - NONPOSITIVE",IF(OR(M1925&lt;L1925,N1925&lt;L1925),"SKIPPED - BELOW MIN",IF(OR(M1925&gt;J1925,N1925&gt;K1925),"SKIPPED - EXCEEDS BASE",IF(COUNTIFS($M$1886:M1924,M1925,$N$1886:N1924,N1925)&gt;0,"SKIPPED - DUPLICATE","VALID - GENERATED"))))</f>
        <v>VALID - GENERATED</v>
      </c>
      <c r="I1925" s="10" t="s">
        <v>2204</v>
      </c>
      <c r="J1925" s="12">
        <f>'05-ISO Reference'!$B$25</f>
        <v>88</v>
      </c>
      <c r="K1925" s="12">
        <f>'05-ISO Reference'!$C$25</f>
        <v>125</v>
      </c>
      <c r="L1925" s="12">
        <f>'01-Process Controls'!$G$5</f>
        <v>3</v>
      </c>
      <c r="M1925" s="12">
        <f>ROUNDDOWN(MIN(J1925,K1925)*'04-Variant Rules'!$D$44,0)</f>
        <v>70</v>
      </c>
      <c r="N1925" s="12">
        <f>ROUNDDOWN(MIN(J1925,K1925)*'04-Variant Rules'!$D$44,0)</f>
        <v>70</v>
      </c>
      <c r="O1925" s="9">
        <v>39</v>
      </c>
    </row>
    <row r="1926" spans="1:15" ht="21" customHeight="1">
      <c r="A1926" s="9" t="s">
        <v>2244</v>
      </c>
      <c r="B1926" s="12">
        <f>IF(LEFT(H1926,5)="VALID",M1926,"")</f>
        <v>66</v>
      </c>
      <c r="C1926" s="12">
        <f>IF(LEFT(H1926,5)="VALID",N1926,"")</f>
        <v>66</v>
      </c>
      <c r="D1926" s="10" t="s">
        <v>82</v>
      </c>
      <c r="E1926" s="10" t="s">
        <v>2203</v>
      </c>
      <c r="F1926" s="10" t="s">
        <v>223</v>
      </c>
      <c r="G1926" s="10" t="s">
        <v>219</v>
      </c>
      <c r="H1926" s="11" t="str">
        <f>IF(OR(M1926&lt;=0,N1926&lt;=0),"SKIPPED - NONPOSITIVE",IF(OR(M1926&lt;L1926,N1926&lt;L1926),"SKIPPED - BELOW MIN",IF(OR(M1926&gt;J1926,N1926&gt;K1926),"SKIPPED - EXCEEDS BASE",IF(COUNTIFS($M$1886:M1925,M1926,$N$1886:N1925,N1926)&gt;0,"SKIPPED - DUPLICATE","VALID - GENERATED"))))</f>
        <v>VALID - GENERATED</v>
      </c>
      <c r="I1926" s="10" t="s">
        <v>2204</v>
      </c>
      <c r="J1926" s="12">
        <f>'05-ISO Reference'!$B$25</f>
        <v>88</v>
      </c>
      <c r="K1926" s="12">
        <f>'05-ISO Reference'!$C$25</f>
        <v>125</v>
      </c>
      <c r="L1926" s="12">
        <f>'01-Process Controls'!$G$5</f>
        <v>3</v>
      </c>
      <c r="M1926" s="12">
        <f>ROUNDDOWN(MIN(J1926,K1926)*'04-Variant Rules'!$D$45,0)</f>
        <v>66</v>
      </c>
      <c r="N1926" s="12">
        <f>ROUNDDOWN(MIN(J1926,K1926)*'04-Variant Rules'!$D$45,0)</f>
        <v>66</v>
      </c>
      <c r="O1926" s="9">
        <v>40</v>
      </c>
    </row>
    <row r="1927" spans="1:15" ht="21" customHeight="1">
      <c r="A1927" s="9" t="s">
        <v>2245</v>
      </c>
      <c r="B1927" s="12">
        <f>IF(LEFT(H1927,5)="VALID",M1927,"")</f>
        <v>58</v>
      </c>
      <c r="C1927" s="12">
        <f>IF(LEFT(H1927,5)="VALID",N1927,"")</f>
        <v>58</v>
      </c>
      <c r="D1927" s="10" t="s">
        <v>82</v>
      </c>
      <c r="E1927" s="10" t="s">
        <v>2203</v>
      </c>
      <c r="F1927" s="10" t="s">
        <v>225</v>
      </c>
      <c r="G1927" s="10" t="s">
        <v>219</v>
      </c>
      <c r="H1927" s="11" t="str">
        <f>IF(OR(M1927&lt;=0,N1927&lt;=0),"SKIPPED - NONPOSITIVE",IF(OR(M1927&lt;L1927,N1927&lt;L1927),"SKIPPED - BELOW MIN",IF(OR(M1927&gt;J1927,N1927&gt;K1927),"SKIPPED - EXCEEDS BASE",IF(COUNTIFS($M$1886:M1926,M1927,$N$1886:N1926,N1927)&gt;0,"SKIPPED - DUPLICATE","VALID - GENERATED"))))</f>
        <v>VALID - GENERATED</v>
      </c>
      <c r="I1927" s="10" t="s">
        <v>2204</v>
      </c>
      <c r="J1927" s="12">
        <f>'05-ISO Reference'!$B$25</f>
        <v>88</v>
      </c>
      <c r="K1927" s="12">
        <f>'05-ISO Reference'!$C$25</f>
        <v>125</v>
      </c>
      <c r="L1927" s="12">
        <f>'01-Process Controls'!$G$5</f>
        <v>3</v>
      </c>
      <c r="M1927" s="12">
        <f>ROUNDDOWN(MIN(J1927,K1927)*'04-Variant Rules'!$D$46,0)</f>
        <v>58</v>
      </c>
      <c r="N1927" s="12">
        <f>ROUNDDOWN(MIN(J1927,K1927)*'04-Variant Rules'!$D$46,0)</f>
        <v>58</v>
      </c>
      <c r="O1927" s="9">
        <v>41</v>
      </c>
    </row>
    <row r="1928" spans="1:15" ht="21" customHeight="1">
      <c r="A1928" s="9" t="s">
        <v>2246</v>
      </c>
      <c r="B1928" s="12">
        <f>IF(LEFT(H1928,5)="VALID",M1928,"")</f>
        <v>52</v>
      </c>
      <c r="C1928" s="12">
        <f>IF(LEFT(H1928,5)="VALID",N1928,"")</f>
        <v>52</v>
      </c>
      <c r="D1928" s="10" t="s">
        <v>82</v>
      </c>
      <c r="E1928" s="10" t="s">
        <v>2203</v>
      </c>
      <c r="F1928" s="10" t="s">
        <v>227</v>
      </c>
      <c r="G1928" s="10" t="s">
        <v>219</v>
      </c>
      <c r="H1928" s="11" t="str">
        <f>IF(OR(M1928&lt;=0,N1928&lt;=0),"SKIPPED - NONPOSITIVE",IF(OR(M1928&lt;L1928,N1928&lt;L1928),"SKIPPED - BELOW MIN",IF(OR(M1928&gt;J1928,N1928&gt;K1928),"SKIPPED - EXCEEDS BASE",IF(COUNTIFS($M$1886:M1927,M1928,$N$1886:N1927,N1928)&gt;0,"SKIPPED - DUPLICATE","VALID - GENERATED"))))</f>
        <v>VALID - GENERATED</v>
      </c>
      <c r="I1928" s="10" t="s">
        <v>2204</v>
      </c>
      <c r="J1928" s="12">
        <f>'05-ISO Reference'!$B$25</f>
        <v>88</v>
      </c>
      <c r="K1928" s="12">
        <f>'05-ISO Reference'!$C$25</f>
        <v>125</v>
      </c>
      <c r="L1928" s="12">
        <f>'01-Process Controls'!$G$5</f>
        <v>3</v>
      </c>
      <c r="M1928" s="12">
        <f>ROUNDDOWN(MIN(J1928,K1928)*'04-Variant Rules'!$D$47,0)</f>
        <v>52</v>
      </c>
      <c r="N1928" s="12">
        <f>ROUNDDOWN(MIN(J1928,K1928)*'04-Variant Rules'!$D$47,0)</f>
        <v>52</v>
      </c>
      <c r="O1928" s="9">
        <v>42</v>
      </c>
    </row>
    <row r="1929" spans="1:15" ht="21" customHeight="1">
      <c r="A1929" s="9" t="s">
        <v>2247</v>
      </c>
      <c r="B1929" s="12">
        <f>IF(LEFT(H1929,5)="VALID",M1929,"")</f>
        <v>44</v>
      </c>
      <c r="C1929" s="12">
        <f>IF(LEFT(H1929,5)="VALID",N1929,"")</f>
        <v>44</v>
      </c>
      <c r="D1929" s="10" t="s">
        <v>82</v>
      </c>
      <c r="E1929" s="10" t="s">
        <v>2203</v>
      </c>
      <c r="F1929" s="10" t="s">
        <v>229</v>
      </c>
      <c r="G1929" s="10" t="s">
        <v>219</v>
      </c>
      <c r="H1929" s="11" t="str">
        <f>IF(OR(M1929&lt;=0,N1929&lt;=0),"SKIPPED - NONPOSITIVE",IF(OR(M1929&lt;L1929,N1929&lt;L1929),"SKIPPED - BELOW MIN",IF(OR(M1929&gt;J1929,N1929&gt;K1929),"SKIPPED - EXCEEDS BASE",IF(COUNTIFS($M$1886:M1928,M1929,$N$1886:N1928,N1929)&gt;0,"SKIPPED - DUPLICATE","VALID - GENERATED"))))</f>
        <v>VALID - GENERATED</v>
      </c>
      <c r="I1929" s="10" t="s">
        <v>2204</v>
      </c>
      <c r="J1929" s="12">
        <f>'05-ISO Reference'!$B$25</f>
        <v>88</v>
      </c>
      <c r="K1929" s="12">
        <f>'05-ISO Reference'!$C$25</f>
        <v>125</v>
      </c>
      <c r="L1929" s="12">
        <f>'01-Process Controls'!$G$5</f>
        <v>3</v>
      </c>
      <c r="M1929" s="12">
        <f>ROUNDDOWN(MIN(J1929,K1929)*'04-Variant Rules'!$D$48,0)</f>
        <v>44</v>
      </c>
      <c r="N1929" s="12">
        <f>ROUNDDOWN(MIN(J1929,K1929)*'04-Variant Rules'!$D$48,0)</f>
        <v>44</v>
      </c>
      <c r="O1929" s="9">
        <v>43</v>
      </c>
    </row>
    <row r="1930" spans="1:15" ht="21" customHeight="1">
      <c r="A1930" s="9" t="s">
        <v>2248</v>
      </c>
      <c r="B1930" s="12">
        <f>IF(LEFT(H1930,5)="VALID",M1930,"")</f>
        <v>35</v>
      </c>
      <c r="C1930" s="12">
        <f>IF(LEFT(H1930,5)="VALID",N1930,"")</f>
        <v>35</v>
      </c>
      <c r="D1930" s="10" t="s">
        <v>82</v>
      </c>
      <c r="E1930" s="10" t="s">
        <v>2203</v>
      </c>
      <c r="F1930" s="10" t="s">
        <v>231</v>
      </c>
      <c r="G1930" s="10" t="s">
        <v>219</v>
      </c>
      <c r="H1930" s="11" t="str">
        <f>IF(OR(M1930&lt;=0,N1930&lt;=0),"SKIPPED - NONPOSITIVE",IF(OR(M1930&lt;L1930,N1930&lt;L1930),"SKIPPED - BELOW MIN",IF(OR(M1930&gt;J1930,N1930&gt;K1930),"SKIPPED - EXCEEDS BASE",IF(COUNTIFS($M$1886:M1929,M1930,$N$1886:N1929,N1930)&gt;0,"SKIPPED - DUPLICATE","VALID - GENERATED"))))</f>
        <v>VALID - GENERATED</v>
      </c>
      <c r="I1930" s="10" t="s">
        <v>2204</v>
      </c>
      <c r="J1930" s="12">
        <f>'05-ISO Reference'!$B$25</f>
        <v>88</v>
      </c>
      <c r="K1930" s="12">
        <f>'05-ISO Reference'!$C$25</f>
        <v>125</v>
      </c>
      <c r="L1930" s="12">
        <f>'01-Process Controls'!$G$5</f>
        <v>3</v>
      </c>
      <c r="M1930" s="12">
        <f>ROUNDDOWN(MIN(J1930,K1930)*'04-Variant Rules'!$D$49,0)</f>
        <v>35</v>
      </c>
      <c r="N1930" s="12">
        <f>ROUNDDOWN(MIN(J1930,K1930)*'04-Variant Rules'!$D$49,0)</f>
        <v>35</v>
      </c>
      <c r="O1930" s="9">
        <v>44</v>
      </c>
    </row>
    <row r="1931" spans="1:15" ht="21" customHeight="1">
      <c r="A1931" s="9" t="s">
        <v>2249</v>
      </c>
      <c r="B1931" s="12">
        <f>IF(LEFT(H1931,5)="VALID",M1931,"")</f>
        <v>29</v>
      </c>
      <c r="C1931" s="12">
        <f>IF(LEFT(H1931,5)="VALID",N1931,"")</f>
        <v>29</v>
      </c>
      <c r="D1931" s="10" t="s">
        <v>82</v>
      </c>
      <c r="E1931" s="10" t="s">
        <v>2203</v>
      </c>
      <c r="F1931" s="10" t="s">
        <v>233</v>
      </c>
      <c r="G1931" s="10" t="s">
        <v>219</v>
      </c>
      <c r="H1931" s="11" t="str">
        <f>IF(OR(M1931&lt;=0,N1931&lt;=0),"SKIPPED - NONPOSITIVE",IF(OR(M1931&lt;L1931,N1931&lt;L1931),"SKIPPED - BELOW MIN",IF(OR(M1931&gt;J1931,N1931&gt;K1931),"SKIPPED - EXCEEDS BASE",IF(COUNTIFS($M$1886:M1930,M1931,$N$1886:N1930,N1931)&gt;0,"SKIPPED - DUPLICATE","VALID - GENERATED"))))</f>
        <v>VALID - GENERATED</v>
      </c>
      <c r="I1931" s="10" t="s">
        <v>2204</v>
      </c>
      <c r="J1931" s="12">
        <f>'05-ISO Reference'!$B$25</f>
        <v>88</v>
      </c>
      <c r="K1931" s="12">
        <f>'05-ISO Reference'!$C$25</f>
        <v>125</v>
      </c>
      <c r="L1931" s="12">
        <f>'01-Process Controls'!$G$5</f>
        <v>3</v>
      </c>
      <c r="M1931" s="12">
        <f>ROUNDDOWN(MIN(J1931,K1931)*'04-Variant Rules'!$D$50,0)</f>
        <v>29</v>
      </c>
      <c r="N1931" s="12">
        <f>ROUNDDOWN(MIN(J1931,K1931)*'04-Variant Rules'!$D$50,0)</f>
        <v>29</v>
      </c>
      <c r="O1931" s="9">
        <v>45</v>
      </c>
    </row>
    <row r="1932" spans="1:15" ht="21" customHeight="1">
      <c r="A1932" s="9" t="s">
        <v>2250</v>
      </c>
      <c r="B1932" s="12">
        <f>IF(LEFT(H1932,5)="VALID",M1932,"")</f>
        <v>22</v>
      </c>
      <c r="C1932" s="12">
        <f>IF(LEFT(H1932,5)="VALID",N1932,"")</f>
        <v>22</v>
      </c>
      <c r="D1932" s="10" t="s">
        <v>82</v>
      </c>
      <c r="E1932" s="10" t="s">
        <v>2203</v>
      </c>
      <c r="F1932" s="10" t="s">
        <v>235</v>
      </c>
      <c r="G1932" s="10" t="s">
        <v>219</v>
      </c>
      <c r="H1932" s="11" t="str">
        <f>IF(OR(M1932&lt;=0,N1932&lt;=0),"SKIPPED - NONPOSITIVE",IF(OR(M1932&lt;L1932,N1932&lt;L1932),"SKIPPED - BELOW MIN",IF(OR(M1932&gt;J1932,N1932&gt;K1932),"SKIPPED - EXCEEDS BASE",IF(COUNTIFS($M$1886:M1931,M1932,$N$1886:N1931,N1932)&gt;0,"SKIPPED - DUPLICATE","VALID - GENERATED"))))</f>
        <v>VALID - GENERATED</v>
      </c>
      <c r="I1932" s="10" t="s">
        <v>2204</v>
      </c>
      <c r="J1932" s="12">
        <f>'05-ISO Reference'!$B$25</f>
        <v>88</v>
      </c>
      <c r="K1932" s="12">
        <f>'05-ISO Reference'!$C$25</f>
        <v>125</v>
      </c>
      <c r="L1932" s="12">
        <f>'01-Process Controls'!$G$5</f>
        <v>3</v>
      </c>
      <c r="M1932" s="12">
        <f>ROUNDDOWN(MIN(J1932,K1932)*'04-Variant Rules'!$D$51,0)</f>
        <v>22</v>
      </c>
      <c r="N1932" s="12">
        <f>ROUNDDOWN(MIN(J1932,K1932)*'04-Variant Rules'!$D$51,0)</f>
        <v>22</v>
      </c>
      <c r="O1932" s="9">
        <v>46</v>
      </c>
    </row>
    <row r="1933" spans="1:15" ht="21" customHeight="1">
      <c r="A1933" s="9" t="s">
        <v>2251</v>
      </c>
      <c r="B1933" s="12">
        <f>IF(LEFT(H1933,5)="VALID",M1933,"")</f>
        <v>17</v>
      </c>
      <c r="C1933" s="12">
        <f>IF(LEFT(H1933,5)="VALID",N1933,"")</f>
        <v>17</v>
      </c>
      <c r="D1933" s="10" t="s">
        <v>82</v>
      </c>
      <c r="E1933" s="10" t="s">
        <v>2203</v>
      </c>
      <c r="F1933" s="10" t="s">
        <v>237</v>
      </c>
      <c r="G1933" s="10" t="s">
        <v>219</v>
      </c>
      <c r="H1933" s="11" t="str">
        <f>IF(OR(M1933&lt;=0,N1933&lt;=0),"SKIPPED - NONPOSITIVE",IF(OR(M1933&lt;L1933,N1933&lt;L1933),"SKIPPED - BELOW MIN",IF(OR(M1933&gt;J1933,N1933&gt;K1933),"SKIPPED - EXCEEDS BASE",IF(COUNTIFS($M$1886:M1932,M1933,$N$1886:N1932,N1933)&gt;0,"SKIPPED - DUPLICATE","VALID - GENERATED"))))</f>
        <v>VALID - GENERATED</v>
      </c>
      <c r="I1933" s="10" t="s">
        <v>2204</v>
      </c>
      <c r="J1933" s="12">
        <f>'05-ISO Reference'!$B$25</f>
        <v>88</v>
      </c>
      <c r="K1933" s="12">
        <f>'05-ISO Reference'!$C$25</f>
        <v>125</v>
      </c>
      <c r="L1933" s="12">
        <f>'01-Process Controls'!$G$5</f>
        <v>3</v>
      </c>
      <c r="M1933" s="12">
        <f>ROUNDDOWN(MIN(J1933,K1933)*'04-Variant Rules'!$D$52,0)</f>
        <v>17</v>
      </c>
      <c r="N1933" s="12">
        <f>ROUNDDOWN(MIN(J1933,K1933)*'04-Variant Rules'!$D$52,0)</f>
        <v>17</v>
      </c>
      <c r="O1933" s="9">
        <v>47</v>
      </c>
    </row>
    <row r="1934" spans="1:15" ht="21" customHeight="1">
      <c r="A1934" s="9" t="s">
        <v>2252</v>
      </c>
      <c r="B1934" s="12">
        <f>IF(LEFT(H1934,5)="VALID",M1934,"")</f>
        <v>88</v>
      </c>
      <c r="C1934" s="12">
        <f>IF(LEFT(H1934,5)="VALID",N1934,"")</f>
        <v>66</v>
      </c>
      <c r="D1934" s="10" t="s">
        <v>82</v>
      </c>
      <c r="E1934" s="10" t="s">
        <v>2203</v>
      </c>
      <c r="F1934" s="10" t="s">
        <v>239</v>
      </c>
      <c r="G1934" s="10" t="s">
        <v>240</v>
      </c>
      <c r="H1934" s="11" t="str">
        <f>IF(OR(M1934&lt;=0,N1934&lt;=0),"SKIPPED - NONPOSITIVE",IF(OR(M1934&lt;L1934,N1934&lt;L1934),"SKIPPED - BELOW MIN",IF(OR(M1934&gt;J1934,N1934&gt;K1934),"SKIPPED - EXCEEDS BASE",IF(COUNTIFS($M$1886:M1933,M1934,$N$1886:N1933,N1934)&gt;0,"SKIPPED - DUPLICATE","VALID - GENERATED"))))</f>
        <v>VALID - GENERATED</v>
      </c>
      <c r="I1934" s="10" t="s">
        <v>2204</v>
      </c>
      <c r="J1934" s="12">
        <f>'05-ISO Reference'!$B$25</f>
        <v>88</v>
      </c>
      <c r="K1934" s="12">
        <f>'05-ISO Reference'!$C$25</f>
        <v>125</v>
      </c>
      <c r="L1934" s="12">
        <f>'01-Process Controls'!$G$5</f>
        <v>3</v>
      </c>
      <c r="M1934" s="12">
        <f>ROUNDDOWN(MIN(J1934,K1934*'04-Variant Rules'!$D$53),0)</f>
        <v>88</v>
      </c>
      <c r="N1934" s="12">
        <f>ROUNDDOWN(M1934/'04-Variant Rules'!$D$53,0)</f>
        <v>66</v>
      </c>
      <c r="O1934" s="9">
        <v>48</v>
      </c>
    </row>
    <row r="1935" spans="1:15" ht="21" customHeight="1">
      <c r="A1935" s="9" t="s">
        <v>2253</v>
      </c>
      <c r="B1935" s="12">
        <f>IF(LEFT(H1935,5)="VALID",M1935,"")</f>
        <v>88</v>
      </c>
      <c r="C1935" s="12">
        <f>IF(LEFT(H1935,5)="VALID",N1935,"")</f>
        <v>117</v>
      </c>
      <c r="D1935" s="10" t="s">
        <v>82</v>
      </c>
      <c r="E1935" s="10" t="s">
        <v>2203</v>
      </c>
      <c r="F1935" s="10" t="s">
        <v>242</v>
      </c>
      <c r="G1935" s="10" t="s">
        <v>243</v>
      </c>
      <c r="H1935" s="11" t="str">
        <f>IF(OR(M1935&lt;=0,N1935&lt;=0),"SKIPPED - NONPOSITIVE",IF(OR(M1935&lt;L1935,N1935&lt;L1935),"SKIPPED - BELOW MIN",IF(OR(M1935&gt;J1935,N1935&gt;K1935),"SKIPPED - EXCEEDS BASE",IF(COUNTIFS($M$1886:M1934,M1935,$N$1886:N1934,N1935)&gt;0,"SKIPPED - DUPLICATE","VALID - GENERATED"))))</f>
        <v>VALID - GENERATED</v>
      </c>
      <c r="I1935" s="10" t="s">
        <v>2204</v>
      </c>
      <c r="J1935" s="12">
        <f>'05-ISO Reference'!$B$25</f>
        <v>88</v>
      </c>
      <c r="K1935" s="12">
        <f>'05-ISO Reference'!$C$25</f>
        <v>125</v>
      </c>
      <c r="L1935" s="12">
        <f>'01-Process Controls'!$G$5</f>
        <v>3</v>
      </c>
      <c r="M1935" s="12">
        <f>ROUNDDOWN(MIN(J1935,K1935*'04-Variant Rules'!$D$54),0)</f>
        <v>88</v>
      </c>
      <c r="N1935" s="12">
        <f>ROUNDDOWN(M1935/'04-Variant Rules'!$D$54,0)</f>
        <v>117</v>
      </c>
      <c r="O1935" s="9">
        <v>49</v>
      </c>
    </row>
    <row r="1936" spans="1:15" ht="21" customHeight="1">
      <c r="A1936" s="9" t="s">
        <v>2254</v>
      </c>
      <c r="B1936" s="12">
        <f>IF(LEFT(H1936,5)="VALID",M1936,"")</f>
        <v>88</v>
      </c>
      <c r="C1936" s="12">
        <f>IF(LEFT(H1936,5)="VALID",N1936,"")</f>
        <v>58</v>
      </c>
      <c r="D1936" s="10" t="s">
        <v>82</v>
      </c>
      <c r="E1936" s="10" t="s">
        <v>2203</v>
      </c>
      <c r="F1936" s="10" t="s">
        <v>245</v>
      </c>
      <c r="G1936" s="10" t="s">
        <v>246</v>
      </c>
      <c r="H1936" s="11" t="str">
        <f>IF(OR(M1936&lt;=0,N1936&lt;=0),"SKIPPED - NONPOSITIVE",IF(OR(M1936&lt;L1936,N1936&lt;L1936),"SKIPPED - BELOW MIN",IF(OR(M1936&gt;J1936,N1936&gt;K1936),"SKIPPED - EXCEEDS BASE",IF(COUNTIFS($M$1886:M1935,M1936,$N$1886:N1935,N1936)&gt;0,"SKIPPED - DUPLICATE","VALID - GENERATED"))))</f>
        <v>VALID - GENERATED</v>
      </c>
      <c r="I1936" s="10" t="s">
        <v>2204</v>
      </c>
      <c r="J1936" s="12">
        <f>'05-ISO Reference'!$B$25</f>
        <v>88</v>
      </c>
      <c r="K1936" s="12">
        <f>'05-ISO Reference'!$C$25</f>
        <v>125</v>
      </c>
      <c r="L1936" s="12">
        <f>'01-Process Controls'!$G$5</f>
        <v>3</v>
      </c>
      <c r="M1936" s="12">
        <f>ROUNDDOWN(MIN(J1936,K1936*'04-Variant Rules'!$D$55),0)</f>
        <v>88</v>
      </c>
      <c r="N1936" s="12">
        <f>ROUNDDOWN(M1936/'04-Variant Rules'!$D$55,0)</f>
        <v>58</v>
      </c>
      <c r="O1936" s="9">
        <v>50</v>
      </c>
    </row>
    <row r="1937" spans="1:15" ht="21" customHeight="1">
      <c r="A1937" s="9" t="s">
        <v>2255</v>
      </c>
      <c r="B1937" s="12">
        <f>IF(LEFT(H1937,5)="VALID",M1937,"")</f>
        <v>83</v>
      </c>
      <c r="C1937" s="12">
        <f>IF(LEFT(H1937,5)="VALID",N1937,"")</f>
        <v>124</v>
      </c>
      <c r="D1937" s="10" t="s">
        <v>82</v>
      </c>
      <c r="E1937" s="10" t="s">
        <v>2203</v>
      </c>
      <c r="F1937" s="10" t="s">
        <v>248</v>
      </c>
      <c r="G1937" s="10" t="s">
        <v>249</v>
      </c>
      <c r="H1937" s="11" t="str">
        <f>IF(OR(M1937&lt;=0,N1937&lt;=0),"SKIPPED - NONPOSITIVE",IF(OR(M1937&lt;L1937,N1937&lt;L1937),"SKIPPED - BELOW MIN",IF(OR(M1937&gt;J1937,N1937&gt;K1937),"SKIPPED - EXCEEDS BASE",IF(COUNTIFS($M$1886:M1936,M1937,$N$1886:N1936,N1937)&gt;0,"SKIPPED - DUPLICATE","VALID - GENERATED"))))</f>
        <v>VALID - GENERATED</v>
      </c>
      <c r="I1937" s="10" t="s">
        <v>2204</v>
      </c>
      <c r="J1937" s="12">
        <f>'05-ISO Reference'!$B$25</f>
        <v>88</v>
      </c>
      <c r="K1937" s="12">
        <f>'05-ISO Reference'!$C$25</f>
        <v>125</v>
      </c>
      <c r="L1937" s="12">
        <f>'01-Process Controls'!$G$5</f>
        <v>3</v>
      </c>
      <c r="M1937" s="12">
        <f>ROUNDDOWN(MIN(J1937,K1937*'04-Variant Rules'!$D$56),0)</f>
        <v>83</v>
      </c>
      <c r="N1937" s="12">
        <f>ROUNDDOWN(M1937/'04-Variant Rules'!$D$56,0)</f>
        <v>124</v>
      </c>
      <c r="O1937" s="9">
        <v>51</v>
      </c>
    </row>
    <row r="1938" spans="1:15" ht="21" customHeight="1">
      <c r="A1938" s="9" t="s">
        <v>2256</v>
      </c>
      <c r="B1938" s="12">
        <f>IF(LEFT(H1938,5)="VALID",M1938,"")</f>
        <v>88</v>
      </c>
      <c r="C1938" s="12">
        <f>IF(LEFT(H1938,5)="VALID",N1938,"")</f>
        <v>49</v>
      </c>
      <c r="D1938" s="10" t="s">
        <v>82</v>
      </c>
      <c r="E1938" s="10" t="s">
        <v>2203</v>
      </c>
      <c r="F1938" s="10" t="s">
        <v>251</v>
      </c>
      <c r="G1938" s="10" t="s">
        <v>252</v>
      </c>
      <c r="H1938" s="11" t="str">
        <f>IF(OR(M1938&lt;=0,N1938&lt;=0),"SKIPPED - NONPOSITIVE",IF(OR(M1938&lt;L1938,N1938&lt;L1938),"SKIPPED - BELOW MIN",IF(OR(M1938&gt;J1938,N1938&gt;K1938),"SKIPPED - EXCEEDS BASE",IF(COUNTIFS($M$1886:M1937,M1938,$N$1886:N1937,N1938)&gt;0,"SKIPPED - DUPLICATE","VALID - GENERATED"))))</f>
        <v>VALID - GENERATED</v>
      </c>
      <c r="I1938" s="10" t="s">
        <v>2204</v>
      </c>
      <c r="J1938" s="12">
        <f>'05-ISO Reference'!$B$25</f>
        <v>88</v>
      </c>
      <c r="K1938" s="12">
        <f>'05-ISO Reference'!$C$25</f>
        <v>125</v>
      </c>
      <c r="L1938" s="12">
        <f>'01-Process Controls'!$G$5</f>
        <v>3</v>
      </c>
      <c r="M1938" s="12">
        <f>ROUNDDOWN(MIN(J1938,K1938*'04-Variant Rules'!$D$57),0)</f>
        <v>88</v>
      </c>
      <c r="N1938" s="12">
        <f>ROUNDDOWN(M1938/'04-Variant Rules'!$D$57,0)</f>
        <v>49</v>
      </c>
      <c r="O1938" s="9">
        <v>52</v>
      </c>
    </row>
    <row r="1939" spans="1:15" ht="21" customHeight="1">
      <c r="A1939" s="9" t="s">
        <v>2257</v>
      </c>
      <c r="B1939" s="12">
        <f>IF(LEFT(H1939,5)="VALID",M1939,"")</f>
        <v>70</v>
      </c>
      <c r="C1939" s="12">
        <f>IF(LEFT(H1939,5)="VALID",N1939,"")</f>
        <v>124</v>
      </c>
      <c r="D1939" s="10" t="s">
        <v>82</v>
      </c>
      <c r="E1939" s="10" t="s">
        <v>2203</v>
      </c>
      <c r="F1939" s="10" t="s">
        <v>254</v>
      </c>
      <c r="G1939" s="10" t="s">
        <v>255</v>
      </c>
      <c r="H1939" s="11" t="str">
        <f>IF(OR(M1939&lt;=0,N1939&lt;=0),"SKIPPED - NONPOSITIVE",IF(OR(M1939&lt;L1939,N1939&lt;L1939),"SKIPPED - BELOW MIN",IF(OR(M1939&gt;J1939,N1939&gt;K1939),"SKIPPED - EXCEEDS BASE",IF(COUNTIFS($M$1886:M1938,M1939,$N$1886:N1938,N1939)&gt;0,"SKIPPED - DUPLICATE","VALID - GENERATED"))))</f>
        <v>VALID - GENERATED</v>
      </c>
      <c r="I1939" s="10" t="s">
        <v>2204</v>
      </c>
      <c r="J1939" s="12">
        <f>'05-ISO Reference'!$B$25</f>
        <v>88</v>
      </c>
      <c r="K1939" s="12">
        <f>'05-ISO Reference'!$C$25</f>
        <v>125</v>
      </c>
      <c r="L1939" s="12">
        <f>'01-Process Controls'!$G$5</f>
        <v>3</v>
      </c>
      <c r="M1939" s="12">
        <f>ROUNDDOWN(MIN(J1939,K1939*'04-Variant Rules'!$D$58),0)</f>
        <v>70</v>
      </c>
      <c r="N1939" s="12">
        <f>ROUNDDOWN(M1939/'04-Variant Rules'!$D$58,0)</f>
        <v>124</v>
      </c>
      <c r="O1939" s="9">
        <v>53</v>
      </c>
    </row>
    <row r="1940" spans="1:15" ht="21" customHeight="1">
      <c r="A1940" s="9" t="s">
        <v>2258</v>
      </c>
      <c r="B1940" s="12">
        <f>IF(LEFT(H1940,5)="VALID",M1940,"")</f>
        <v>88</v>
      </c>
      <c r="C1940" s="12">
        <f>IF(LEFT(H1940,5)="VALID",N1940,"")</f>
        <v>44</v>
      </c>
      <c r="D1940" s="10" t="s">
        <v>82</v>
      </c>
      <c r="E1940" s="10" t="s">
        <v>2203</v>
      </c>
      <c r="F1940" s="10" t="s">
        <v>257</v>
      </c>
      <c r="G1940" s="10" t="s">
        <v>258</v>
      </c>
      <c r="H1940" s="11" t="str">
        <f>IF(OR(M1940&lt;=0,N1940&lt;=0),"SKIPPED - NONPOSITIVE",IF(OR(M1940&lt;L1940,N1940&lt;L1940),"SKIPPED - BELOW MIN",IF(OR(M1940&gt;J1940,N1940&gt;K1940),"SKIPPED - EXCEEDS BASE",IF(COUNTIFS($M$1886:M1939,M1940,$N$1886:N1939,N1940)&gt;0,"SKIPPED - DUPLICATE","VALID - GENERATED"))))</f>
        <v>VALID - GENERATED</v>
      </c>
      <c r="I1940" s="10" t="s">
        <v>2204</v>
      </c>
      <c r="J1940" s="12">
        <f>'05-ISO Reference'!$B$25</f>
        <v>88</v>
      </c>
      <c r="K1940" s="12">
        <f>'05-ISO Reference'!$C$25</f>
        <v>125</v>
      </c>
      <c r="L1940" s="12">
        <f>'01-Process Controls'!$G$5</f>
        <v>3</v>
      </c>
      <c r="M1940" s="12">
        <f>ROUNDDOWN(MIN(J1940,K1940*'04-Variant Rules'!$D$59),0)</f>
        <v>88</v>
      </c>
      <c r="N1940" s="12">
        <f>ROUNDDOWN(M1940/'04-Variant Rules'!$D$59,0)</f>
        <v>44</v>
      </c>
      <c r="O1940" s="9">
        <v>54</v>
      </c>
    </row>
    <row r="1941" spans="1:15" ht="21" customHeight="1">
      <c r="A1941" s="9" t="s">
        <v>2259</v>
      </c>
      <c r="B1941" s="12">
        <f>IF(LEFT(H1941,5)="VALID",M1941,"")</f>
        <v>62</v>
      </c>
      <c r="C1941" s="12">
        <f>IF(LEFT(H1941,5)="VALID",N1941,"")</f>
        <v>124</v>
      </c>
      <c r="D1941" s="10" t="s">
        <v>82</v>
      </c>
      <c r="E1941" s="10" t="s">
        <v>2203</v>
      </c>
      <c r="F1941" s="10" t="s">
        <v>260</v>
      </c>
      <c r="G1941" s="10" t="s">
        <v>261</v>
      </c>
      <c r="H1941" s="11" t="str">
        <f>IF(OR(M1941&lt;=0,N1941&lt;=0),"SKIPPED - NONPOSITIVE",IF(OR(M1941&lt;L1941,N1941&lt;L1941),"SKIPPED - BELOW MIN",IF(OR(M1941&gt;J1941,N1941&gt;K1941),"SKIPPED - EXCEEDS BASE",IF(COUNTIFS($M$1886:M1940,M1941,$N$1886:N1940,N1941)&gt;0,"SKIPPED - DUPLICATE","VALID - GENERATED"))))</f>
        <v>VALID - GENERATED</v>
      </c>
      <c r="I1941" s="10" t="s">
        <v>2204</v>
      </c>
      <c r="J1941" s="12">
        <f>'05-ISO Reference'!$B$25</f>
        <v>88</v>
      </c>
      <c r="K1941" s="12">
        <f>'05-ISO Reference'!$C$25</f>
        <v>125</v>
      </c>
      <c r="L1941" s="12">
        <f>'01-Process Controls'!$G$5</f>
        <v>3</v>
      </c>
      <c r="M1941" s="12">
        <f>ROUNDDOWN(MIN(J1941,K1941*'04-Variant Rules'!$D$60),0)</f>
        <v>62</v>
      </c>
      <c r="N1941" s="12">
        <f>ROUNDDOWN(M1941/'04-Variant Rules'!$D$60,0)</f>
        <v>124</v>
      </c>
      <c r="O1941" s="9">
        <v>55</v>
      </c>
    </row>
    <row r="1942" spans="1:15" ht="21" customHeight="1">
      <c r="A1942" s="9" t="s">
        <v>2260</v>
      </c>
      <c r="B1942" s="48"/>
      <c r="C1942" s="48"/>
      <c r="D1942" s="10" t="s">
        <v>263</v>
      </c>
      <c r="E1942" s="10" t="s">
        <v>2261</v>
      </c>
      <c r="F1942" s="10" t="s">
        <v>265</v>
      </c>
      <c r="G1942" s="10" t="s">
        <v>266</v>
      </c>
      <c r="H1942" s="11" t="str">
        <f>IF(AND(B1942="",C1942=""),"CUSTOM BLANK",IF(OR(B1942="",C1942=""),"ERROR - ENTER BOTH",IF(OR(B1942&lt;=0,C1942&lt;=0),"ERROR - NONPOSITIVE",IF(OR(B1942&lt;L1942,C1942&lt;L1942),"ERROR - BELOW MIN",IF(OR(AND(B1942&lt;=J1942,C1942&lt;=K1942),AND(B1942&lt;=K1942,C1942&lt;=J1942)),"VALID - CUSTOM","ERROR - EXCEEDS BASE")))))</f>
        <v>CUSTOM BLANK</v>
      </c>
      <c r="I1942" s="10" t="s">
        <v>267</v>
      </c>
      <c r="J1942" s="12">
        <f>'05-ISO Reference'!$B$25</f>
        <v>88</v>
      </c>
      <c r="K1942" s="12">
        <f>'05-ISO Reference'!$C$25</f>
        <v>125</v>
      </c>
      <c r="L1942" s="12">
        <f>'01-Process Controls'!$G$5</f>
        <v>3</v>
      </c>
      <c r="M1942" s="8"/>
      <c r="N1942" s="8"/>
    </row>
    <row r="1943" spans="1:15" ht="21" customHeight="1">
      <c r="A1943" s="9" t="s">
        <v>2262</v>
      </c>
      <c r="B1943" s="48"/>
      <c r="C1943" s="48"/>
      <c r="D1943" s="10" t="s">
        <v>263</v>
      </c>
      <c r="E1943" s="10" t="s">
        <v>2261</v>
      </c>
      <c r="F1943" s="10" t="s">
        <v>265</v>
      </c>
      <c r="G1943" s="10" t="s">
        <v>266</v>
      </c>
      <c r="H1943" s="11" t="str">
        <f>IF(AND(B1943="",C1943=""),"CUSTOM BLANK",IF(OR(B1943="",C1943=""),"ERROR - ENTER BOTH",IF(OR(B1943&lt;=0,C1943&lt;=0),"ERROR - NONPOSITIVE",IF(OR(B1943&lt;L1943,C1943&lt;L1943),"ERROR - BELOW MIN",IF(OR(AND(B1943&lt;=J1943,C1943&lt;=K1943),AND(B1943&lt;=K1943,C1943&lt;=J1943)),"VALID - CUSTOM","ERROR - EXCEEDS BASE")))))</f>
        <v>CUSTOM BLANK</v>
      </c>
      <c r="I1943" s="10" t="s">
        <v>267</v>
      </c>
      <c r="J1943" s="12">
        <f>'05-ISO Reference'!$B$25</f>
        <v>88</v>
      </c>
      <c r="K1943" s="12">
        <f>'05-ISO Reference'!$C$25</f>
        <v>125</v>
      </c>
      <c r="L1943" s="12">
        <f>'01-Process Controls'!$G$5</f>
        <v>3</v>
      </c>
      <c r="M1943" s="8"/>
      <c r="N1943" s="8"/>
    </row>
    <row r="1944" spans="1:15" ht="21" customHeight="1">
      <c r="A1944" s="9" t="s">
        <v>2263</v>
      </c>
      <c r="B1944" s="48"/>
      <c r="C1944" s="48"/>
      <c r="D1944" s="10" t="s">
        <v>263</v>
      </c>
      <c r="E1944" s="10" t="s">
        <v>2261</v>
      </c>
      <c r="F1944" s="10" t="s">
        <v>265</v>
      </c>
      <c r="G1944" s="10" t="s">
        <v>266</v>
      </c>
      <c r="H1944" s="11" t="str">
        <f>IF(AND(B1944="",C1944=""),"CUSTOM BLANK",IF(OR(B1944="",C1944=""),"ERROR - ENTER BOTH",IF(OR(B1944&lt;=0,C1944&lt;=0),"ERROR - NONPOSITIVE",IF(OR(B1944&lt;L1944,C1944&lt;L1944),"ERROR - BELOW MIN",IF(OR(AND(B1944&lt;=J1944,C1944&lt;=K1944),AND(B1944&lt;=K1944,C1944&lt;=J1944)),"VALID - CUSTOM","ERROR - EXCEEDS BASE")))))</f>
        <v>CUSTOM BLANK</v>
      </c>
      <c r="I1944" s="10" t="s">
        <v>267</v>
      </c>
      <c r="J1944" s="12">
        <f>'05-ISO Reference'!$B$25</f>
        <v>88</v>
      </c>
      <c r="K1944" s="12">
        <f>'05-ISO Reference'!$C$25</f>
        <v>125</v>
      </c>
      <c r="L1944" s="12">
        <f>'01-Process Controls'!$G$5</f>
        <v>3</v>
      </c>
      <c r="M1944" s="8"/>
      <c r="N1944" s="8"/>
    </row>
    <row r="1945" spans="1:15" ht="21" customHeight="1">
      <c r="A1945" s="9" t="s">
        <v>2264</v>
      </c>
      <c r="B1945" s="48"/>
      <c r="C1945" s="48"/>
      <c r="D1945" s="10" t="s">
        <v>263</v>
      </c>
      <c r="E1945" s="10" t="s">
        <v>2261</v>
      </c>
      <c r="F1945" s="10" t="s">
        <v>265</v>
      </c>
      <c r="G1945" s="10" t="s">
        <v>266</v>
      </c>
      <c r="H1945" s="11" t="str">
        <f>IF(AND(B1945="",C1945=""),"CUSTOM BLANK",IF(OR(B1945="",C1945=""),"ERROR - ENTER BOTH",IF(OR(B1945&lt;=0,C1945&lt;=0),"ERROR - NONPOSITIVE",IF(OR(B1945&lt;L1945,C1945&lt;L1945),"ERROR - BELOW MIN",IF(OR(AND(B1945&lt;=J1945,C1945&lt;=K1945),AND(B1945&lt;=K1945,C1945&lt;=J1945)),"VALID - CUSTOM","ERROR - EXCEEDS BASE")))))</f>
        <v>CUSTOM BLANK</v>
      </c>
      <c r="I1945" s="10" t="s">
        <v>267</v>
      </c>
      <c r="J1945" s="12">
        <f>'05-ISO Reference'!$B$25</f>
        <v>88</v>
      </c>
      <c r="K1945" s="12">
        <f>'05-ISO Reference'!$C$25</f>
        <v>125</v>
      </c>
      <c r="L1945" s="12">
        <f>'01-Process Controls'!$G$5</f>
        <v>3</v>
      </c>
      <c r="M1945" s="8"/>
      <c r="N1945" s="8"/>
    </row>
    <row r="1946" spans="1:15" ht="21" customHeight="1">
      <c r="A1946" s="9" t="s">
        <v>2265</v>
      </c>
      <c r="B1946" s="48"/>
      <c r="C1946" s="48"/>
      <c r="D1946" s="10" t="s">
        <v>263</v>
      </c>
      <c r="E1946" s="10" t="s">
        <v>2261</v>
      </c>
      <c r="F1946" s="10" t="s">
        <v>265</v>
      </c>
      <c r="G1946" s="10" t="s">
        <v>266</v>
      </c>
      <c r="H1946" s="11" t="str">
        <f>IF(AND(B1946="",C1946=""),"CUSTOM BLANK",IF(OR(B1946="",C1946=""),"ERROR - ENTER BOTH",IF(OR(B1946&lt;=0,C1946&lt;=0),"ERROR - NONPOSITIVE",IF(OR(B1946&lt;L1946,C1946&lt;L1946),"ERROR - BELOW MIN",IF(OR(AND(B1946&lt;=J1946,C1946&lt;=K1946),AND(B1946&lt;=K1946,C1946&lt;=J1946)),"VALID - CUSTOM","ERROR - EXCEEDS BASE")))))</f>
        <v>CUSTOM BLANK</v>
      </c>
      <c r="I1946" s="10" t="s">
        <v>267</v>
      </c>
      <c r="J1946" s="12">
        <f>'05-ISO Reference'!$B$25</f>
        <v>88</v>
      </c>
      <c r="K1946" s="12">
        <f>'05-ISO Reference'!$C$25</f>
        <v>125</v>
      </c>
      <c r="L1946" s="12">
        <f>'01-Process Controls'!$G$5</f>
        <v>3</v>
      </c>
      <c r="M1946" s="8"/>
      <c r="N1946" s="8"/>
    </row>
    <row r="1947" spans="1:15" ht="21" customHeight="1">
      <c r="A1947" s="9" t="s">
        <v>2266</v>
      </c>
      <c r="B1947" s="48"/>
      <c r="C1947" s="48"/>
      <c r="D1947" s="10" t="s">
        <v>263</v>
      </c>
      <c r="E1947" s="10" t="s">
        <v>2261</v>
      </c>
      <c r="F1947" s="10" t="s">
        <v>265</v>
      </c>
      <c r="G1947" s="10" t="s">
        <v>266</v>
      </c>
      <c r="H1947" s="11" t="str">
        <f>IF(AND(B1947="",C1947=""),"CUSTOM BLANK",IF(OR(B1947="",C1947=""),"ERROR - ENTER BOTH",IF(OR(B1947&lt;=0,C1947&lt;=0),"ERROR - NONPOSITIVE",IF(OR(B1947&lt;L1947,C1947&lt;L1947),"ERROR - BELOW MIN",IF(OR(AND(B1947&lt;=J1947,C1947&lt;=K1947),AND(B1947&lt;=K1947,C1947&lt;=J1947)),"VALID - CUSTOM","ERROR - EXCEEDS BASE")))))</f>
        <v>CUSTOM BLANK</v>
      </c>
      <c r="I1947" s="10" t="s">
        <v>267</v>
      </c>
      <c r="J1947" s="12">
        <f>'05-ISO Reference'!$B$25</f>
        <v>88</v>
      </c>
      <c r="K1947" s="12">
        <f>'05-ISO Reference'!$C$25</f>
        <v>125</v>
      </c>
      <c r="L1947" s="12">
        <f>'01-Process Controls'!$G$5</f>
        <v>3</v>
      </c>
      <c r="M1947" s="8"/>
      <c r="N1947" s="8"/>
    </row>
    <row r="1948" spans="1:15" ht="21" customHeight="1">
      <c r="A1948" s="9" t="s">
        <v>2267</v>
      </c>
      <c r="B1948" s="48"/>
      <c r="C1948" s="48"/>
      <c r="D1948" s="10" t="s">
        <v>263</v>
      </c>
      <c r="E1948" s="10" t="s">
        <v>2261</v>
      </c>
      <c r="F1948" s="10" t="s">
        <v>265</v>
      </c>
      <c r="G1948" s="10" t="s">
        <v>266</v>
      </c>
      <c r="H1948" s="11" t="str">
        <f>IF(AND(B1948="",C1948=""),"CUSTOM BLANK",IF(OR(B1948="",C1948=""),"ERROR - ENTER BOTH",IF(OR(B1948&lt;=0,C1948&lt;=0),"ERROR - NONPOSITIVE",IF(OR(B1948&lt;L1948,C1948&lt;L1948),"ERROR - BELOW MIN",IF(OR(AND(B1948&lt;=J1948,C1948&lt;=K1948),AND(B1948&lt;=K1948,C1948&lt;=J1948)),"VALID - CUSTOM","ERROR - EXCEEDS BASE")))))</f>
        <v>CUSTOM BLANK</v>
      </c>
      <c r="I1948" s="10" t="s">
        <v>267</v>
      </c>
      <c r="J1948" s="12">
        <f>'05-ISO Reference'!$B$25</f>
        <v>88</v>
      </c>
      <c r="K1948" s="12">
        <f>'05-ISO Reference'!$C$25</f>
        <v>125</v>
      </c>
      <c r="L1948" s="12">
        <f>'01-Process Controls'!$G$5</f>
        <v>3</v>
      </c>
      <c r="M1948" s="8"/>
      <c r="N1948" s="8"/>
    </row>
    <row r="1949" spans="1:15" ht="21" customHeight="1">
      <c r="A1949" s="9" t="s">
        <v>2268</v>
      </c>
      <c r="B1949" s="48"/>
      <c r="C1949" s="48"/>
      <c r="D1949" s="10" t="s">
        <v>263</v>
      </c>
      <c r="E1949" s="10" t="s">
        <v>2261</v>
      </c>
      <c r="F1949" s="10" t="s">
        <v>265</v>
      </c>
      <c r="G1949" s="10" t="s">
        <v>266</v>
      </c>
      <c r="H1949" s="11" t="str">
        <f>IF(AND(B1949="",C1949=""),"CUSTOM BLANK",IF(OR(B1949="",C1949=""),"ERROR - ENTER BOTH",IF(OR(B1949&lt;=0,C1949&lt;=0),"ERROR - NONPOSITIVE",IF(OR(B1949&lt;L1949,C1949&lt;L1949),"ERROR - BELOW MIN",IF(OR(AND(B1949&lt;=J1949,C1949&lt;=K1949),AND(B1949&lt;=K1949,C1949&lt;=J1949)),"VALID - CUSTOM","ERROR - EXCEEDS BASE")))))</f>
        <v>CUSTOM BLANK</v>
      </c>
      <c r="I1949" s="10" t="s">
        <v>267</v>
      </c>
      <c r="J1949" s="12">
        <f>'05-ISO Reference'!$B$25</f>
        <v>88</v>
      </c>
      <c r="K1949" s="12">
        <f>'05-ISO Reference'!$C$25</f>
        <v>125</v>
      </c>
      <c r="L1949" s="12">
        <f>'01-Process Controls'!$G$5</f>
        <v>3</v>
      </c>
      <c r="M1949" s="8"/>
      <c r="N1949" s="8"/>
    </row>
    <row r="1950" spans="1:15" ht="21" customHeight="1">
      <c r="A1950" s="9" t="s">
        <v>2269</v>
      </c>
      <c r="B1950" s="48"/>
      <c r="C1950" s="48"/>
      <c r="D1950" s="10" t="s">
        <v>263</v>
      </c>
      <c r="E1950" s="10" t="s">
        <v>2261</v>
      </c>
      <c r="F1950" s="10" t="s">
        <v>265</v>
      </c>
      <c r="G1950" s="10" t="s">
        <v>266</v>
      </c>
      <c r="H1950" s="11" t="str">
        <f>IF(AND(B1950="",C1950=""),"CUSTOM BLANK",IF(OR(B1950="",C1950=""),"ERROR - ENTER BOTH",IF(OR(B1950&lt;=0,C1950&lt;=0),"ERROR - NONPOSITIVE",IF(OR(B1950&lt;L1950,C1950&lt;L1950),"ERROR - BELOW MIN",IF(OR(AND(B1950&lt;=J1950,C1950&lt;=K1950),AND(B1950&lt;=K1950,C1950&lt;=J1950)),"VALID - CUSTOM","ERROR - EXCEEDS BASE")))))</f>
        <v>CUSTOM BLANK</v>
      </c>
      <c r="I1950" s="10" t="s">
        <v>267</v>
      </c>
      <c r="J1950" s="12">
        <f>'05-ISO Reference'!$B$25</f>
        <v>88</v>
      </c>
      <c r="K1950" s="12">
        <f>'05-ISO Reference'!$C$25</f>
        <v>125</v>
      </c>
      <c r="L1950" s="12">
        <f>'01-Process Controls'!$G$5</f>
        <v>3</v>
      </c>
      <c r="M1950" s="8"/>
      <c r="N1950" s="8"/>
    </row>
    <row r="1951" spans="1:15" ht="21" customHeight="1">
      <c r="A1951" s="9" t="s">
        <v>2270</v>
      </c>
      <c r="B1951" s="48"/>
      <c r="C1951" s="48"/>
      <c r="D1951" s="10" t="s">
        <v>263</v>
      </c>
      <c r="E1951" s="10" t="s">
        <v>2261</v>
      </c>
      <c r="F1951" s="10" t="s">
        <v>265</v>
      </c>
      <c r="G1951" s="10" t="s">
        <v>266</v>
      </c>
      <c r="H1951" s="11" t="str">
        <f>IF(AND(B1951="",C1951=""),"CUSTOM BLANK",IF(OR(B1951="",C1951=""),"ERROR - ENTER BOTH",IF(OR(B1951&lt;=0,C1951&lt;=0),"ERROR - NONPOSITIVE",IF(OR(B1951&lt;L1951,C1951&lt;L1951),"ERROR - BELOW MIN",IF(OR(AND(B1951&lt;=J1951,C1951&lt;=K1951),AND(B1951&lt;=K1951,C1951&lt;=J1951)),"VALID - CUSTOM","ERROR - EXCEEDS BASE")))))</f>
        <v>CUSTOM BLANK</v>
      </c>
      <c r="I1951" s="10" t="s">
        <v>267</v>
      </c>
      <c r="J1951" s="12">
        <f>'05-ISO Reference'!$B$25</f>
        <v>88</v>
      </c>
      <c r="K1951" s="12">
        <f>'05-ISO Reference'!$C$25</f>
        <v>125</v>
      </c>
      <c r="L1951" s="12">
        <f>'01-Process Controls'!$G$5</f>
        <v>3</v>
      </c>
      <c r="M1951" s="8"/>
      <c r="N1951" s="8"/>
    </row>
    <row r="1952" spans="1:15" ht="21" customHeight="1">
      <c r="A1952" s="9" t="s">
        <v>2271</v>
      </c>
      <c r="B1952" s="48"/>
      <c r="C1952" s="48"/>
      <c r="D1952" s="10" t="s">
        <v>263</v>
      </c>
      <c r="E1952" s="10" t="s">
        <v>2261</v>
      </c>
      <c r="F1952" s="10" t="s">
        <v>265</v>
      </c>
      <c r="G1952" s="10" t="s">
        <v>266</v>
      </c>
      <c r="H1952" s="11" t="str">
        <f>IF(AND(B1952="",C1952=""),"CUSTOM BLANK",IF(OR(B1952="",C1952=""),"ERROR - ENTER BOTH",IF(OR(B1952&lt;=0,C1952&lt;=0),"ERROR - NONPOSITIVE",IF(OR(B1952&lt;L1952,C1952&lt;L1952),"ERROR - BELOW MIN",IF(OR(AND(B1952&lt;=J1952,C1952&lt;=K1952),AND(B1952&lt;=K1952,C1952&lt;=J1952)),"VALID - CUSTOM","ERROR - EXCEEDS BASE")))))</f>
        <v>CUSTOM BLANK</v>
      </c>
      <c r="I1952" s="10" t="s">
        <v>267</v>
      </c>
      <c r="J1952" s="12">
        <f>'05-ISO Reference'!$B$25</f>
        <v>88</v>
      </c>
      <c r="K1952" s="12">
        <f>'05-ISO Reference'!$C$25</f>
        <v>125</v>
      </c>
      <c r="L1952" s="12">
        <f>'01-Process Controls'!$G$5</f>
        <v>3</v>
      </c>
      <c r="M1952" s="8"/>
      <c r="N1952" s="8"/>
    </row>
    <row r="1953" spans="1:15" ht="21" customHeight="1">
      <c r="A1953" s="9" t="s">
        <v>2272</v>
      </c>
      <c r="B1953" s="48"/>
      <c r="C1953" s="48"/>
      <c r="D1953" s="10" t="s">
        <v>263</v>
      </c>
      <c r="E1953" s="10" t="s">
        <v>2261</v>
      </c>
      <c r="F1953" s="10" t="s">
        <v>265</v>
      </c>
      <c r="G1953" s="10" t="s">
        <v>266</v>
      </c>
      <c r="H1953" s="11" t="str">
        <f>IF(AND(B1953="",C1953=""),"CUSTOM BLANK",IF(OR(B1953="",C1953=""),"ERROR - ENTER BOTH",IF(OR(B1953&lt;=0,C1953&lt;=0),"ERROR - NONPOSITIVE",IF(OR(B1953&lt;L1953,C1953&lt;L1953),"ERROR - BELOW MIN",IF(OR(AND(B1953&lt;=J1953,C1953&lt;=K1953),AND(B1953&lt;=K1953,C1953&lt;=J1953)),"VALID - CUSTOM","ERROR - EXCEEDS BASE")))))</f>
        <v>CUSTOM BLANK</v>
      </c>
      <c r="I1953" s="10" t="s">
        <v>267</v>
      </c>
      <c r="J1953" s="12">
        <f>'05-ISO Reference'!$B$25</f>
        <v>88</v>
      </c>
      <c r="K1953" s="12">
        <f>'05-ISO Reference'!$C$25</f>
        <v>125</v>
      </c>
      <c r="L1953" s="12">
        <f>'01-Process Controls'!$G$5</f>
        <v>3</v>
      </c>
      <c r="M1953" s="8"/>
      <c r="N1953" s="8"/>
    </row>
    <row r="1954" spans="1:15" ht="21" customHeight="1">
      <c r="A1954" s="9" t="s">
        <v>2273</v>
      </c>
      <c r="B1954" s="48"/>
      <c r="C1954" s="48"/>
      <c r="D1954" s="10" t="s">
        <v>263</v>
      </c>
      <c r="E1954" s="10" t="s">
        <v>2261</v>
      </c>
      <c r="F1954" s="10" t="s">
        <v>265</v>
      </c>
      <c r="G1954" s="10" t="s">
        <v>266</v>
      </c>
      <c r="H1954" s="11" t="str">
        <f>IF(AND(B1954="",C1954=""),"CUSTOM BLANK",IF(OR(B1954="",C1954=""),"ERROR - ENTER BOTH",IF(OR(B1954&lt;=0,C1954&lt;=0),"ERROR - NONPOSITIVE",IF(OR(B1954&lt;L1954,C1954&lt;L1954),"ERROR - BELOW MIN",IF(OR(AND(B1954&lt;=J1954,C1954&lt;=K1954),AND(B1954&lt;=K1954,C1954&lt;=J1954)),"VALID - CUSTOM","ERROR - EXCEEDS BASE")))))</f>
        <v>CUSTOM BLANK</v>
      </c>
      <c r="I1954" s="10" t="s">
        <v>267</v>
      </c>
      <c r="J1954" s="12">
        <f>'05-ISO Reference'!$B$25</f>
        <v>88</v>
      </c>
      <c r="K1954" s="12">
        <f>'05-ISO Reference'!$C$25</f>
        <v>125</v>
      </c>
      <c r="L1954" s="12">
        <f>'01-Process Controls'!$G$5</f>
        <v>3</v>
      </c>
      <c r="M1954" s="8"/>
      <c r="N1954" s="8"/>
    </row>
    <row r="1955" spans="1:15" ht="21" customHeight="1">
      <c r="A1955" s="9" t="s">
        <v>2274</v>
      </c>
      <c r="B1955" s="48"/>
      <c r="C1955" s="48"/>
      <c r="D1955" s="10" t="s">
        <v>263</v>
      </c>
      <c r="E1955" s="10" t="s">
        <v>2261</v>
      </c>
      <c r="F1955" s="10" t="s">
        <v>265</v>
      </c>
      <c r="G1955" s="10" t="s">
        <v>266</v>
      </c>
      <c r="H1955" s="11" t="str">
        <f>IF(AND(B1955="",C1955=""),"CUSTOM BLANK",IF(OR(B1955="",C1955=""),"ERROR - ENTER BOTH",IF(OR(B1955&lt;=0,C1955&lt;=0),"ERROR - NONPOSITIVE",IF(OR(B1955&lt;L1955,C1955&lt;L1955),"ERROR - BELOW MIN",IF(OR(AND(B1955&lt;=J1955,C1955&lt;=K1955),AND(B1955&lt;=K1955,C1955&lt;=J1955)),"VALID - CUSTOM","ERROR - EXCEEDS BASE")))))</f>
        <v>CUSTOM BLANK</v>
      </c>
      <c r="I1955" s="10" t="s">
        <v>267</v>
      </c>
      <c r="J1955" s="12">
        <f>'05-ISO Reference'!$B$25</f>
        <v>88</v>
      </c>
      <c r="K1955" s="12">
        <f>'05-ISO Reference'!$C$25</f>
        <v>125</v>
      </c>
      <c r="L1955" s="12">
        <f>'01-Process Controls'!$G$5</f>
        <v>3</v>
      </c>
      <c r="M1955" s="8"/>
      <c r="N1955" s="8"/>
    </row>
    <row r="1956" spans="1:15" ht="21" customHeight="1">
      <c r="A1956" s="9" t="s">
        <v>2275</v>
      </c>
      <c r="B1956" s="48"/>
      <c r="C1956" s="48"/>
      <c r="D1956" s="10" t="s">
        <v>263</v>
      </c>
      <c r="E1956" s="10" t="s">
        <v>2261</v>
      </c>
      <c r="F1956" s="10" t="s">
        <v>265</v>
      </c>
      <c r="G1956" s="10" t="s">
        <v>266</v>
      </c>
      <c r="H1956" s="11" t="str">
        <f>IF(AND(B1956="",C1956=""),"CUSTOM BLANK",IF(OR(B1956="",C1956=""),"ERROR - ENTER BOTH",IF(OR(B1956&lt;=0,C1956&lt;=0),"ERROR - NONPOSITIVE",IF(OR(B1956&lt;L1956,C1956&lt;L1956),"ERROR - BELOW MIN",IF(OR(AND(B1956&lt;=J1956,C1956&lt;=K1956),AND(B1956&lt;=K1956,C1956&lt;=J1956)),"VALID - CUSTOM","ERROR - EXCEEDS BASE")))))</f>
        <v>CUSTOM BLANK</v>
      </c>
      <c r="I1956" s="10" t="s">
        <v>267</v>
      </c>
      <c r="J1956" s="12">
        <f>'05-ISO Reference'!$B$25</f>
        <v>88</v>
      </c>
      <c r="K1956" s="12">
        <f>'05-ISO Reference'!$C$25</f>
        <v>125</v>
      </c>
      <c r="L1956" s="12">
        <f>'01-Process Controls'!$G$5</f>
        <v>3</v>
      </c>
      <c r="M1956" s="8"/>
      <c r="N1956" s="8"/>
    </row>
    <row r="1957" spans="1:15" ht="21" customHeight="1">
      <c r="A1957" s="44" t="s">
        <v>2276</v>
      </c>
      <c r="B1957" s="45">
        <f>IF(LEFT(H1957,5)="VALID",M1957,"")</f>
        <v>62</v>
      </c>
      <c r="C1957" s="45">
        <f>IF(LEFT(H1957,5)="VALID",N1957,"")</f>
        <v>88</v>
      </c>
      <c r="D1957" s="46" t="s">
        <v>82</v>
      </c>
      <c r="E1957" s="46" t="s">
        <v>2277</v>
      </c>
      <c r="F1957" s="46" t="s">
        <v>122</v>
      </c>
      <c r="G1957" s="46" t="s">
        <v>123</v>
      </c>
      <c r="H1957" s="47" t="str">
        <f>"VALID - BASE"</f>
        <v>VALID - BASE</v>
      </c>
      <c r="I1957" s="46" t="s">
        <v>2278</v>
      </c>
      <c r="J1957" s="12">
        <f>'05-ISO Reference'!$B$26</f>
        <v>62</v>
      </c>
      <c r="K1957" s="12">
        <f>'05-ISO Reference'!$C$26</f>
        <v>88</v>
      </c>
      <c r="L1957" s="12">
        <f>'01-Process Controls'!$G$5</f>
        <v>3</v>
      </c>
      <c r="M1957" s="12">
        <f>ROUNDDOWN(J1957,0)</f>
        <v>62</v>
      </c>
      <c r="N1957" s="12">
        <f>ROUNDDOWN(K1957,0)</f>
        <v>88</v>
      </c>
      <c r="O1957" s="9">
        <v>0</v>
      </c>
    </row>
    <row r="1958" spans="1:15" ht="21" customHeight="1">
      <c r="A1958" s="9" t="s">
        <v>2279</v>
      </c>
      <c r="B1958" s="12">
        <f>IF(LEFT(H1958,5)="VALID",M1958,"")</f>
        <v>31</v>
      </c>
      <c r="C1958" s="12">
        <f>IF(LEFT(H1958,5)="VALID",N1958,"")</f>
        <v>88</v>
      </c>
      <c r="D1958" s="10" t="s">
        <v>82</v>
      </c>
      <c r="E1958" s="10" t="s">
        <v>2277</v>
      </c>
      <c r="F1958" s="10" t="s">
        <v>126</v>
      </c>
      <c r="G1958" s="10" t="s">
        <v>127</v>
      </c>
      <c r="H1958" s="11" t="str">
        <f>IF(OR(M1958&lt;=0,N1958&lt;=0),"SKIPPED - NONPOSITIVE",IF(OR(M1958&lt;L1958,N1958&lt;L1958),"SKIPPED - BELOW MIN",IF(OR(M1958&gt;J1958,N1958&gt;K1958),"SKIPPED - EXCEEDS BASE",IF(COUNTIFS($M$1957:M1957,M1958,$N$1957:N1957,N1958)&gt;0,"SKIPPED - DUPLICATE","VALID - GENERATED"))))</f>
        <v>VALID - GENERATED</v>
      </c>
      <c r="I1958" s="10" t="s">
        <v>2278</v>
      </c>
      <c r="J1958" s="12">
        <f>'05-ISO Reference'!$B$26</f>
        <v>62</v>
      </c>
      <c r="K1958" s="12">
        <f>'05-ISO Reference'!$C$26</f>
        <v>88</v>
      </c>
      <c r="L1958" s="12">
        <f>'01-Process Controls'!$G$5</f>
        <v>3</v>
      </c>
      <c r="M1958" s="12">
        <f>ROUNDDOWN(J1958*'04-Variant Rules'!$D$6,0)</f>
        <v>31</v>
      </c>
      <c r="N1958" s="12">
        <f>ROUNDDOWN(K1958,0)</f>
        <v>88</v>
      </c>
      <c r="O1958" s="9">
        <v>1</v>
      </c>
    </row>
    <row r="1959" spans="1:15" ht="21" customHeight="1">
      <c r="A1959" s="9" t="s">
        <v>2280</v>
      </c>
      <c r="B1959" s="12">
        <f>IF(LEFT(H1959,5)="VALID",M1959,"")</f>
        <v>20</v>
      </c>
      <c r="C1959" s="12">
        <f>IF(LEFT(H1959,5)="VALID",N1959,"")</f>
        <v>88</v>
      </c>
      <c r="D1959" s="10" t="s">
        <v>82</v>
      </c>
      <c r="E1959" s="10" t="s">
        <v>2277</v>
      </c>
      <c r="F1959" s="10" t="s">
        <v>129</v>
      </c>
      <c r="G1959" s="10" t="s">
        <v>130</v>
      </c>
      <c r="H1959" s="11" t="str">
        <f>IF(OR(M1959&lt;=0,N1959&lt;=0),"SKIPPED - NONPOSITIVE",IF(OR(M1959&lt;L1959,N1959&lt;L1959),"SKIPPED - BELOW MIN",IF(OR(M1959&gt;J1959,N1959&gt;K1959),"SKIPPED - EXCEEDS BASE",IF(COUNTIFS($M$1957:M1958,M1959,$N$1957:N1958,N1959)&gt;0,"SKIPPED - DUPLICATE","VALID - GENERATED"))))</f>
        <v>VALID - GENERATED</v>
      </c>
      <c r="I1959" s="10" t="s">
        <v>2278</v>
      </c>
      <c r="J1959" s="12">
        <f>'05-ISO Reference'!$B$26</f>
        <v>62</v>
      </c>
      <c r="K1959" s="12">
        <f>'05-ISO Reference'!$C$26</f>
        <v>88</v>
      </c>
      <c r="L1959" s="12">
        <f>'01-Process Controls'!$G$5</f>
        <v>3</v>
      </c>
      <c r="M1959" s="12">
        <f>ROUNDDOWN(J1959*'04-Variant Rules'!$D$7,0)</f>
        <v>20</v>
      </c>
      <c r="N1959" s="12">
        <f>ROUNDDOWN(K1959,0)</f>
        <v>88</v>
      </c>
      <c r="O1959" s="9">
        <v>2</v>
      </c>
    </row>
    <row r="1960" spans="1:15" ht="21" customHeight="1">
      <c r="A1960" s="9" t="s">
        <v>2281</v>
      </c>
      <c r="B1960" s="12">
        <f>IF(LEFT(H1960,5)="VALID",M1960,"")</f>
        <v>15</v>
      </c>
      <c r="C1960" s="12">
        <f>IF(LEFT(H1960,5)="VALID",N1960,"")</f>
        <v>88</v>
      </c>
      <c r="D1960" s="10" t="s">
        <v>82</v>
      </c>
      <c r="E1960" s="10" t="s">
        <v>2277</v>
      </c>
      <c r="F1960" s="10" t="s">
        <v>132</v>
      </c>
      <c r="G1960" s="10" t="s">
        <v>133</v>
      </c>
      <c r="H1960" s="11" t="str">
        <f>IF(OR(M1960&lt;=0,N1960&lt;=0),"SKIPPED - NONPOSITIVE",IF(OR(M1960&lt;L1960,N1960&lt;L1960),"SKIPPED - BELOW MIN",IF(OR(M1960&gt;J1960,N1960&gt;K1960),"SKIPPED - EXCEEDS BASE",IF(COUNTIFS($M$1957:M1959,M1960,$N$1957:N1959,N1960)&gt;0,"SKIPPED - DUPLICATE","VALID - GENERATED"))))</f>
        <v>VALID - GENERATED</v>
      </c>
      <c r="I1960" s="10" t="s">
        <v>2278</v>
      </c>
      <c r="J1960" s="12">
        <f>'05-ISO Reference'!$B$26</f>
        <v>62</v>
      </c>
      <c r="K1960" s="12">
        <f>'05-ISO Reference'!$C$26</f>
        <v>88</v>
      </c>
      <c r="L1960" s="12">
        <f>'01-Process Controls'!$G$5</f>
        <v>3</v>
      </c>
      <c r="M1960" s="12">
        <f>ROUNDDOWN(J1960*'04-Variant Rules'!$D$8,0)</f>
        <v>15</v>
      </c>
      <c r="N1960" s="12">
        <f>ROUNDDOWN(K1960,0)</f>
        <v>88</v>
      </c>
      <c r="O1960" s="9">
        <v>3</v>
      </c>
    </row>
    <row r="1961" spans="1:15" ht="21" customHeight="1">
      <c r="A1961" s="9" t="s">
        <v>2282</v>
      </c>
      <c r="B1961" s="12">
        <f>IF(LEFT(H1961,5)="VALID",M1961,"")</f>
        <v>41</v>
      </c>
      <c r="C1961" s="12">
        <f>IF(LEFT(H1961,5)="VALID",N1961,"")</f>
        <v>88</v>
      </c>
      <c r="D1961" s="10" t="s">
        <v>82</v>
      </c>
      <c r="E1961" s="10" t="s">
        <v>2277</v>
      </c>
      <c r="F1961" s="10" t="s">
        <v>135</v>
      </c>
      <c r="G1961" s="10" t="s">
        <v>136</v>
      </c>
      <c r="H1961" s="11" t="str">
        <f>IF(OR(M1961&lt;=0,N1961&lt;=0),"SKIPPED - NONPOSITIVE",IF(OR(M1961&lt;L1961,N1961&lt;L1961),"SKIPPED - BELOW MIN",IF(OR(M1961&gt;J1961,N1961&gt;K1961),"SKIPPED - EXCEEDS BASE",IF(COUNTIFS($M$1957:M1960,M1961,$N$1957:N1960,N1961)&gt;0,"SKIPPED - DUPLICATE","VALID - GENERATED"))))</f>
        <v>VALID - GENERATED</v>
      </c>
      <c r="I1961" s="10" t="s">
        <v>2278</v>
      </c>
      <c r="J1961" s="12">
        <f>'05-ISO Reference'!$B$26</f>
        <v>62</v>
      </c>
      <c r="K1961" s="12">
        <f>'05-ISO Reference'!$C$26</f>
        <v>88</v>
      </c>
      <c r="L1961" s="12">
        <f>'01-Process Controls'!$G$5</f>
        <v>3</v>
      </c>
      <c r="M1961" s="12">
        <f>ROUNDDOWN(J1961*'04-Variant Rules'!$D$9,0)</f>
        <v>41</v>
      </c>
      <c r="N1961" s="12">
        <f>ROUNDDOWN(K1961,0)</f>
        <v>88</v>
      </c>
      <c r="O1961" s="9">
        <v>4</v>
      </c>
    </row>
    <row r="1962" spans="1:15" ht="21" customHeight="1">
      <c r="A1962" s="9" t="s">
        <v>2283</v>
      </c>
      <c r="B1962" s="12">
        <f>IF(LEFT(H1962,5)="VALID",M1962,"")</f>
        <v>46</v>
      </c>
      <c r="C1962" s="12">
        <f>IF(LEFT(H1962,5)="VALID",N1962,"")</f>
        <v>88</v>
      </c>
      <c r="D1962" s="10" t="s">
        <v>82</v>
      </c>
      <c r="E1962" s="10" t="s">
        <v>2277</v>
      </c>
      <c r="F1962" s="10" t="s">
        <v>138</v>
      </c>
      <c r="G1962" s="10" t="s">
        <v>139</v>
      </c>
      <c r="H1962" s="11" t="str">
        <f>IF(OR(M1962&lt;=0,N1962&lt;=0),"SKIPPED - NONPOSITIVE",IF(OR(M1962&lt;L1962,N1962&lt;L1962),"SKIPPED - BELOW MIN",IF(OR(M1962&gt;J1962,N1962&gt;K1962),"SKIPPED - EXCEEDS BASE",IF(COUNTIFS($M$1957:M1961,M1962,$N$1957:N1961,N1962)&gt;0,"SKIPPED - DUPLICATE","VALID - GENERATED"))))</f>
        <v>VALID - GENERATED</v>
      </c>
      <c r="I1962" s="10" t="s">
        <v>2278</v>
      </c>
      <c r="J1962" s="12">
        <f>'05-ISO Reference'!$B$26</f>
        <v>62</v>
      </c>
      <c r="K1962" s="12">
        <f>'05-ISO Reference'!$C$26</f>
        <v>88</v>
      </c>
      <c r="L1962" s="12">
        <f>'01-Process Controls'!$G$5</f>
        <v>3</v>
      </c>
      <c r="M1962" s="12">
        <f>ROUNDDOWN(J1962*'04-Variant Rules'!$D$10,0)</f>
        <v>46</v>
      </c>
      <c r="N1962" s="12">
        <f>ROUNDDOWN(K1962,0)</f>
        <v>88</v>
      </c>
      <c r="O1962" s="9">
        <v>5</v>
      </c>
    </row>
    <row r="1963" spans="1:15" ht="21" customHeight="1">
      <c r="A1963" s="9" t="s">
        <v>2284</v>
      </c>
      <c r="B1963" s="12">
        <f>IF(LEFT(H1963,5)="VALID",M1963,"")</f>
        <v>62</v>
      </c>
      <c r="C1963" s="12">
        <f>IF(LEFT(H1963,5)="VALID",N1963,"")</f>
        <v>44</v>
      </c>
      <c r="D1963" s="10" t="s">
        <v>82</v>
      </c>
      <c r="E1963" s="10" t="s">
        <v>2277</v>
      </c>
      <c r="F1963" s="10" t="s">
        <v>141</v>
      </c>
      <c r="G1963" s="10" t="s">
        <v>142</v>
      </c>
      <c r="H1963" s="11" t="str">
        <f>IF(OR(M1963&lt;=0,N1963&lt;=0),"SKIPPED - NONPOSITIVE",IF(OR(M1963&lt;L1963,N1963&lt;L1963),"SKIPPED - BELOW MIN",IF(OR(M1963&gt;J1963,N1963&gt;K1963),"SKIPPED - EXCEEDS BASE",IF(COUNTIFS($M$1957:M1962,M1963,$N$1957:N1962,N1963)&gt;0,"SKIPPED - DUPLICATE","VALID - GENERATED"))))</f>
        <v>VALID - GENERATED</v>
      </c>
      <c r="I1963" s="10" t="s">
        <v>2278</v>
      </c>
      <c r="J1963" s="12">
        <f>'05-ISO Reference'!$B$26</f>
        <v>62</v>
      </c>
      <c r="K1963" s="12">
        <f>'05-ISO Reference'!$C$26</f>
        <v>88</v>
      </c>
      <c r="L1963" s="12">
        <f>'01-Process Controls'!$G$5</f>
        <v>3</v>
      </c>
      <c r="M1963" s="12">
        <f>ROUNDDOWN(J1963,0)</f>
        <v>62</v>
      </c>
      <c r="N1963" s="12">
        <f>ROUNDDOWN(K1963*'04-Variant Rules'!$D$11,0)</f>
        <v>44</v>
      </c>
      <c r="O1963" s="9">
        <v>6</v>
      </c>
    </row>
    <row r="1964" spans="1:15" ht="21" customHeight="1">
      <c r="A1964" s="9" t="s">
        <v>2285</v>
      </c>
      <c r="B1964" s="12">
        <f>IF(LEFT(H1964,5)="VALID",M1964,"")</f>
        <v>62</v>
      </c>
      <c r="C1964" s="12">
        <f>IF(LEFT(H1964,5)="VALID",N1964,"")</f>
        <v>29</v>
      </c>
      <c r="D1964" s="10" t="s">
        <v>82</v>
      </c>
      <c r="E1964" s="10" t="s">
        <v>2277</v>
      </c>
      <c r="F1964" s="10" t="s">
        <v>144</v>
      </c>
      <c r="G1964" s="10" t="s">
        <v>145</v>
      </c>
      <c r="H1964" s="11" t="str">
        <f>IF(OR(M1964&lt;=0,N1964&lt;=0),"SKIPPED - NONPOSITIVE",IF(OR(M1964&lt;L1964,N1964&lt;L1964),"SKIPPED - BELOW MIN",IF(OR(M1964&gt;J1964,N1964&gt;K1964),"SKIPPED - EXCEEDS BASE",IF(COUNTIFS($M$1957:M1963,M1964,$N$1957:N1963,N1964)&gt;0,"SKIPPED - DUPLICATE","VALID - GENERATED"))))</f>
        <v>VALID - GENERATED</v>
      </c>
      <c r="I1964" s="10" t="s">
        <v>2278</v>
      </c>
      <c r="J1964" s="12">
        <f>'05-ISO Reference'!$B$26</f>
        <v>62</v>
      </c>
      <c r="K1964" s="12">
        <f>'05-ISO Reference'!$C$26</f>
        <v>88</v>
      </c>
      <c r="L1964" s="12">
        <f>'01-Process Controls'!$G$5</f>
        <v>3</v>
      </c>
      <c r="M1964" s="12">
        <f>ROUNDDOWN(J1964,0)</f>
        <v>62</v>
      </c>
      <c r="N1964" s="12">
        <f>ROUNDDOWN(K1964*'04-Variant Rules'!$D$12,0)</f>
        <v>29</v>
      </c>
      <c r="O1964" s="9">
        <v>7</v>
      </c>
    </row>
    <row r="1965" spans="1:15" ht="21" customHeight="1">
      <c r="A1965" s="9" t="s">
        <v>2286</v>
      </c>
      <c r="B1965" s="12">
        <f>IF(LEFT(H1965,5)="VALID",M1965,"")</f>
        <v>62</v>
      </c>
      <c r="C1965" s="12">
        <f>IF(LEFT(H1965,5)="VALID",N1965,"")</f>
        <v>22</v>
      </c>
      <c r="D1965" s="10" t="s">
        <v>82</v>
      </c>
      <c r="E1965" s="10" t="s">
        <v>2277</v>
      </c>
      <c r="F1965" s="10" t="s">
        <v>147</v>
      </c>
      <c r="G1965" s="10" t="s">
        <v>148</v>
      </c>
      <c r="H1965" s="11" t="str">
        <f>IF(OR(M1965&lt;=0,N1965&lt;=0),"SKIPPED - NONPOSITIVE",IF(OR(M1965&lt;L1965,N1965&lt;L1965),"SKIPPED - BELOW MIN",IF(OR(M1965&gt;J1965,N1965&gt;K1965),"SKIPPED - EXCEEDS BASE",IF(COUNTIFS($M$1957:M1964,M1965,$N$1957:N1964,N1965)&gt;0,"SKIPPED - DUPLICATE","VALID - GENERATED"))))</f>
        <v>VALID - GENERATED</v>
      </c>
      <c r="I1965" s="10" t="s">
        <v>2278</v>
      </c>
      <c r="J1965" s="12">
        <f>'05-ISO Reference'!$B$26</f>
        <v>62</v>
      </c>
      <c r="K1965" s="12">
        <f>'05-ISO Reference'!$C$26</f>
        <v>88</v>
      </c>
      <c r="L1965" s="12">
        <f>'01-Process Controls'!$G$5</f>
        <v>3</v>
      </c>
      <c r="M1965" s="12">
        <f>ROUNDDOWN(J1965,0)</f>
        <v>62</v>
      </c>
      <c r="N1965" s="12">
        <f>ROUNDDOWN(K1965*'04-Variant Rules'!$D$13,0)</f>
        <v>22</v>
      </c>
      <c r="O1965" s="9">
        <v>8</v>
      </c>
    </row>
    <row r="1966" spans="1:15" ht="21" customHeight="1">
      <c r="A1966" s="9" t="s">
        <v>2287</v>
      </c>
      <c r="B1966" s="12">
        <f>IF(LEFT(H1966,5)="VALID",M1966,"")</f>
        <v>62</v>
      </c>
      <c r="C1966" s="12">
        <f>IF(LEFT(H1966,5)="VALID",N1966,"")</f>
        <v>58</v>
      </c>
      <c r="D1966" s="10" t="s">
        <v>82</v>
      </c>
      <c r="E1966" s="10" t="s">
        <v>2277</v>
      </c>
      <c r="F1966" s="10" t="s">
        <v>150</v>
      </c>
      <c r="G1966" s="10" t="s">
        <v>151</v>
      </c>
      <c r="H1966" s="11" t="str">
        <f>IF(OR(M1966&lt;=0,N1966&lt;=0),"SKIPPED - NONPOSITIVE",IF(OR(M1966&lt;L1966,N1966&lt;L1966),"SKIPPED - BELOW MIN",IF(OR(M1966&gt;J1966,N1966&gt;K1966),"SKIPPED - EXCEEDS BASE",IF(COUNTIFS($M$1957:M1965,M1966,$N$1957:N1965,N1966)&gt;0,"SKIPPED - DUPLICATE","VALID - GENERATED"))))</f>
        <v>VALID - GENERATED</v>
      </c>
      <c r="I1966" s="10" t="s">
        <v>2278</v>
      </c>
      <c r="J1966" s="12">
        <f>'05-ISO Reference'!$B$26</f>
        <v>62</v>
      </c>
      <c r="K1966" s="12">
        <f>'05-ISO Reference'!$C$26</f>
        <v>88</v>
      </c>
      <c r="L1966" s="12">
        <f>'01-Process Controls'!$G$5</f>
        <v>3</v>
      </c>
      <c r="M1966" s="12">
        <f>ROUNDDOWN(J1966,0)</f>
        <v>62</v>
      </c>
      <c r="N1966" s="12">
        <f>ROUNDDOWN(K1966*'04-Variant Rules'!$D$14,0)</f>
        <v>58</v>
      </c>
      <c r="O1966" s="9">
        <v>9</v>
      </c>
    </row>
    <row r="1967" spans="1:15" ht="21" customHeight="1">
      <c r="A1967" s="9" t="s">
        <v>2288</v>
      </c>
      <c r="B1967" s="12">
        <f>IF(LEFT(H1967,5)="VALID",M1967,"")</f>
        <v>62</v>
      </c>
      <c r="C1967" s="12">
        <f>IF(LEFT(H1967,5)="VALID",N1967,"")</f>
        <v>66</v>
      </c>
      <c r="D1967" s="10" t="s">
        <v>82</v>
      </c>
      <c r="E1967" s="10" t="s">
        <v>2277</v>
      </c>
      <c r="F1967" s="10" t="s">
        <v>153</v>
      </c>
      <c r="G1967" s="10" t="s">
        <v>154</v>
      </c>
      <c r="H1967" s="11" t="str">
        <f>IF(OR(M1967&lt;=0,N1967&lt;=0),"SKIPPED - NONPOSITIVE",IF(OR(M1967&lt;L1967,N1967&lt;L1967),"SKIPPED - BELOW MIN",IF(OR(M1967&gt;J1967,N1967&gt;K1967),"SKIPPED - EXCEEDS BASE",IF(COUNTIFS($M$1957:M1966,M1967,$N$1957:N1966,N1967)&gt;0,"SKIPPED - DUPLICATE","VALID - GENERATED"))))</f>
        <v>VALID - GENERATED</v>
      </c>
      <c r="I1967" s="10" t="s">
        <v>2278</v>
      </c>
      <c r="J1967" s="12">
        <f>'05-ISO Reference'!$B$26</f>
        <v>62</v>
      </c>
      <c r="K1967" s="12">
        <f>'05-ISO Reference'!$C$26</f>
        <v>88</v>
      </c>
      <c r="L1967" s="12">
        <f>'01-Process Controls'!$G$5</f>
        <v>3</v>
      </c>
      <c r="M1967" s="12">
        <f>ROUNDDOWN(J1967,0)</f>
        <v>62</v>
      </c>
      <c r="N1967" s="12">
        <f>ROUNDDOWN(K1967*'04-Variant Rules'!$D$15,0)</f>
        <v>66</v>
      </c>
      <c r="O1967" s="9">
        <v>10</v>
      </c>
    </row>
    <row r="1968" spans="1:15" ht="21" customHeight="1">
      <c r="A1968" s="9" t="s">
        <v>2289</v>
      </c>
      <c r="B1968" s="12">
        <f>IF(LEFT(H1968,5)="VALID",M1968,"")</f>
        <v>31</v>
      </c>
      <c r="C1968" s="12">
        <f>IF(LEFT(H1968,5)="VALID",N1968,"")</f>
        <v>44</v>
      </c>
      <c r="D1968" s="10" t="s">
        <v>82</v>
      </c>
      <c r="E1968" s="10" t="s">
        <v>2277</v>
      </c>
      <c r="F1968" s="10" t="s">
        <v>156</v>
      </c>
      <c r="G1968" s="10" t="s">
        <v>157</v>
      </c>
      <c r="H1968" s="11" t="str">
        <f>IF(OR(M1968&lt;=0,N1968&lt;=0),"SKIPPED - NONPOSITIVE",IF(OR(M1968&lt;L1968,N1968&lt;L1968),"SKIPPED - BELOW MIN",IF(OR(M1968&gt;J1968,N1968&gt;K1968),"SKIPPED - EXCEEDS BASE",IF(COUNTIFS($M$1957:M1967,M1968,$N$1957:N1967,N1968)&gt;0,"SKIPPED - DUPLICATE","VALID - GENERATED"))))</f>
        <v>VALID - GENERATED</v>
      </c>
      <c r="I1968" s="10" t="s">
        <v>2278</v>
      </c>
      <c r="J1968" s="12">
        <f>'05-ISO Reference'!$B$26</f>
        <v>62</v>
      </c>
      <c r="K1968" s="12">
        <f>'05-ISO Reference'!$C$26</f>
        <v>88</v>
      </c>
      <c r="L1968" s="12">
        <f>'01-Process Controls'!$G$5</f>
        <v>3</v>
      </c>
      <c r="M1968" s="12">
        <f>ROUNDDOWN(J1968*'04-Variant Rules'!$D$16,0)</f>
        <v>31</v>
      </c>
      <c r="N1968" s="12">
        <f>ROUNDDOWN(K1968*'04-Variant Rules'!$E$16,0)</f>
        <v>44</v>
      </c>
      <c r="O1968" s="9">
        <v>11</v>
      </c>
    </row>
    <row r="1969" spans="1:15" ht="21" customHeight="1">
      <c r="A1969" s="9" t="s">
        <v>2290</v>
      </c>
      <c r="B1969" s="12">
        <f>IF(LEFT(H1969,5)="VALID",M1969,"")</f>
        <v>20</v>
      </c>
      <c r="C1969" s="12">
        <f>IF(LEFT(H1969,5)="VALID",N1969,"")</f>
        <v>29</v>
      </c>
      <c r="D1969" s="10" t="s">
        <v>82</v>
      </c>
      <c r="E1969" s="10" t="s">
        <v>2277</v>
      </c>
      <c r="F1969" s="10" t="s">
        <v>159</v>
      </c>
      <c r="G1969" s="10" t="s">
        <v>160</v>
      </c>
      <c r="H1969" s="11" t="str">
        <f>IF(OR(M1969&lt;=0,N1969&lt;=0),"SKIPPED - NONPOSITIVE",IF(OR(M1969&lt;L1969,N1969&lt;L1969),"SKIPPED - BELOW MIN",IF(OR(M1969&gt;J1969,N1969&gt;K1969),"SKIPPED - EXCEEDS BASE",IF(COUNTIFS($M$1957:M1968,M1969,$N$1957:N1968,N1969)&gt;0,"SKIPPED - DUPLICATE","VALID - GENERATED"))))</f>
        <v>VALID - GENERATED</v>
      </c>
      <c r="I1969" s="10" t="s">
        <v>2278</v>
      </c>
      <c r="J1969" s="12">
        <f>'05-ISO Reference'!$B$26</f>
        <v>62</v>
      </c>
      <c r="K1969" s="12">
        <f>'05-ISO Reference'!$C$26</f>
        <v>88</v>
      </c>
      <c r="L1969" s="12">
        <f>'01-Process Controls'!$G$5</f>
        <v>3</v>
      </c>
      <c r="M1969" s="12">
        <f>ROUNDDOWN(J1969*'04-Variant Rules'!$D$17,0)</f>
        <v>20</v>
      </c>
      <c r="N1969" s="12">
        <f>ROUNDDOWN(K1969*'04-Variant Rules'!$E$17,0)</f>
        <v>29</v>
      </c>
      <c r="O1969" s="9">
        <v>12</v>
      </c>
    </row>
    <row r="1970" spans="1:15" ht="21" customHeight="1">
      <c r="A1970" s="9" t="s">
        <v>2291</v>
      </c>
      <c r="B1970" s="12">
        <f>IF(LEFT(H1970,5)="VALID",M1970,"")</f>
        <v>15</v>
      </c>
      <c r="C1970" s="12">
        <f>IF(LEFT(H1970,5)="VALID",N1970,"")</f>
        <v>22</v>
      </c>
      <c r="D1970" s="10" t="s">
        <v>82</v>
      </c>
      <c r="E1970" s="10" t="s">
        <v>2277</v>
      </c>
      <c r="F1970" s="10" t="s">
        <v>162</v>
      </c>
      <c r="G1970" s="10" t="s">
        <v>163</v>
      </c>
      <c r="H1970" s="11" t="str">
        <f>IF(OR(M1970&lt;=0,N1970&lt;=0),"SKIPPED - NONPOSITIVE",IF(OR(M1970&lt;L1970,N1970&lt;L1970),"SKIPPED - BELOW MIN",IF(OR(M1970&gt;J1970,N1970&gt;K1970),"SKIPPED - EXCEEDS BASE",IF(COUNTIFS($M$1957:M1969,M1970,$N$1957:N1969,N1970)&gt;0,"SKIPPED - DUPLICATE","VALID - GENERATED"))))</f>
        <v>VALID - GENERATED</v>
      </c>
      <c r="I1970" s="10" t="s">
        <v>2278</v>
      </c>
      <c r="J1970" s="12">
        <f>'05-ISO Reference'!$B$26</f>
        <v>62</v>
      </c>
      <c r="K1970" s="12">
        <f>'05-ISO Reference'!$C$26</f>
        <v>88</v>
      </c>
      <c r="L1970" s="12">
        <f>'01-Process Controls'!$G$5</f>
        <v>3</v>
      </c>
      <c r="M1970" s="12">
        <f>ROUNDDOWN(J1970*'04-Variant Rules'!$D$18,0)</f>
        <v>15</v>
      </c>
      <c r="N1970" s="12">
        <f>ROUNDDOWN(K1970*'04-Variant Rules'!$E$18,0)</f>
        <v>22</v>
      </c>
      <c r="O1970" s="9">
        <v>13</v>
      </c>
    </row>
    <row r="1971" spans="1:15" ht="21" customHeight="1">
      <c r="A1971" s="9" t="s">
        <v>2292</v>
      </c>
      <c r="B1971" s="12">
        <f>IF(LEFT(H1971,5)="VALID",M1971,"")</f>
        <v>31</v>
      </c>
      <c r="C1971" s="12">
        <f>IF(LEFT(H1971,5)="VALID",N1971,"")</f>
        <v>29</v>
      </c>
      <c r="D1971" s="10" t="s">
        <v>82</v>
      </c>
      <c r="E1971" s="10" t="s">
        <v>2277</v>
      </c>
      <c r="F1971" s="10" t="s">
        <v>165</v>
      </c>
      <c r="G1971" s="10" t="s">
        <v>166</v>
      </c>
      <c r="H1971" s="11" t="str">
        <f>IF(OR(M1971&lt;=0,N1971&lt;=0),"SKIPPED - NONPOSITIVE",IF(OR(M1971&lt;L1971,N1971&lt;L1971),"SKIPPED - BELOW MIN",IF(OR(M1971&gt;J1971,N1971&gt;K1971),"SKIPPED - EXCEEDS BASE",IF(COUNTIFS($M$1957:M1970,M1971,$N$1957:N1970,N1971)&gt;0,"SKIPPED - DUPLICATE","VALID - GENERATED"))))</f>
        <v>VALID - GENERATED</v>
      </c>
      <c r="I1971" s="10" t="s">
        <v>2278</v>
      </c>
      <c r="J1971" s="12">
        <f>'05-ISO Reference'!$B$26</f>
        <v>62</v>
      </c>
      <c r="K1971" s="12">
        <f>'05-ISO Reference'!$C$26</f>
        <v>88</v>
      </c>
      <c r="L1971" s="12">
        <f>'01-Process Controls'!$G$5</f>
        <v>3</v>
      </c>
      <c r="M1971" s="12">
        <f>ROUNDDOWN(J1971*'04-Variant Rules'!$D$19,0)</f>
        <v>31</v>
      </c>
      <c r="N1971" s="12">
        <f>ROUNDDOWN(K1971*'04-Variant Rules'!$E$19,0)</f>
        <v>29</v>
      </c>
      <c r="O1971" s="9">
        <v>14</v>
      </c>
    </row>
    <row r="1972" spans="1:15" ht="21" customHeight="1">
      <c r="A1972" s="9" t="s">
        <v>2293</v>
      </c>
      <c r="B1972" s="12">
        <f>IF(LEFT(H1972,5)="VALID",M1972,"")</f>
        <v>20</v>
      </c>
      <c r="C1972" s="12">
        <f>IF(LEFT(H1972,5)="VALID",N1972,"")</f>
        <v>44</v>
      </c>
      <c r="D1972" s="10" t="s">
        <v>82</v>
      </c>
      <c r="E1972" s="10" t="s">
        <v>2277</v>
      </c>
      <c r="F1972" s="10" t="s">
        <v>168</v>
      </c>
      <c r="G1972" s="10" t="s">
        <v>166</v>
      </c>
      <c r="H1972" s="11" t="str">
        <f>IF(OR(M1972&lt;=0,N1972&lt;=0),"SKIPPED - NONPOSITIVE",IF(OR(M1972&lt;L1972,N1972&lt;L1972),"SKIPPED - BELOW MIN",IF(OR(M1972&gt;J1972,N1972&gt;K1972),"SKIPPED - EXCEEDS BASE",IF(COUNTIFS($M$1957:M1971,M1972,$N$1957:N1971,N1972)&gt;0,"SKIPPED - DUPLICATE","VALID - GENERATED"))))</f>
        <v>VALID - GENERATED</v>
      </c>
      <c r="I1972" s="10" t="s">
        <v>2278</v>
      </c>
      <c r="J1972" s="12">
        <f>'05-ISO Reference'!$B$26</f>
        <v>62</v>
      </c>
      <c r="K1972" s="12">
        <f>'05-ISO Reference'!$C$26</f>
        <v>88</v>
      </c>
      <c r="L1972" s="12">
        <f>'01-Process Controls'!$G$5</f>
        <v>3</v>
      </c>
      <c r="M1972" s="12">
        <f>ROUNDDOWN(J1972*'04-Variant Rules'!$D$20,0)</f>
        <v>20</v>
      </c>
      <c r="N1972" s="12">
        <f>ROUNDDOWN(K1972*'04-Variant Rules'!$E$20,0)</f>
        <v>44</v>
      </c>
      <c r="O1972" s="9">
        <v>15</v>
      </c>
    </row>
    <row r="1973" spans="1:15" ht="21" customHeight="1">
      <c r="A1973" s="9" t="s">
        <v>2294</v>
      </c>
      <c r="B1973" s="12">
        <f>IF(LEFT(H1973,5)="VALID",M1973,"")</f>
        <v>31</v>
      </c>
      <c r="C1973" s="12">
        <f>IF(LEFT(H1973,5)="VALID",N1973,"")</f>
        <v>22</v>
      </c>
      <c r="D1973" s="10" t="s">
        <v>82</v>
      </c>
      <c r="E1973" s="10" t="s">
        <v>2277</v>
      </c>
      <c r="F1973" s="10" t="s">
        <v>170</v>
      </c>
      <c r="G1973" s="10" t="s">
        <v>166</v>
      </c>
      <c r="H1973" s="11" t="str">
        <f>IF(OR(M1973&lt;=0,N1973&lt;=0),"SKIPPED - NONPOSITIVE",IF(OR(M1973&lt;L1973,N1973&lt;L1973),"SKIPPED - BELOW MIN",IF(OR(M1973&gt;J1973,N1973&gt;K1973),"SKIPPED - EXCEEDS BASE",IF(COUNTIFS($M$1957:M1972,M1973,$N$1957:N1972,N1973)&gt;0,"SKIPPED - DUPLICATE","VALID - GENERATED"))))</f>
        <v>VALID - GENERATED</v>
      </c>
      <c r="I1973" s="10" t="s">
        <v>2278</v>
      </c>
      <c r="J1973" s="12">
        <f>'05-ISO Reference'!$B$26</f>
        <v>62</v>
      </c>
      <c r="K1973" s="12">
        <f>'05-ISO Reference'!$C$26</f>
        <v>88</v>
      </c>
      <c r="L1973" s="12">
        <f>'01-Process Controls'!$G$5</f>
        <v>3</v>
      </c>
      <c r="M1973" s="12">
        <f>ROUNDDOWN(J1973*'04-Variant Rules'!$D$21,0)</f>
        <v>31</v>
      </c>
      <c r="N1973" s="12">
        <f>ROUNDDOWN(K1973*'04-Variant Rules'!$E$21,0)</f>
        <v>22</v>
      </c>
      <c r="O1973" s="9">
        <v>16</v>
      </c>
    </row>
    <row r="1974" spans="1:15" ht="21" customHeight="1">
      <c r="A1974" s="9" t="s">
        <v>2295</v>
      </c>
      <c r="B1974" s="12">
        <f>IF(LEFT(H1974,5)="VALID",M1974,"")</f>
        <v>15</v>
      </c>
      <c r="C1974" s="12">
        <f>IF(LEFT(H1974,5)="VALID",N1974,"")</f>
        <v>44</v>
      </c>
      <c r="D1974" s="10" t="s">
        <v>82</v>
      </c>
      <c r="E1974" s="10" t="s">
        <v>2277</v>
      </c>
      <c r="F1974" s="10" t="s">
        <v>172</v>
      </c>
      <c r="G1974" s="10" t="s">
        <v>166</v>
      </c>
      <c r="H1974" s="11" t="str">
        <f>IF(OR(M1974&lt;=0,N1974&lt;=0),"SKIPPED - NONPOSITIVE",IF(OR(M1974&lt;L1974,N1974&lt;L1974),"SKIPPED - BELOW MIN",IF(OR(M1974&gt;J1974,N1974&gt;K1974),"SKIPPED - EXCEEDS BASE",IF(COUNTIFS($M$1957:M1973,M1974,$N$1957:N1973,N1974)&gt;0,"SKIPPED - DUPLICATE","VALID - GENERATED"))))</f>
        <v>VALID - GENERATED</v>
      </c>
      <c r="I1974" s="10" t="s">
        <v>2278</v>
      </c>
      <c r="J1974" s="12">
        <f>'05-ISO Reference'!$B$26</f>
        <v>62</v>
      </c>
      <c r="K1974" s="12">
        <f>'05-ISO Reference'!$C$26</f>
        <v>88</v>
      </c>
      <c r="L1974" s="12">
        <f>'01-Process Controls'!$G$5</f>
        <v>3</v>
      </c>
      <c r="M1974" s="12">
        <f>ROUNDDOWN(J1974*'04-Variant Rules'!$D$22,0)</f>
        <v>15</v>
      </c>
      <c r="N1974" s="12">
        <f>ROUNDDOWN(K1974*'04-Variant Rules'!$E$22,0)</f>
        <v>44</v>
      </c>
      <c r="O1974" s="9">
        <v>17</v>
      </c>
    </row>
    <row r="1975" spans="1:15" ht="21" customHeight="1">
      <c r="A1975" s="9" t="s">
        <v>2296</v>
      </c>
      <c r="B1975" s="12">
        <f>IF(LEFT(H1975,5)="VALID",M1975,"")</f>
        <v>41</v>
      </c>
      <c r="C1975" s="12">
        <f>IF(LEFT(H1975,5)="VALID",N1975,"")</f>
        <v>44</v>
      </c>
      <c r="D1975" s="10" t="s">
        <v>82</v>
      </c>
      <c r="E1975" s="10" t="s">
        <v>2277</v>
      </c>
      <c r="F1975" s="10" t="s">
        <v>174</v>
      </c>
      <c r="G1975" s="10" t="s">
        <v>166</v>
      </c>
      <c r="H1975" s="11" t="str">
        <f>IF(OR(M1975&lt;=0,N1975&lt;=0),"SKIPPED - NONPOSITIVE",IF(OR(M1975&lt;L1975,N1975&lt;L1975),"SKIPPED - BELOW MIN",IF(OR(M1975&gt;J1975,N1975&gt;K1975),"SKIPPED - EXCEEDS BASE",IF(COUNTIFS($M$1957:M1974,M1975,$N$1957:N1974,N1975)&gt;0,"SKIPPED - DUPLICATE","VALID - GENERATED"))))</f>
        <v>VALID - GENERATED</v>
      </c>
      <c r="I1975" s="10" t="s">
        <v>2278</v>
      </c>
      <c r="J1975" s="12">
        <f>'05-ISO Reference'!$B$26</f>
        <v>62</v>
      </c>
      <c r="K1975" s="12">
        <f>'05-ISO Reference'!$C$26</f>
        <v>88</v>
      </c>
      <c r="L1975" s="12">
        <f>'01-Process Controls'!$G$5</f>
        <v>3</v>
      </c>
      <c r="M1975" s="12">
        <f>ROUNDDOWN(J1975*'04-Variant Rules'!$D$23,0)</f>
        <v>41</v>
      </c>
      <c r="N1975" s="12">
        <f>ROUNDDOWN(K1975*'04-Variant Rules'!$E$23,0)</f>
        <v>44</v>
      </c>
      <c r="O1975" s="9">
        <v>18</v>
      </c>
    </row>
    <row r="1976" spans="1:15" ht="21" customHeight="1">
      <c r="A1976" s="9" t="s">
        <v>2297</v>
      </c>
      <c r="B1976" s="12">
        <f>IF(LEFT(H1976,5)="VALID",M1976,"")</f>
        <v>31</v>
      </c>
      <c r="C1976" s="12">
        <f>IF(LEFT(H1976,5)="VALID",N1976,"")</f>
        <v>58</v>
      </c>
      <c r="D1976" s="10" t="s">
        <v>82</v>
      </c>
      <c r="E1976" s="10" t="s">
        <v>2277</v>
      </c>
      <c r="F1976" s="10" t="s">
        <v>176</v>
      </c>
      <c r="G1976" s="10" t="s">
        <v>166</v>
      </c>
      <c r="H1976" s="11" t="str">
        <f>IF(OR(M1976&lt;=0,N1976&lt;=0),"SKIPPED - NONPOSITIVE",IF(OR(M1976&lt;L1976,N1976&lt;L1976),"SKIPPED - BELOW MIN",IF(OR(M1976&gt;J1976,N1976&gt;K1976),"SKIPPED - EXCEEDS BASE",IF(COUNTIFS($M$1957:M1975,M1976,$N$1957:N1975,N1976)&gt;0,"SKIPPED - DUPLICATE","VALID - GENERATED"))))</f>
        <v>VALID - GENERATED</v>
      </c>
      <c r="I1976" s="10" t="s">
        <v>2278</v>
      </c>
      <c r="J1976" s="12">
        <f>'05-ISO Reference'!$B$26</f>
        <v>62</v>
      </c>
      <c r="K1976" s="12">
        <f>'05-ISO Reference'!$C$26</f>
        <v>88</v>
      </c>
      <c r="L1976" s="12">
        <f>'01-Process Controls'!$G$5</f>
        <v>3</v>
      </c>
      <c r="M1976" s="12">
        <f>ROUNDDOWN(J1976*'04-Variant Rules'!$D$24,0)</f>
        <v>31</v>
      </c>
      <c r="N1976" s="12">
        <f>ROUNDDOWN(K1976*'04-Variant Rules'!$E$24,0)</f>
        <v>58</v>
      </c>
      <c r="O1976" s="9">
        <v>19</v>
      </c>
    </row>
    <row r="1977" spans="1:15" ht="21" customHeight="1">
      <c r="A1977" s="9" t="s">
        <v>2298</v>
      </c>
      <c r="B1977" s="12">
        <f>IF(LEFT(H1977,5)="VALID",M1977,"")</f>
        <v>46</v>
      </c>
      <c r="C1977" s="12">
        <f>IF(LEFT(H1977,5)="VALID",N1977,"")</f>
        <v>44</v>
      </c>
      <c r="D1977" s="10" t="s">
        <v>82</v>
      </c>
      <c r="E1977" s="10" t="s">
        <v>2277</v>
      </c>
      <c r="F1977" s="10" t="s">
        <v>178</v>
      </c>
      <c r="G1977" s="10" t="s">
        <v>166</v>
      </c>
      <c r="H1977" s="11" t="str">
        <f>IF(OR(M1977&lt;=0,N1977&lt;=0),"SKIPPED - NONPOSITIVE",IF(OR(M1977&lt;L1977,N1977&lt;L1977),"SKIPPED - BELOW MIN",IF(OR(M1977&gt;J1977,N1977&gt;K1977),"SKIPPED - EXCEEDS BASE",IF(COUNTIFS($M$1957:M1976,M1977,$N$1957:N1976,N1977)&gt;0,"SKIPPED - DUPLICATE","VALID - GENERATED"))))</f>
        <v>VALID - GENERATED</v>
      </c>
      <c r="I1977" s="10" t="s">
        <v>2278</v>
      </c>
      <c r="J1977" s="12">
        <f>'05-ISO Reference'!$B$26</f>
        <v>62</v>
      </c>
      <c r="K1977" s="12">
        <f>'05-ISO Reference'!$C$26</f>
        <v>88</v>
      </c>
      <c r="L1977" s="12">
        <f>'01-Process Controls'!$G$5</f>
        <v>3</v>
      </c>
      <c r="M1977" s="12">
        <f>ROUNDDOWN(J1977*'04-Variant Rules'!$D$25,0)</f>
        <v>46</v>
      </c>
      <c r="N1977" s="12">
        <f>ROUNDDOWN(K1977*'04-Variant Rules'!$E$25,0)</f>
        <v>44</v>
      </c>
      <c r="O1977" s="9">
        <v>20</v>
      </c>
    </row>
    <row r="1978" spans="1:15" ht="21" customHeight="1">
      <c r="A1978" s="9" t="s">
        <v>2299</v>
      </c>
      <c r="B1978" s="12">
        <f>IF(LEFT(H1978,5)="VALID",M1978,"")</f>
        <v>31</v>
      </c>
      <c r="C1978" s="12">
        <f>IF(LEFT(H1978,5)="VALID",N1978,"")</f>
        <v>66</v>
      </c>
      <c r="D1978" s="10" t="s">
        <v>82</v>
      </c>
      <c r="E1978" s="10" t="s">
        <v>2277</v>
      </c>
      <c r="F1978" s="10" t="s">
        <v>180</v>
      </c>
      <c r="G1978" s="10" t="s">
        <v>166</v>
      </c>
      <c r="H1978" s="11" t="str">
        <f>IF(OR(M1978&lt;=0,N1978&lt;=0),"SKIPPED - NONPOSITIVE",IF(OR(M1978&lt;L1978,N1978&lt;L1978),"SKIPPED - BELOW MIN",IF(OR(M1978&gt;J1978,N1978&gt;K1978),"SKIPPED - EXCEEDS BASE",IF(COUNTIFS($M$1957:M1977,M1978,$N$1957:N1977,N1978)&gt;0,"SKIPPED - DUPLICATE","VALID - GENERATED"))))</f>
        <v>VALID - GENERATED</v>
      </c>
      <c r="I1978" s="10" t="s">
        <v>2278</v>
      </c>
      <c r="J1978" s="12">
        <f>'05-ISO Reference'!$B$26</f>
        <v>62</v>
      </c>
      <c r="K1978" s="12">
        <f>'05-ISO Reference'!$C$26</f>
        <v>88</v>
      </c>
      <c r="L1978" s="12">
        <f>'01-Process Controls'!$G$5</f>
        <v>3</v>
      </c>
      <c r="M1978" s="12">
        <f>ROUNDDOWN(J1978*'04-Variant Rules'!$D$26,0)</f>
        <v>31</v>
      </c>
      <c r="N1978" s="12">
        <f>ROUNDDOWN(K1978*'04-Variant Rules'!$E$26,0)</f>
        <v>66</v>
      </c>
      <c r="O1978" s="9">
        <v>21</v>
      </c>
    </row>
    <row r="1979" spans="1:15" ht="21" customHeight="1">
      <c r="A1979" s="9" t="s">
        <v>2300</v>
      </c>
      <c r="B1979" s="12">
        <f>IF(LEFT(H1979,5)="VALID",M1979,"")</f>
        <v>58</v>
      </c>
      <c r="C1979" s="12">
        <f>IF(LEFT(H1979,5)="VALID",N1979,"")</f>
        <v>83</v>
      </c>
      <c r="D1979" s="10" t="s">
        <v>82</v>
      </c>
      <c r="E1979" s="10" t="s">
        <v>2277</v>
      </c>
      <c r="F1979" s="10" t="s">
        <v>182</v>
      </c>
      <c r="G1979" s="10" t="s">
        <v>183</v>
      </c>
      <c r="H1979" s="11" t="str">
        <f>IF(OR(M1979&lt;=0,N1979&lt;=0),"SKIPPED - NONPOSITIVE",IF(OR(M1979&lt;L1979,N1979&lt;L1979),"SKIPPED - BELOW MIN",IF(OR(M1979&gt;J1979,N1979&gt;K1979),"SKIPPED - EXCEEDS BASE",IF(COUNTIFS($M$1957:M1978,M1979,$N$1957:N1978,N1979)&gt;0,"SKIPPED - DUPLICATE","VALID - GENERATED"))))</f>
        <v>VALID - GENERATED</v>
      </c>
      <c r="I1979" s="10" t="s">
        <v>2278</v>
      </c>
      <c r="J1979" s="12">
        <f>'05-ISO Reference'!$B$26</f>
        <v>62</v>
      </c>
      <c r="K1979" s="12">
        <f>'05-ISO Reference'!$C$26</f>
        <v>88</v>
      </c>
      <c r="L1979" s="12">
        <f>'01-Process Controls'!$G$5</f>
        <v>3</v>
      </c>
      <c r="M1979" s="12">
        <f>ROUNDDOWN(J1979*'04-Variant Rules'!$D$27,0)</f>
        <v>58</v>
      </c>
      <c r="N1979" s="12">
        <f>ROUNDDOWN(K1979*'04-Variant Rules'!$E$27,0)</f>
        <v>83</v>
      </c>
      <c r="O1979" s="9">
        <v>22</v>
      </c>
    </row>
    <row r="1980" spans="1:15" ht="21" customHeight="1">
      <c r="A1980" s="9" t="s">
        <v>2301</v>
      </c>
      <c r="B1980" s="12">
        <f>IF(LEFT(H1980,5)="VALID",M1980,"")</f>
        <v>55</v>
      </c>
      <c r="C1980" s="12">
        <f>IF(LEFT(H1980,5)="VALID",N1980,"")</f>
        <v>79</v>
      </c>
      <c r="D1980" s="10" t="s">
        <v>82</v>
      </c>
      <c r="E1980" s="10" t="s">
        <v>2277</v>
      </c>
      <c r="F1980" s="10" t="s">
        <v>185</v>
      </c>
      <c r="G1980" s="10" t="s">
        <v>186</v>
      </c>
      <c r="H1980" s="11" t="str">
        <f>IF(OR(M1980&lt;=0,N1980&lt;=0),"SKIPPED - NONPOSITIVE",IF(OR(M1980&lt;L1980,N1980&lt;L1980),"SKIPPED - BELOW MIN",IF(OR(M1980&gt;J1980,N1980&gt;K1980),"SKIPPED - EXCEEDS BASE",IF(COUNTIFS($M$1957:M1979,M1980,$N$1957:N1979,N1980)&gt;0,"SKIPPED - DUPLICATE","VALID - GENERATED"))))</f>
        <v>VALID - GENERATED</v>
      </c>
      <c r="I1980" s="10" t="s">
        <v>2278</v>
      </c>
      <c r="J1980" s="12">
        <f>'05-ISO Reference'!$B$26</f>
        <v>62</v>
      </c>
      <c r="K1980" s="12">
        <f>'05-ISO Reference'!$C$26</f>
        <v>88</v>
      </c>
      <c r="L1980" s="12">
        <f>'01-Process Controls'!$G$5</f>
        <v>3</v>
      </c>
      <c r="M1980" s="12">
        <f>ROUNDDOWN(J1980*'04-Variant Rules'!$D$28,0)</f>
        <v>55</v>
      </c>
      <c r="N1980" s="12">
        <f>ROUNDDOWN(K1980*'04-Variant Rules'!$E$28,0)</f>
        <v>79</v>
      </c>
      <c r="O1980" s="9">
        <v>23</v>
      </c>
    </row>
    <row r="1981" spans="1:15" ht="21" customHeight="1">
      <c r="A1981" s="9" t="s">
        <v>2302</v>
      </c>
      <c r="B1981" s="12">
        <f>IF(LEFT(H1981,5)="VALID",M1981,"")</f>
        <v>52</v>
      </c>
      <c r="C1981" s="12">
        <f>IF(LEFT(H1981,5)="VALID",N1981,"")</f>
        <v>74</v>
      </c>
      <c r="D1981" s="10" t="s">
        <v>82</v>
      </c>
      <c r="E1981" s="10" t="s">
        <v>2277</v>
      </c>
      <c r="F1981" s="10" t="s">
        <v>188</v>
      </c>
      <c r="G1981" s="10" t="s">
        <v>186</v>
      </c>
      <c r="H1981" s="11" t="str">
        <f>IF(OR(M1981&lt;=0,N1981&lt;=0),"SKIPPED - NONPOSITIVE",IF(OR(M1981&lt;L1981,N1981&lt;L1981),"SKIPPED - BELOW MIN",IF(OR(M1981&gt;J1981,N1981&gt;K1981),"SKIPPED - EXCEEDS BASE",IF(COUNTIFS($M$1957:M1980,M1981,$N$1957:N1980,N1981)&gt;0,"SKIPPED - DUPLICATE","VALID - GENERATED"))))</f>
        <v>VALID - GENERATED</v>
      </c>
      <c r="I1981" s="10" t="s">
        <v>2278</v>
      </c>
      <c r="J1981" s="12">
        <f>'05-ISO Reference'!$B$26</f>
        <v>62</v>
      </c>
      <c r="K1981" s="12">
        <f>'05-ISO Reference'!$C$26</f>
        <v>88</v>
      </c>
      <c r="L1981" s="12">
        <f>'01-Process Controls'!$G$5</f>
        <v>3</v>
      </c>
      <c r="M1981" s="12">
        <f>ROUNDDOWN(J1981*'04-Variant Rules'!$D$29,0)</f>
        <v>52</v>
      </c>
      <c r="N1981" s="12">
        <f>ROUNDDOWN(K1981*'04-Variant Rules'!$E$29,0)</f>
        <v>74</v>
      </c>
      <c r="O1981" s="9">
        <v>24</v>
      </c>
    </row>
    <row r="1982" spans="1:15" ht="21" customHeight="1">
      <c r="A1982" s="9" t="s">
        <v>2303</v>
      </c>
      <c r="B1982" s="12">
        <f>IF(LEFT(H1982,5)="VALID",M1982,"")</f>
        <v>49</v>
      </c>
      <c r="C1982" s="12">
        <f>IF(LEFT(H1982,5)="VALID",N1982,"")</f>
        <v>70</v>
      </c>
      <c r="D1982" s="10" t="s">
        <v>82</v>
      </c>
      <c r="E1982" s="10" t="s">
        <v>2277</v>
      </c>
      <c r="F1982" s="10" t="s">
        <v>190</v>
      </c>
      <c r="G1982" s="10" t="s">
        <v>186</v>
      </c>
      <c r="H1982" s="11" t="str">
        <f>IF(OR(M1982&lt;=0,N1982&lt;=0),"SKIPPED - NONPOSITIVE",IF(OR(M1982&lt;L1982,N1982&lt;L1982),"SKIPPED - BELOW MIN",IF(OR(M1982&gt;J1982,N1982&gt;K1982),"SKIPPED - EXCEEDS BASE",IF(COUNTIFS($M$1957:M1981,M1982,$N$1957:N1981,N1982)&gt;0,"SKIPPED - DUPLICATE","VALID - GENERATED"))))</f>
        <v>VALID - GENERATED</v>
      </c>
      <c r="I1982" s="10" t="s">
        <v>2278</v>
      </c>
      <c r="J1982" s="12">
        <f>'05-ISO Reference'!$B$26</f>
        <v>62</v>
      </c>
      <c r="K1982" s="12">
        <f>'05-ISO Reference'!$C$26</f>
        <v>88</v>
      </c>
      <c r="L1982" s="12">
        <f>'01-Process Controls'!$G$5</f>
        <v>3</v>
      </c>
      <c r="M1982" s="12">
        <f>ROUNDDOWN(J1982*'04-Variant Rules'!$D$30,0)</f>
        <v>49</v>
      </c>
      <c r="N1982" s="12">
        <f>ROUNDDOWN(K1982*'04-Variant Rules'!$E$30,0)</f>
        <v>70</v>
      </c>
      <c r="O1982" s="9">
        <v>25</v>
      </c>
    </row>
    <row r="1983" spans="1:15" ht="21" customHeight="1">
      <c r="A1983" s="9" t="s">
        <v>2304</v>
      </c>
      <c r="B1983" s="12">
        <f>IF(LEFT(H1983,5)="VALID",M1983,"")</f>
        <v>46</v>
      </c>
      <c r="C1983" s="12">
        <f>IF(LEFT(H1983,5)="VALID",N1983,"")</f>
        <v>66</v>
      </c>
      <c r="D1983" s="10" t="s">
        <v>82</v>
      </c>
      <c r="E1983" s="10" t="s">
        <v>2277</v>
      </c>
      <c r="F1983" s="10" t="s">
        <v>192</v>
      </c>
      <c r="G1983" s="10" t="s">
        <v>186</v>
      </c>
      <c r="H1983" s="11" t="str">
        <f>IF(OR(M1983&lt;=0,N1983&lt;=0),"SKIPPED - NONPOSITIVE",IF(OR(M1983&lt;L1983,N1983&lt;L1983),"SKIPPED - BELOW MIN",IF(OR(M1983&gt;J1983,N1983&gt;K1983),"SKIPPED - EXCEEDS BASE",IF(COUNTIFS($M$1957:M1982,M1983,$N$1957:N1982,N1983)&gt;0,"SKIPPED - DUPLICATE","VALID - GENERATED"))))</f>
        <v>VALID - GENERATED</v>
      </c>
      <c r="I1983" s="10" t="s">
        <v>2278</v>
      </c>
      <c r="J1983" s="12">
        <f>'05-ISO Reference'!$B$26</f>
        <v>62</v>
      </c>
      <c r="K1983" s="12">
        <f>'05-ISO Reference'!$C$26</f>
        <v>88</v>
      </c>
      <c r="L1983" s="12">
        <f>'01-Process Controls'!$G$5</f>
        <v>3</v>
      </c>
      <c r="M1983" s="12">
        <f>ROUNDDOWN(J1983*'04-Variant Rules'!$D$31,0)</f>
        <v>46</v>
      </c>
      <c r="N1983" s="12">
        <f>ROUNDDOWN(K1983*'04-Variant Rules'!$E$31,0)</f>
        <v>66</v>
      </c>
      <c r="O1983" s="9">
        <v>26</v>
      </c>
    </row>
    <row r="1984" spans="1:15" ht="21" customHeight="1">
      <c r="A1984" s="9" t="s">
        <v>2305</v>
      </c>
      <c r="B1984" s="12">
        <f>IF(LEFT(H1984,5)="VALID",M1984,"")</f>
        <v>43</v>
      </c>
      <c r="C1984" s="12">
        <f>IF(LEFT(H1984,5)="VALID",N1984,"")</f>
        <v>61</v>
      </c>
      <c r="D1984" s="10" t="s">
        <v>82</v>
      </c>
      <c r="E1984" s="10" t="s">
        <v>2277</v>
      </c>
      <c r="F1984" s="10" t="s">
        <v>194</v>
      </c>
      <c r="G1984" s="10" t="s">
        <v>186</v>
      </c>
      <c r="H1984" s="11" t="str">
        <f>IF(OR(M1984&lt;=0,N1984&lt;=0),"SKIPPED - NONPOSITIVE",IF(OR(M1984&lt;L1984,N1984&lt;L1984),"SKIPPED - BELOW MIN",IF(OR(M1984&gt;J1984,N1984&gt;K1984),"SKIPPED - EXCEEDS BASE",IF(COUNTIFS($M$1957:M1983,M1984,$N$1957:N1983,N1984)&gt;0,"SKIPPED - DUPLICATE","VALID - GENERATED"))))</f>
        <v>VALID - GENERATED</v>
      </c>
      <c r="I1984" s="10" t="s">
        <v>2278</v>
      </c>
      <c r="J1984" s="12">
        <f>'05-ISO Reference'!$B$26</f>
        <v>62</v>
      </c>
      <c r="K1984" s="12">
        <f>'05-ISO Reference'!$C$26</f>
        <v>88</v>
      </c>
      <c r="L1984" s="12">
        <f>'01-Process Controls'!$G$5</f>
        <v>3</v>
      </c>
      <c r="M1984" s="12">
        <f>ROUNDDOWN(J1984*'04-Variant Rules'!$D$32,0)</f>
        <v>43</v>
      </c>
      <c r="N1984" s="12">
        <f>ROUNDDOWN(K1984*'04-Variant Rules'!$E$32,0)</f>
        <v>61</v>
      </c>
      <c r="O1984" s="9">
        <v>27</v>
      </c>
    </row>
    <row r="1985" spans="1:15" ht="21" customHeight="1">
      <c r="A1985" s="9" t="s">
        <v>2306</v>
      </c>
      <c r="B1985" s="12">
        <f>IF(LEFT(H1985,5)="VALID",M1985,"")</f>
        <v>41</v>
      </c>
      <c r="C1985" s="12">
        <f>IF(LEFT(H1985,5)="VALID",N1985,"")</f>
        <v>58</v>
      </c>
      <c r="D1985" s="10" t="s">
        <v>82</v>
      </c>
      <c r="E1985" s="10" t="s">
        <v>2277</v>
      </c>
      <c r="F1985" s="10" t="s">
        <v>196</v>
      </c>
      <c r="G1985" s="10" t="s">
        <v>186</v>
      </c>
      <c r="H1985" s="11" t="str">
        <f>IF(OR(M1985&lt;=0,N1985&lt;=0),"SKIPPED - NONPOSITIVE",IF(OR(M1985&lt;L1985,N1985&lt;L1985),"SKIPPED - BELOW MIN",IF(OR(M1985&gt;J1985,N1985&gt;K1985),"SKIPPED - EXCEEDS BASE",IF(COUNTIFS($M$1957:M1984,M1985,$N$1957:N1984,N1985)&gt;0,"SKIPPED - DUPLICATE","VALID - GENERATED"))))</f>
        <v>VALID - GENERATED</v>
      </c>
      <c r="I1985" s="10" t="s">
        <v>2278</v>
      </c>
      <c r="J1985" s="12">
        <f>'05-ISO Reference'!$B$26</f>
        <v>62</v>
      </c>
      <c r="K1985" s="12">
        <f>'05-ISO Reference'!$C$26</f>
        <v>88</v>
      </c>
      <c r="L1985" s="12">
        <f>'01-Process Controls'!$G$5</f>
        <v>3</v>
      </c>
      <c r="M1985" s="12">
        <f>ROUNDDOWN(J1985*'04-Variant Rules'!$D$33,0)</f>
        <v>41</v>
      </c>
      <c r="N1985" s="12">
        <f>ROUNDDOWN(K1985*'04-Variant Rules'!$E$33,0)</f>
        <v>58</v>
      </c>
      <c r="O1985" s="9">
        <v>28</v>
      </c>
    </row>
    <row r="1986" spans="1:15" ht="21" customHeight="1">
      <c r="A1986" s="9" t="s">
        <v>2307</v>
      </c>
      <c r="B1986" s="12">
        <f>IF(LEFT(H1986,5)="VALID",M1986,"")</f>
        <v>37</v>
      </c>
      <c r="C1986" s="12">
        <f>IF(LEFT(H1986,5)="VALID",N1986,"")</f>
        <v>52</v>
      </c>
      <c r="D1986" s="10" t="s">
        <v>82</v>
      </c>
      <c r="E1986" s="10" t="s">
        <v>2277</v>
      </c>
      <c r="F1986" s="10" t="s">
        <v>198</v>
      </c>
      <c r="G1986" s="10" t="s">
        <v>186</v>
      </c>
      <c r="H1986" s="11" t="str">
        <f>IF(OR(M1986&lt;=0,N1986&lt;=0),"SKIPPED - NONPOSITIVE",IF(OR(M1986&lt;L1986,N1986&lt;L1986),"SKIPPED - BELOW MIN",IF(OR(M1986&gt;J1986,N1986&gt;K1986),"SKIPPED - EXCEEDS BASE",IF(COUNTIFS($M$1957:M1985,M1986,$N$1957:N1985,N1986)&gt;0,"SKIPPED - DUPLICATE","VALID - GENERATED"))))</f>
        <v>VALID - GENERATED</v>
      </c>
      <c r="I1986" s="10" t="s">
        <v>2278</v>
      </c>
      <c r="J1986" s="12">
        <f>'05-ISO Reference'!$B$26</f>
        <v>62</v>
      </c>
      <c r="K1986" s="12">
        <f>'05-ISO Reference'!$C$26</f>
        <v>88</v>
      </c>
      <c r="L1986" s="12">
        <f>'01-Process Controls'!$G$5</f>
        <v>3</v>
      </c>
      <c r="M1986" s="12">
        <f>ROUNDDOWN(J1986*'04-Variant Rules'!$D$34,0)</f>
        <v>37</v>
      </c>
      <c r="N1986" s="12">
        <f>ROUNDDOWN(K1986*'04-Variant Rules'!$E$34,0)</f>
        <v>52</v>
      </c>
      <c r="O1986" s="9">
        <v>29</v>
      </c>
    </row>
    <row r="1987" spans="1:15" ht="21" customHeight="1">
      <c r="A1987" s="9" t="s">
        <v>2308</v>
      </c>
      <c r="B1987" s="12">
        <f>IF(LEFT(H1987,5)="VALID",M1987,"")</f>
        <v>34</v>
      </c>
      <c r="C1987" s="12">
        <f>IF(LEFT(H1987,5)="VALID",N1987,"")</f>
        <v>48</v>
      </c>
      <c r="D1987" s="10" t="s">
        <v>82</v>
      </c>
      <c r="E1987" s="10" t="s">
        <v>2277</v>
      </c>
      <c r="F1987" s="10" t="s">
        <v>200</v>
      </c>
      <c r="G1987" s="10" t="s">
        <v>186</v>
      </c>
      <c r="H1987" s="11" t="str">
        <f>IF(OR(M1987&lt;=0,N1987&lt;=0),"SKIPPED - NONPOSITIVE",IF(OR(M1987&lt;L1987,N1987&lt;L1987),"SKIPPED - BELOW MIN",IF(OR(M1987&gt;J1987,N1987&gt;K1987),"SKIPPED - EXCEEDS BASE",IF(COUNTIFS($M$1957:M1986,M1987,$N$1957:N1986,N1987)&gt;0,"SKIPPED - DUPLICATE","VALID - GENERATED"))))</f>
        <v>VALID - GENERATED</v>
      </c>
      <c r="I1987" s="10" t="s">
        <v>2278</v>
      </c>
      <c r="J1987" s="12">
        <f>'05-ISO Reference'!$B$26</f>
        <v>62</v>
      </c>
      <c r="K1987" s="12">
        <f>'05-ISO Reference'!$C$26</f>
        <v>88</v>
      </c>
      <c r="L1987" s="12">
        <f>'01-Process Controls'!$G$5</f>
        <v>3</v>
      </c>
      <c r="M1987" s="12">
        <f>ROUNDDOWN(J1987*'04-Variant Rules'!$D$35,0)</f>
        <v>34</v>
      </c>
      <c r="N1987" s="12">
        <f>ROUNDDOWN(K1987*'04-Variant Rules'!$E$35,0)</f>
        <v>48</v>
      </c>
      <c r="O1987" s="9">
        <v>30</v>
      </c>
    </row>
    <row r="1988" spans="1:15" ht="21" customHeight="1">
      <c r="A1988" s="9" t="s">
        <v>2309</v>
      </c>
      <c r="B1988" s="12">
        <f>IF(LEFT(H1988,5)="VALID",M1988,"")</f>
        <v>27</v>
      </c>
      <c r="C1988" s="12">
        <f>IF(LEFT(H1988,5)="VALID",N1988,"")</f>
        <v>39</v>
      </c>
      <c r="D1988" s="10" t="s">
        <v>82</v>
      </c>
      <c r="E1988" s="10" t="s">
        <v>2277</v>
      </c>
      <c r="F1988" s="10" t="s">
        <v>202</v>
      </c>
      <c r="G1988" s="10" t="s">
        <v>186</v>
      </c>
      <c r="H1988" s="11" t="str">
        <f>IF(OR(M1988&lt;=0,N1988&lt;=0),"SKIPPED - NONPOSITIVE",IF(OR(M1988&lt;L1988,N1988&lt;L1988),"SKIPPED - BELOW MIN",IF(OR(M1988&gt;J1988,N1988&gt;K1988),"SKIPPED - EXCEEDS BASE",IF(COUNTIFS($M$1957:M1987,M1988,$N$1957:N1987,N1988)&gt;0,"SKIPPED - DUPLICATE","VALID - GENERATED"))))</f>
        <v>VALID - GENERATED</v>
      </c>
      <c r="I1988" s="10" t="s">
        <v>2278</v>
      </c>
      <c r="J1988" s="12">
        <f>'05-ISO Reference'!$B$26</f>
        <v>62</v>
      </c>
      <c r="K1988" s="12">
        <f>'05-ISO Reference'!$C$26</f>
        <v>88</v>
      </c>
      <c r="L1988" s="12">
        <f>'01-Process Controls'!$G$5</f>
        <v>3</v>
      </c>
      <c r="M1988" s="12">
        <f>ROUNDDOWN(J1988*'04-Variant Rules'!$D$36,0)</f>
        <v>27</v>
      </c>
      <c r="N1988" s="12">
        <f>ROUNDDOWN(K1988*'04-Variant Rules'!$E$36,0)</f>
        <v>39</v>
      </c>
      <c r="O1988" s="9">
        <v>31</v>
      </c>
    </row>
    <row r="1989" spans="1:15" ht="21" customHeight="1">
      <c r="A1989" s="9" t="s">
        <v>2310</v>
      </c>
      <c r="B1989" s="12">
        <f>IF(LEFT(H1989,5)="VALID",M1989,"")</f>
        <v>24</v>
      </c>
      <c r="C1989" s="12">
        <f>IF(LEFT(H1989,5)="VALID",N1989,"")</f>
        <v>35</v>
      </c>
      <c r="D1989" s="10" t="s">
        <v>82</v>
      </c>
      <c r="E1989" s="10" t="s">
        <v>2277</v>
      </c>
      <c r="F1989" s="10" t="s">
        <v>204</v>
      </c>
      <c r="G1989" s="10" t="s">
        <v>186</v>
      </c>
      <c r="H1989" s="11" t="str">
        <f>IF(OR(M1989&lt;=0,N1989&lt;=0),"SKIPPED - NONPOSITIVE",IF(OR(M1989&lt;L1989,N1989&lt;L1989),"SKIPPED - BELOW MIN",IF(OR(M1989&gt;J1989,N1989&gt;K1989),"SKIPPED - EXCEEDS BASE",IF(COUNTIFS($M$1957:M1988,M1989,$N$1957:N1988,N1989)&gt;0,"SKIPPED - DUPLICATE","VALID - GENERATED"))))</f>
        <v>VALID - GENERATED</v>
      </c>
      <c r="I1989" s="10" t="s">
        <v>2278</v>
      </c>
      <c r="J1989" s="12">
        <f>'05-ISO Reference'!$B$26</f>
        <v>62</v>
      </c>
      <c r="K1989" s="12">
        <f>'05-ISO Reference'!$C$26</f>
        <v>88</v>
      </c>
      <c r="L1989" s="12">
        <f>'01-Process Controls'!$G$5</f>
        <v>3</v>
      </c>
      <c r="M1989" s="12">
        <f>ROUNDDOWN(J1989*'04-Variant Rules'!$D$37,0)</f>
        <v>24</v>
      </c>
      <c r="N1989" s="12">
        <f>ROUNDDOWN(K1989*'04-Variant Rules'!$E$37,0)</f>
        <v>35</v>
      </c>
      <c r="O1989" s="9">
        <v>32</v>
      </c>
    </row>
    <row r="1990" spans="1:15" ht="21" customHeight="1">
      <c r="A1990" s="9" t="s">
        <v>2311</v>
      </c>
      <c r="B1990" s="12">
        <f>IF(LEFT(H1990,5)="VALID",M1990,"")</f>
        <v>21</v>
      </c>
      <c r="C1990" s="12">
        <f>IF(LEFT(H1990,5)="VALID",N1990,"")</f>
        <v>30</v>
      </c>
      <c r="D1990" s="10" t="s">
        <v>82</v>
      </c>
      <c r="E1990" s="10" t="s">
        <v>2277</v>
      </c>
      <c r="F1990" s="10" t="s">
        <v>206</v>
      </c>
      <c r="G1990" s="10" t="s">
        <v>186</v>
      </c>
      <c r="H1990" s="11" t="str">
        <f>IF(OR(M1990&lt;=0,N1990&lt;=0),"SKIPPED - NONPOSITIVE",IF(OR(M1990&lt;L1990,N1990&lt;L1990),"SKIPPED - BELOW MIN",IF(OR(M1990&gt;J1990,N1990&gt;K1990),"SKIPPED - EXCEEDS BASE",IF(COUNTIFS($M$1957:M1989,M1990,$N$1957:N1989,N1990)&gt;0,"SKIPPED - DUPLICATE","VALID - GENERATED"))))</f>
        <v>VALID - GENERATED</v>
      </c>
      <c r="I1990" s="10" t="s">
        <v>2278</v>
      </c>
      <c r="J1990" s="12">
        <f>'05-ISO Reference'!$B$26</f>
        <v>62</v>
      </c>
      <c r="K1990" s="12">
        <f>'05-ISO Reference'!$C$26</f>
        <v>88</v>
      </c>
      <c r="L1990" s="12">
        <f>'01-Process Controls'!$G$5</f>
        <v>3</v>
      </c>
      <c r="M1990" s="12">
        <f>ROUNDDOWN(J1990*'04-Variant Rules'!$D$38,0)</f>
        <v>21</v>
      </c>
      <c r="N1990" s="12">
        <f>ROUNDDOWN(K1990*'04-Variant Rules'!$E$38,0)</f>
        <v>30</v>
      </c>
      <c r="O1990" s="9">
        <v>33</v>
      </c>
    </row>
    <row r="1991" spans="1:15" ht="21" customHeight="1">
      <c r="A1991" s="9" t="s">
        <v>2312</v>
      </c>
      <c r="B1991" s="12">
        <f>IF(LEFT(H1991,5)="VALID",M1991,"")</f>
        <v>18</v>
      </c>
      <c r="C1991" s="12">
        <f>IF(LEFT(H1991,5)="VALID",N1991,"")</f>
        <v>26</v>
      </c>
      <c r="D1991" s="10" t="s">
        <v>82</v>
      </c>
      <c r="E1991" s="10" t="s">
        <v>2277</v>
      </c>
      <c r="F1991" s="10" t="s">
        <v>208</v>
      </c>
      <c r="G1991" s="10" t="s">
        <v>186</v>
      </c>
      <c r="H1991" s="11" t="str">
        <f>IF(OR(M1991&lt;=0,N1991&lt;=0),"SKIPPED - NONPOSITIVE",IF(OR(M1991&lt;L1991,N1991&lt;L1991),"SKIPPED - BELOW MIN",IF(OR(M1991&gt;J1991,N1991&gt;K1991),"SKIPPED - EXCEEDS BASE",IF(COUNTIFS($M$1957:M1990,M1991,$N$1957:N1990,N1991)&gt;0,"SKIPPED - DUPLICATE","VALID - GENERATED"))))</f>
        <v>VALID - GENERATED</v>
      </c>
      <c r="I1991" s="10" t="s">
        <v>2278</v>
      </c>
      <c r="J1991" s="12">
        <f>'05-ISO Reference'!$B$26</f>
        <v>62</v>
      </c>
      <c r="K1991" s="12">
        <f>'05-ISO Reference'!$C$26</f>
        <v>88</v>
      </c>
      <c r="L1991" s="12">
        <f>'01-Process Controls'!$G$5</f>
        <v>3</v>
      </c>
      <c r="M1991" s="12">
        <f>ROUNDDOWN(J1991*'04-Variant Rules'!$D$39,0)</f>
        <v>18</v>
      </c>
      <c r="N1991" s="12">
        <f>ROUNDDOWN(K1991*'04-Variant Rules'!$E$39,0)</f>
        <v>26</v>
      </c>
      <c r="O1991" s="9">
        <v>34</v>
      </c>
    </row>
    <row r="1992" spans="1:15" ht="21" customHeight="1">
      <c r="A1992" s="9" t="s">
        <v>2313</v>
      </c>
      <c r="B1992" s="12">
        <f>IF(LEFT(H1992,5)="VALID",M1992,"")</f>
        <v>12</v>
      </c>
      <c r="C1992" s="12">
        <f>IF(LEFT(H1992,5)="VALID",N1992,"")</f>
        <v>17</v>
      </c>
      <c r="D1992" s="10" t="s">
        <v>82</v>
      </c>
      <c r="E1992" s="10" t="s">
        <v>2277</v>
      </c>
      <c r="F1992" s="10" t="s">
        <v>210</v>
      </c>
      <c r="G1992" s="10" t="s">
        <v>186</v>
      </c>
      <c r="H1992" s="11" t="str">
        <f>IF(OR(M1992&lt;=0,N1992&lt;=0),"SKIPPED - NONPOSITIVE",IF(OR(M1992&lt;L1992,N1992&lt;L1992),"SKIPPED - BELOW MIN",IF(OR(M1992&gt;J1992,N1992&gt;K1992),"SKIPPED - EXCEEDS BASE",IF(COUNTIFS($M$1957:M1991,M1992,$N$1957:N1991,N1992)&gt;0,"SKIPPED - DUPLICATE","VALID - GENERATED"))))</f>
        <v>VALID - GENERATED</v>
      </c>
      <c r="I1992" s="10" t="s">
        <v>2278</v>
      </c>
      <c r="J1992" s="12">
        <f>'05-ISO Reference'!$B$26</f>
        <v>62</v>
      </c>
      <c r="K1992" s="12">
        <f>'05-ISO Reference'!$C$26</f>
        <v>88</v>
      </c>
      <c r="L1992" s="12">
        <f>'01-Process Controls'!$G$5</f>
        <v>3</v>
      </c>
      <c r="M1992" s="12">
        <f>ROUNDDOWN(J1992*'04-Variant Rules'!$D$40,0)</f>
        <v>12</v>
      </c>
      <c r="N1992" s="12">
        <f>ROUNDDOWN(K1992*'04-Variant Rules'!$E$40,0)</f>
        <v>17</v>
      </c>
      <c r="O1992" s="9">
        <v>35</v>
      </c>
    </row>
    <row r="1993" spans="1:15" ht="21" customHeight="1">
      <c r="A1993" s="9" t="s">
        <v>2314</v>
      </c>
      <c r="B1993" s="12">
        <f>IF(LEFT(H1993,5)="VALID",M1993,"")</f>
        <v>9</v>
      </c>
      <c r="C1993" s="12">
        <f>IF(LEFT(H1993,5)="VALID",N1993,"")</f>
        <v>13</v>
      </c>
      <c r="D1993" s="10" t="s">
        <v>82</v>
      </c>
      <c r="E1993" s="10" t="s">
        <v>2277</v>
      </c>
      <c r="F1993" s="10" t="s">
        <v>212</v>
      </c>
      <c r="G1993" s="10" t="s">
        <v>213</v>
      </c>
      <c r="H1993" s="11" t="str">
        <f>IF(OR(M1993&lt;=0,N1993&lt;=0),"SKIPPED - NONPOSITIVE",IF(OR(M1993&lt;L1993,N1993&lt;L1993),"SKIPPED - BELOW MIN",IF(OR(M1993&gt;J1993,N1993&gt;K1993),"SKIPPED - EXCEEDS BASE",IF(COUNTIFS($M$1957:M1992,M1993,$N$1957:N1992,N1993)&gt;0,"SKIPPED - DUPLICATE","VALID - GENERATED"))))</f>
        <v>VALID - GENERATED</v>
      </c>
      <c r="I1993" s="10" t="s">
        <v>2278</v>
      </c>
      <c r="J1993" s="12">
        <f>'05-ISO Reference'!$B$26</f>
        <v>62</v>
      </c>
      <c r="K1993" s="12">
        <f>'05-ISO Reference'!$C$26</f>
        <v>88</v>
      </c>
      <c r="L1993" s="12">
        <f>'01-Process Controls'!$G$5</f>
        <v>3</v>
      </c>
      <c r="M1993" s="12">
        <f>ROUNDDOWN(J1993*'04-Variant Rules'!$D$41,0)</f>
        <v>9</v>
      </c>
      <c r="N1993" s="12">
        <f>ROUNDDOWN(K1993*'04-Variant Rules'!$E$41,0)</f>
        <v>13</v>
      </c>
      <c r="O1993" s="9">
        <v>36</v>
      </c>
    </row>
    <row r="1994" spans="1:15" ht="21" customHeight="1">
      <c r="A1994" s="9" t="s">
        <v>2315</v>
      </c>
      <c r="B1994" s="12">
        <f>IF(LEFT(H1994,5)="VALID",M1994,"")</f>
        <v>62</v>
      </c>
      <c r="C1994" s="12">
        <f>IF(LEFT(H1994,5)="VALID",N1994,"")</f>
        <v>62</v>
      </c>
      <c r="D1994" s="10" t="s">
        <v>82</v>
      </c>
      <c r="E1994" s="10" t="s">
        <v>2277</v>
      </c>
      <c r="F1994" s="10" t="s">
        <v>215</v>
      </c>
      <c r="G1994" s="10" t="s">
        <v>216</v>
      </c>
      <c r="H1994" s="11" t="str">
        <f>IF(OR(M1994&lt;=0,N1994&lt;=0),"SKIPPED - NONPOSITIVE",IF(OR(M1994&lt;L1994,N1994&lt;L1994),"SKIPPED - BELOW MIN",IF(OR(M1994&gt;J1994,N1994&gt;K1994),"SKIPPED - EXCEEDS BASE",IF(COUNTIFS($M$1957:M1993,M1994,$N$1957:N1993,N1994)&gt;0,"SKIPPED - DUPLICATE","VALID - GENERATED"))))</f>
        <v>VALID - GENERATED</v>
      </c>
      <c r="I1994" s="10" t="s">
        <v>2278</v>
      </c>
      <c r="J1994" s="12">
        <f>'05-ISO Reference'!$B$26</f>
        <v>62</v>
      </c>
      <c r="K1994" s="12">
        <f>'05-ISO Reference'!$C$26</f>
        <v>88</v>
      </c>
      <c r="L1994" s="12">
        <f>'01-Process Controls'!$G$5</f>
        <v>3</v>
      </c>
      <c r="M1994" s="12">
        <f>ROUNDDOWN(MIN(J1994,K1994)*'04-Variant Rules'!$D$42,0)</f>
        <v>62</v>
      </c>
      <c r="N1994" s="12">
        <f>ROUNDDOWN(MIN(J1994,K1994)*'04-Variant Rules'!$D$42,0)</f>
        <v>62</v>
      </c>
      <c r="O1994" s="9">
        <v>37</v>
      </c>
    </row>
    <row r="1995" spans="1:15" ht="21" customHeight="1">
      <c r="A1995" s="9" t="s">
        <v>2316</v>
      </c>
      <c r="B1995" s="12">
        <f>IF(LEFT(H1995,5)="VALID",M1995,"")</f>
        <v>55</v>
      </c>
      <c r="C1995" s="12">
        <f>IF(LEFT(H1995,5)="VALID",N1995,"")</f>
        <v>55</v>
      </c>
      <c r="D1995" s="10" t="s">
        <v>82</v>
      </c>
      <c r="E1995" s="10" t="s">
        <v>2277</v>
      </c>
      <c r="F1995" s="10" t="s">
        <v>218</v>
      </c>
      <c r="G1995" s="10" t="s">
        <v>219</v>
      </c>
      <c r="H1995" s="11" t="str">
        <f>IF(OR(M1995&lt;=0,N1995&lt;=0),"SKIPPED - NONPOSITIVE",IF(OR(M1995&lt;L1995,N1995&lt;L1995),"SKIPPED - BELOW MIN",IF(OR(M1995&gt;J1995,N1995&gt;K1995),"SKIPPED - EXCEEDS BASE",IF(COUNTIFS($M$1957:M1994,M1995,$N$1957:N1994,N1995)&gt;0,"SKIPPED - DUPLICATE","VALID - GENERATED"))))</f>
        <v>VALID - GENERATED</v>
      </c>
      <c r="I1995" s="10" t="s">
        <v>2278</v>
      </c>
      <c r="J1995" s="12">
        <f>'05-ISO Reference'!$B$26</f>
        <v>62</v>
      </c>
      <c r="K1995" s="12">
        <f>'05-ISO Reference'!$C$26</f>
        <v>88</v>
      </c>
      <c r="L1995" s="12">
        <f>'01-Process Controls'!$G$5</f>
        <v>3</v>
      </c>
      <c r="M1995" s="12">
        <f>ROUNDDOWN(MIN(J1995,K1995)*'04-Variant Rules'!$D$43,0)</f>
        <v>55</v>
      </c>
      <c r="N1995" s="12">
        <f>ROUNDDOWN(MIN(J1995,K1995)*'04-Variant Rules'!$D$43,0)</f>
        <v>55</v>
      </c>
      <c r="O1995" s="9">
        <v>38</v>
      </c>
    </row>
    <row r="1996" spans="1:15" ht="21" customHeight="1">
      <c r="A1996" s="9" t="s">
        <v>2317</v>
      </c>
      <c r="B1996" s="12">
        <f>IF(LEFT(H1996,5)="VALID",M1996,"")</f>
        <v>49</v>
      </c>
      <c r="C1996" s="12">
        <f>IF(LEFT(H1996,5)="VALID",N1996,"")</f>
        <v>49</v>
      </c>
      <c r="D1996" s="10" t="s">
        <v>82</v>
      </c>
      <c r="E1996" s="10" t="s">
        <v>2277</v>
      </c>
      <c r="F1996" s="10" t="s">
        <v>221</v>
      </c>
      <c r="G1996" s="10" t="s">
        <v>219</v>
      </c>
      <c r="H1996" s="11" t="str">
        <f>IF(OR(M1996&lt;=0,N1996&lt;=0),"SKIPPED - NONPOSITIVE",IF(OR(M1996&lt;L1996,N1996&lt;L1996),"SKIPPED - BELOW MIN",IF(OR(M1996&gt;J1996,N1996&gt;K1996),"SKIPPED - EXCEEDS BASE",IF(COUNTIFS($M$1957:M1995,M1996,$N$1957:N1995,N1996)&gt;0,"SKIPPED - DUPLICATE","VALID - GENERATED"))))</f>
        <v>VALID - GENERATED</v>
      </c>
      <c r="I1996" s="10" t="s">
        <v>2278</v>
      </c>
      <c r="J1996" s="12">
        <f>'05-ISO Reference'!$B$26</f>
        <v>62</v>
      </c>
      <c r="K1996" s="12">
        <f>'05-ISO Reference'!$C$26</f>
        <v>88</v>
      </c>
      <c r="L1996" s="12">
        <f>'01-Process Controls'!$G$5</f>
        <v>3</v>
      </c>
      <c r="M1996" s="12">
        <f>ROUNDDOWN(MIN(J1996,K1996)*'04-Variant Rules'!$D$44,0)</f>
        <v>49</v>
      </c>
      <c r="N1996" s="12">
        <f>ROUNDDOWN(MIN(J1996,K1996)*'04-Variant Rules'!$D$44,0)</f>
        <v>49</v>
      </c>
      <c r="O1996" s="9">
        <v>39</v>
      </c>
    </row>
    <row r="1997" spans="1:15" ht="21" customHeight="1">
      <c r="A1997" s="9" t="s">
        <v>2318</v>
      </c>
      <c r="B1997" s="12">
        <f>IF(LEFT(H1997,5)="VALID",M1997,"")</f>
        <v>46</v>
      </c>
      <c r="C1997" s="12">
        <f>IF(LEFT(H1997,5)="VALID",N1997,"")</f>
        <v>46</v>
      </c>
      <c r="D1997" s="10" t="s">
        <v>82</v>
      </c>
      <c r="E1997" s="10" t="s">
        <v>2277</v>
      </c>
      <c r="F1997" s="10" t="s">
        <v>223</v>
      </c>
      <c r="G1997" s="10" t="s">
        <v>219</v>
      </c>
      <c r="H1997" s="11" t="str">
        <f>IF(OR(M1997&lt;=0,N1997&lt;=0),"SKIPPED - NONPOSITIVE",IF(OR(M1997&lt;L1997,N1997&lt;L1997),"SKIPPED - BELOW MIN",IF(OR(M1997&gt;J1997,N1997&gt;K1997),"SKIPPED - EXCEEDS BASE",IF(COUNTIFS($M$1957:M1996,M1997,$N$1957:N1996,N1997)&gt;0,"SKIPPED - DUPLICATE","VALID - GENERATED"))))</f>
        <v>VALID - GENERATED</v>
      </c>
      <c r="I1997" s="10" t="s">
        <v>2278</v>
      </c>
      <c r="J1997" s="12">
        <f>'05-ISO Reference'!$B$26</f>
        <v>62</v>
      </c>
      <c r="K1997" s="12">
        <f>'05-ISO Reference'!$C$26</f>
        <v>88</v>
      </c>
      <c r="L1997" s="12">
        <f>'01-Process Controls'!$G$5</f>
        <v>3</v>
      </c>
      <c r="M1997" s="12">
        <f>ROUNDDOWN(MIN(J1997,K1997)*'04-Variant Rules'!$D$45,0)</f>
        <v>46</v>
      </c>
      <c r="N1997" s="12">
        <f>ROUNDDOWN(MIN(J1997,K1997)*'04-Variant Rules'!$D$45,0)</f>
        <v>46</v>
      </c>
      <c r="O1997" s="9">
        <v>40</v>
      </c>
    </row>
    <row r="1998" spans="1:15" ht="21" customHeight="1">
      <c r="A1998" s="9" t="s">
        <v>2319</v>
      </c>
      <c r="B1998" s="12">
        <f>IF(LEFT(H1998,5)="VALID",M1998,"")</f>
        <v>41</v>
      </c>
      <c r="C1998" s="12">
        <f>IF(LEFT(H1998,5)="VALID",N1998,"")</f>
        <v>41</v>
      </c>
      <c r="D1998" s="10" t="s">
        <v>82</v>
      </c>
      <c r="E1998" s="10" t="s">
        <v>2277</v>
      </c>
      <c r="F1998" s="10" t="s">
        <v>225</v>
      </c>
      <c r="G1998" s="10" t="s">
        <v>219</v>
      </c>
      <c r="H1998" s="11" t="str">
        <f>IF(OR(M1998&lt;=0,N1998&lt;=0),"SKIPPED - NONPOSITIVE",IF(OR(M1998&lt;L1998,N1998&lt;L1998),"SKIPPED - BELOW MIN",IF(OR(M1998&gt;J1998,N1998&gt;K1998),"SKIPPED - EXCEEDS BASE",IF(COUNTIFS($M$1957:M1997,M1998,$N$1957:N1997,N1998)&gt;0,"SKIPPED - DUPLICATE","VALID - GENERATED"))))</f>
        <v>VALID - GENERATED</v>
      </c>
      <c r="I1998" s="10" t="s">
        <v>2278</v>
      </c>
      <c r="J1998" s="12">
        <f>'05-ISO Reference'!$B$26</f>
        <v>62</v>
      </c>
      <c r="K1998" s="12">
        <f>'05-ISO Reference'!$C$26</f>
        <v>88</v>
      </c>
      <c r="L1998" s="12">
        <f>'01-Process Controls'!$G$5</f>
        <v>3</v>
      </c>
      <c r="M1998" s="12">
        <f>ROUNDDOWN(MIN(J1998,K1998)*'04-Variant Rules'!$D$46,0)</f>
        <v>41</v>
      </c>
      <c r="N1998" s="12">
        <f>ROUNDDOWN(MIN(J1998,K1998)*'04-Variant Rules'!$D$46,0)</f>
        <v>41</v>
      </c>
      <c r="O1998" s="9">
        <v>41</v>
      </c>
    </row>
    <row r="1999" spans="1:15" ht="21" customHeight="1">
      <c r="A1999" s="9" t="s">
        <v>2320</v>
      </c>
      <c r="B1999" s="12">
        <f>IF(LEFT(H1999,5)="VALID",M1999,"")</f>
        <v>37</v>
      </c>
      <c r="C1999" s="12">
        <f>IF(LEFT(H1999,5)="VALID",N1999,"")</f>
        <v>37</v>
      </c>
      <c r="D1999" s="10" t="s">
        <v>82</v>
      </c>
      <c r="E1999" s="10" t="s">
        <v>2277</v>
      </c>
      <c r="F1999" s="10" t="s">
        <v>227</v>
      </c>
      <c r="G1999" s="10" t="s">
        <v>219</v>
      </c>
      <c r="H1999" s="11" t="str">
        <f>IF(OR(M1999&lt;=0,N1999&lt;=0),"SKIPPED - NONPOSITIVE",IF(OR(M1999&lt;L1999,N1999&lt;L1999),"SKIPPED - BELOW MIN",IF(OR(M1999&gt;J1999,N1999&gt;K1999),"SKIPPED - EXCEEDS BASE",IF(COUNTIFS($M$1957:M1998,M1999,$N$1957:N1998,N1999)&gt;0,"SKIPPED - DUPLICATE","VALID - GENERATED"))))</f>
        <v>VALID - GENERATED</v>
      </c>
      <c r="I1999" s="10" t="s">
        <v>2278</v>
      </c>
      <c r="J1999" s="12">
        <f>'05-ISO Reference'!$B$26</f>
        <v>62</v>
      </c>
      <c r="K1999" s="12">
        <f>'05-ISO Reference'!$C$26</f>
        <v>88</v>
      </c>
      <c r="L1999" s="12">
        <f>'01-Process Controls'!$G$5</f>
        <v>3</v>
      </c>
      <c r="M1999" s="12">
        <f>ROUNDDOWN(MIN(J1999,K1999)*'04-Variant Rules'!$D$47,0)</f>
        <v>37</v>
      </c>
      <c r="N1999" s="12">
        <f>ROUNDDOWN(MIN(J1999,K1999)*'04-Variant Rules'!$D$47,0)</f>
        <v>37</v>
      </c>
      <c r="O1999" s="9">
        <v>42</v>
      </c>
    </row>
    <row r="2000" spans="1:15" ht="21" customHeight="1">
      <c r="A2000" s="9" t="s">
        <v>2321</v>
      </c>
      <c r="B2000" s="12">
        <f>IF(LEFT(H2000,5)="VALID",M2000,"")</f>
        <v>31</v>
      </c>
      <c r="C2000" s="12">
        <f>IF(LEFT(H2000,5)="VALID",N2000,"")</f>
        <v>31</v>
      </c>
      <c r="D2000" s="10" t="s">
        <v>82</v>
      </c>
      <c r="E2000" s="10" t="s">
        <v>2277</v>
      </c>
      <c r="F2000" s="10" t="s">
        <v>229</v>
      </c>
      <c r="G2000" s="10" t="s">
        <v>219</v>
      </c>
      <c r="H2000" s="11" t="str">
        <f>IF(OR(M2000&lt;=0,N2000&lt;=0),"SKIPPED - NONPOSITIVE",IF(OR(M2000&lt;L2000,N2000&lt;L2000),"SKIPPED - BELOW MIN",IF(OR(M2000&gt;J2000,N2000&gt;K2000),"SKIPPED - EXCEEDS BASE",IF(COUNTIFS($M$1957:M1999,M2000,$N$1957:N1999,N2000)&gt;0,"SKIPPED - DUPLICATE","VALID - GENERATED"))))</f>
        <v>VALID - GENERATED</v>
      </c>
      <c r="I2000" s="10" t="s">
        <v>2278</v>
      </c>
      <c r="J2000" s="12">
        <f>'05-ISO Reference'!$B$26</f>
        <v>62</v>
      </c>
      <c r="K2000" s="12">
        <f>'05-ISO Reference'!$C$26</f>
        <v>88</v>
      </c>
      <c r="L2000" s="12">
        <f>'01-Process Controls'!$G$5</f>
        <v>3</v>
      </c>
      <c r="M2000" s="12">
        <f>ROUNDDOWN(MIN(J2000,K2000)*'04-Variant Rules'!$D$48,0)</f>
        <v>31</v>
      </c>
      <c r="N2000" s="12">
        <f>ROUNDDOWN(MIN(J2000,K2000)*'04-Variant Rules'!$D$48,0)</f>
        <v>31</v>
      </c>
      <c r="O2000" s="9">
        <v>43</v>
      </c>
    </row>
    <row r="2001" spans="1:15" ht="21" customHeight="1">
      <c r="A2001" s="9" t="s">
        <v>2322</v>
      </c>
      <c r="B2001" s="12">
        <f>IF(LEFT(H2001,5)="VALID",M2001,"")</f>
        <v>24</v>
      </c>
      <c r="C2001" s="12">
        <f>IF(LEFT(H2001,5)="VALID",N2001,"")</f>
        <v>24</v>
      </c>
      <c r="D2001" s="10" t="s">
        <v>82</v>
      </c>
      <c r="E2001" s="10" t="s">
        <v>2277</v>
      </c>
      <c r="F2001" s="10" t="s">
        <v>231</v>
      </c>
      <c r="G2001" s="10" t="s">
        <v>219</v>
      </c>
      <c r="H2001" s="11" t="str">
        <f>IF(OR(M2001&lt;=0,N2001&lt;=0),"SKIPPED - NONPOSITIVE",IF(OR(M2001&lt;L2001,N2001&lt;L2001),"SKIPPED - BELOW MIN",IF(OR(M2001&gt;J2001,N2001&gt;K2001),"SKIPPED - EXCEEDS BASE",IF(COUNTIFS($M$1957:M2000,M2001,$N$1957:N2000,N2001)&gt;0,"SKIPPED - DUPLICATE","VALID - GENERATED"))))</f>
        <v>VALID - GENERATED</v>
      </c>
      <c r="I2001" s="10" t="s">
        <v>2278</v>
      </c>
      <c r="J2001" s="12">
        <f>'05-ISO Reference'!$B$26</f>
        <v>62</v>
      </c>
      <c r="K2001" s="12">
        <f>'05-ISO Reference'!$C$26</f>
        <v>88</v>
      </c>
      <c r="L2001" s="12">
        <f>'01-Process Controls'!$G$5</f>
        <v>3</v>
      </c>
      <c r="M2001" s="12">
        <f>ROUNDDOWN(MIN(J2001,K2001)*'04-Variant Rules'!$D$49,0)</f>
        <v>24</v>
      </c>
      <c r="N2001" s="12">
        <f>ROUNDDOWN(MIN(J2001,K2001)*'04-Variant Rules'!$D$49,0)</f>
        <v>24</v>
      </c>
      <c r="O2001" s="9">
        <v>44</v>
      </c>
    </row>
    <row r="2002" spans="1:15" ht="21" customHeight="1">
      <c r="A2002" s="9" t="s">
        <v>2323</v>
      </c>
      <c r="B2002" s="12">
        <f>IF(LEFT(H2002,5)="VALID",M2002,"")</f>
        <v>20</v>
      </c>
      <c r="C2002" s="12">
        <f>IF(LEFT(H2002,5)="VALID",N2002,"")</f>
        <v>20</v>
      </c>
      <c r="D2002" s="10" t="s">
        <v>82</v>
      </c>
      <c r="E2002" s="10" t="s">
        <v>2277</v>
      </c>
      <c r="F2002" s="10" t="s">
        <v>233</v>
      </c>
      <c r="G2002" s="10" t="s">
        <v>219</v>
      </c>
      <c r="H2002" s="11" t="str">
        <f>IF(OR(M2002&lt;=0,N2002&lt;=0),"SKIPPED - NONPOSITIVE",IF(OR(M2002&lt;L2002,N2002&lt;L2002),"SKIPPED - BELOW MIN",IF(OR(M2002&gt;J2002,N2002&gt;K2002),"SKIPPED - EXCEEDS BASE",IF(COUNTIFS($M$1957:M2001,M2002,$N$1957:N2001,N2002)&gt;0,"SKIPPED - DUPLICATE","VALID - GENERATED"))))</f>
        <v>VALID - GENERATED</v>
      </c>
      <c r="I2002" s="10" t="s">
        <v>2278</v>
      </c>
      <c r="J2002" s="12">
        <f>'05-ISO Reference'!$B$26</f>
        <v>62</v>
      </c>
      <c r="K2002" s="12">
        <f>'05-ISO Reference'!$C$26</f>
        <v>88</v>
      </c>
      <c r="L2002" s="12">
        <f>'01-Process Controls'!$G$5</f>
        <v>3</v>
      </c>
      <c r="M2002" s="12">
        <f>ROUNDDOWN(MIN(J2002,K2002)*'04-Variant Rules'!$D$50,0)</f>
        <v>20</v>
      </c>
      <c r="N2002" s="12">
        <f>ROUNDDOWN(MIN(J2002,K2002)*'04-Variant Rules'!$D$50,0)</f>
        <v>20</v>
      </c>
      <c r="O2002" s="9">
        <v>45</v>
      </c>
    </row>
    <row r="2003" spans="1:15" ht="21" customHeight="1">
      <c r="A2003" s="9" t="s">
        <v>2324</v>
      </c>
      <c r="B2003" s="12">
        <f>IF(LEFT(H2003,5)="VALID",M2003,"")</f>
        <v>15</v>
      </c>
      <c r="C2003" s="12">
        <f>IF(LEFT(H2003,5)="VALID",N2003,"")</f>
        <v>15</v>
      </c>
      <c r="D2003" s="10" t="s">
        <v>82</v>
      </c>
      <c r="E2003" s="10" t="s">
        <v>2277</v>
      </c>
      <c r="F2003" s="10" t="s">
        <v>235</v>
      </c>
      <c r="G2003" s="10" t="s">
        <v>219</v>
      </c>
      <c r="H2003" s="11" t="str">
        <f>IF(OR(M2003&lt;=0,N2003&lt;=0),"SKIPPED - NONPOSITIVE",IF(OR(M2003&lt;L2003,N2003&lt;L2003),"SKIPPED - BELOW MIN",IF(OR(M2003&gt;J2003,N2003&gt;K2003),"SKIPPED - EXCEEDS BASE",IF(COUNTIFS($M$1957:M2002,M2003,$N$1957:N2002,N2003)&gt;0,"SKIPPED - DUPLICATE","VALID - GENERATED"))))</f>
        <v>VALID - GENERATED</v>
      </c>
      <c r="I2003" s="10" t="s">
        <v>2278</v>
      </c>
      <c r="J2003" s="12">
        <f>'05-ISO Reference'!$B$26</f>
        <v>62</v>
      </c>
      <c r="K2003" s="12">
        <f>'05-ISO Reference'!$C$26</f>
        <v>88</v>
      </c>
      <c r="L2003" s="12">
        <f>'01-Process Controls'!$G$5</f>
        <v>3</v>
      </c>
      <c r="M2003" s="12">
        <f>ROUNDDOWN(MIN(J2003,K2003)*'04-Variant Rules'!$D$51,0)</f>
        <v>15</v>
      </c>
      <c r="N2003" s="12">
        <f>ROUNDDOWN(MIN(J2003,K2003)*'04-Variant Rules'!$D$51,0)</f>
        <v>15</v>
      </c>
      <c r="O2003" s="9">
        <v>46</v>
      </c>
    </row>
    <row r="2004" spans="1:15" ht="21" customHeight="1">
      <c r="A2004" s="9" t="s">
        <v>2325</v>
      </c>
      <c r="B2004" s="12">
        <f>IF(LEFT(H2004,5)="VALID",M2004,"")</f>
        <v>12</v>
      </c>
      <c r="C2004" s="12">
        <f>IF(LEFT(H2004,5)="VALID",N2004,"")</f>
        <v>12</v>
      </c>
      <c r="D2004" s="10" t="s">
        <v>82</v>
      </c>
      <c r="E2004" s="10" t="s">
        <v>2277</v>
      </c>
      <c r="F2004" s="10" t="s">
        <v>237</v>
      </c>
      <c r="G2004" s="10" t="s">
        <v>219</v>
      </c>
      <c r="H2004" s="11" t="str">
        <f>IF(OR(M2004&lt;=0,N2004&lt;=0),"SKIPPED - NONPOSITIVE",IF(OR(M2004&lt;L2004,N2004&lt;L2004),"SKIPPED - BELOW MIN",IF(OR(M2004&gt;J2004,N2004&gt;K2004),"SKIPPED - EXCEEDS BASE",IF(COUNTIFS($M$1957:M2003,M2004,$N$1957:N2003,N2004)&gt;0,"SKIPPED - DUPLICATE","VALID - GENERATED"))))</f>
        <v>VALID - GENERATED</v>
      </c>
      <c r="I2004" s="10" t="s">
        <v>2278</v>
      </c>
      <c r="J2004" s="12">
        <f>'05-ISO Reference'!$B$26</f>
        <v>62</v>
      </c>
      <c r="K2004" s="12">
        <f>'05-ISO Reference'!$C$26</f>
        <v>88</v>
      </c>
      <c r="L2004" s="12">
        <f>'01-Process Controls'!$G$5</f>
        <v>3</v>
      </c>
      <c r="M2004" s="12">
        <f>ROUNDDOWN(MIN(J2004,K2004)*'04-Variant Rules'!$D$52,0)</f>
        <v>12</v>
      </c>
      <c r="N2004" s="12">
        <f>ROUNDDOWN(MIN(J2004,K2004)*'04-Variant Rules'!$D$52,0)</f>
        <v>12</v>
      </c>
      <c r="O2004" s="9">
        <v>47</v>
      </c>
    </row>
    <row r="2005" spans="1:15" ht="21" customHeight="1">
      <c r="A2005" s="9" t="s">
        <v>2326</v>
      </c>
      <c r="B2005" s="12">
        <f>IF(LEFT(H2005,5)="VALID",M2005,"")</f>
        <v>62</v>
      </c>
      <c r="C2005" s="12">
        <f>IF(LEFT(H2005,5)="VALID",N2005,"")</f>
        <v>46</v>
      </c>
      <c r="D2005" s="10" t="s">
        <v>82</v>
      </c>
      <c r="E2005" s="10" t="s">
        <v>2277</v>
      </c>
      <c r="F2005" s="10" t="s">
        <v>239</v>
      </c>
      <c r="G2005" s="10" t="s">
        <v>240</v>
      </c>
      <c r="H2005" s="11" t="str">
        <f>IF(OR(M2005&lt;=0,N2005&lt;=0),"SKIPPED - NONPOSITIVE",IF(OR(M2005&lt;L2005,N2005&lt;L2005),"SKIPPED - BELOW MIN",IF(OR(M2005&gt;J2005,N2005&gt;K2005),"SKIPPED - EXCEEDS BASE",IF(COUNTIFS($M$1957:M2004,M2005,$N$1957:N2004,N2005)&gt;0,"SKIPPED - DUPLICATE","VALID - GENERATED"))))</f>
        <v>VALID - GENERATED</v>
      </c>
      <c r="I2005" s="10" t="s">
        <v>2278</v>
      </c>
      <c r="J2005" s="12">
        <f>'05-ISO Reference'!$B$26</f>
        <v>62</v>
      </c>
      <c r="K2005" s="12">
        <f>'05-ISO Reference'!$C$26</f>
        <v>88</v>
      </c>
      <c r="L2005" s="12">
        <f>'01-Process Controls'!$G$5</f>
        <v>3</v>
      </c>
      <c r="M2005" s="12">
        <f>ROUNDDOWN(MIN(J2005,K2005*'04-Variant Rules'!$D$53),0)</f>
        <v>62</v>
      </c>
      <c r="N2005" s="12">
        <f>ROUNDDOWN(M2005/'04-Variant Rules'!$D$53,0)</f>
        <v>46</v>
      </c>
      <c r="O2005" s="9">
        <v>48</v>
      </c>
    </row>
    <row r="2006" spans="1:15" ht="21" customHeight="1">
      <c r="A2006" s="9" t="s">
        <v>2327</v>
      </c>
      <c r="B2006" s="12">
        <f>IF(LEFT(H2006,5)="VALID",M2006,"")</f>
        <v>62</v>
      </c>
      <c r="C2006" s="12">
        <f>IF(LEFT(H2006,5)="VALID",N2006,"")</f>
        <v>82</v>
      </c>
      <c r="D2006" s="10" t="s">
        <v>82</v>
      </c>
      <c r="E2006" s="10" t="s">
        <v>2277</v>
      </c>
      <c r="F2006" s="10" t="s">
        <v>242</v>
      </c>
      <c r="G2006" s="10" t="s">
        <v>243</v>
      </c>
      <c r="H2006" s="11" t="str">
        <f>IF(OR(M2006&lt;=0,N2006&lt;=0),"SKIPPED - NONPOSITIVE",IF(OR(M2006&lt;L2006,N2006&lt;L2006),"SKIPPED - BELOW MIN",IF(OR(M2006&gt;J2006,N2006&gt;K2006),"SKIPPED - EXCEEDS BASE",IF(COUNTIFS($M$1957:M2005,M2006,$N$1957:N2005,N2006)&gt;0,"SKIPPED - DUPLICATE","VALID - GENERATED"))))</f>
        <v>VALID - GENERATED</v>
      </c>
      <c r="I2006" s="10" t="s">
        <v>2278</v>
      </c>
      <c r="J2006" s="12">
        <f>'05-ISO Reference'!$B$26</f>
        <v>62</v>
      </c>
      <c r="K2006" s="12">
        <f>'05-ISO Reference'!$C$26</f>
        <v>88</v>
      </c>
      <c r="L2006" s="12">
        <f>'01-Process Controls'!$G$5</f>
        <v>3</v>
      </c>
      <c r="M2006" s="12">
        <f>ROUNDDOWN(MIN(J2006,K2006*'04-Variant Rules'!$D$54),0)</f>
        <v>62</v>
      </c>
      <c r="N2006" s="12">
        <f>ROUNDDOWN(M2006/'04-Variant Rules'!$D$54,0)</f>
        <v>82</v>
      </c>
      <c r="O2006" s="9">
        <v>49</v>
      </c>
    </row>
    <row r="2007" spans="1:15" ht="21" customHeight="1">
      <c r="A2007" s="9" t="s">
        <v>2328</v>
      </c>
      <c r="B2007" s="12">
        <f>IF(LEFT(H2007,5)="VALID",M2007,"")</f>
        <v>62</v>
      </c>
      <c r="C2007" s="12">
        <f>IF(LEFT(H2007,5)="VALID",N2007,"")</f>
        <v>41</v>
      </c>
      <c r="D2007" s="10" t="s">
        <v>82</v>
      </c>
      <c r="E2007" s="10" t="s">
        <v>2277</v>
      </c>
      <c r="F2007" s="10" t="s">
        <v>245</v>
      </c>
      <c r="G2007" s="10" t="s">
        <v>246</v>
      </c>
      <c r="H2007" s="11" t="str">
        <f>IF(OR(M2007&lt;=0,N2007&lt;=0),"SKIPPED - NONPOSITIVE",IF(OR(M2007&lt;L2007,N2007&lt;L2007),"SKIPPED - BELOW MIN",IF(OR(M2007&gt;J2007,N2007&gt;K2007),"SKIPPED - EXCEEDS BASE",IF(COUNTIFS($M$1957:M2006,M2007,$N$1957:N2006,N2007)&gt;0,"SKIPPED - DUPLICATE","VALID - GENERATED"))))</f>
        <v>VALID - GENERATED</v>
      </c>
      <c r="I2007" s="10" t="s">
        <v>2278</v>
      </c>
      <c r="J2007" s="12">
        <f>'05-ISO Reference'!$B$26</f>
        <v>62</v>
      </c>
      <c r="K2007" s="12">
        <f>'05-ISO Reference'!$C$26</f>
        <v>88</v>
      </c>
      <c r="L2007" s="12">
        <f>'01-Process Controls'!$G$5</f>
        <v>3</v>
      </c>
      <c r="M2007" s="12">
        <f>ROUNDDOWN(MIN(J2007,K2007*'04-Variant Rules'!$D$55),0)</f>
        <v>62</v>
      </c>
      <c r="N2007" s="12">
        <f>ROUNDDOWN(M2007/'04-Variant Rules'!$D$55,0)</f>
        <v>41</v>
      </c>
      <c r="O2007" s="9">
        <v>50</v>
      </c>
    </row>
    <row r="2008" spans="1:15" ht="21" customHeight="1">
      <c r="A2008" s="9" t="s">
        <v>2329</v>
      </c>
      <c r="B2008" s="12">
        <f>IF(LEFT(H2008,5)="VALID",M2008,"")</f>
        <v>58</v>
      </c>
      <c r="C2008" s="12">
        <f>IF(LEFT(H2008,5)="VALID",N2008,"")</f>
        <v>87</v>
      </c>
      <c r="D2008" s="10" t="s">
        <v>82</v>
      </c>
      <c r="E2008" s="10" t="s">
        <v>2277</v>
      </c>
      <c r="F2008" s="10" t="s">
        <v>248</v>
      </c>
      <c r="G2008" s="10" t="s">
        <v>249</v>
      </c>
      <c r="H2008" s="11" t="str">
        <f>IF(OR(M2008&lt;=0,N2008&lt;=0),"SKIPPED - NONPOSITIVE",IF(OR(M2008&lt;L2008,N2008&lt;L2008),"SKIPPED - BELOW MIN",IF(OR(M2008&gt;J2008,N2008&gt;K2008),"SKIPPED - EXCEEDS BASE",IF(COUNTIFS($M$1957:M2007,M2008,$N$1957:N2007,N2008)&gt;0,"SKIPPED - DUPLICATE","VALID - GENERATED"))))</f>
        <v>VALID - GENERATED</v>
      </c>
      <c r="I2008" s="10" t="s">
        <v>2278</v>
      </c>
      <c r="J2008" s="12">
        <f>'05-ISO Reference'!$B$26</f>
        <v>62</v>
      </c>
      <c r="K2008" s="12">
        <f>'05-ISO Reference'!$C$26</f>
        <v>88</v>
      </c>
      <c r="L2008" s="12">
        <f>'01-Process Controls'!$G$5</f>
        <v>3</v>
      </c>
      <c r="M2008" s="12">
        <f>ROUNDDOWN(MIN(J2008,K2008*'04-Variant Rules'!$D$56),0)</f>
        <v>58</v>
      </c>
      <c r="N2008" s="12">
        <f>ROUNDDOWN(M2008/'04-Variant Rules'!$D$56,0)</f>
        <v>87</v>
      </c>
      <c r="O2008" s="9">
        <v>51</v>
      </c>
    </row>
    <row r="2009" spans="1:15" ht="21" customHeight="1">
      <c r="A2009" s="9" t="s">
        <v>2330</v>
      </c>
      <c r="B2009" s="12">
        <f>IF(LEFT(H2009,5)="VALID",M2009,"")</f>
        <v>62</v>
      </c>
      <c r="C2009" s="12">
        <f>IF(LEFT(H2009,5)="VALID",N2009,"")</f>
        <v>34</v>
      </c>
      <c r="D2009" s="10" t="s">
        <v>82</v>
      </c>
      <c r="E2009" s="10" t="s">
        <v>2277</v>
      </c>
      <c r="F2009" s="10" t="s">
        <v>251</v>
      </c>
      <c r="G2009" s="10" t="s">
        <v>252</v>
      </c>
      <c r="H2009" s="11" t="str">
        <f>IF(OR(M2009&lt;=0,N2009&lt;=0),"SKIPPED - NONPOSITIVE",IF(OR(M2009&lt;L2009,N2009&lt;L2009),"SKIPPED - BELOW MIN",IF(OR(M2009&gt;J2009,N2009&gt;K2009),"SKIPPED - EXCEEDS BASE",IF(COUNTIFS($M$1957:M2008,M2009,$N$1957:N2008,N2009)&gt;0,"SKIPPED - DUPLICATE","VALID - GENERATED"))))</f>
        <v>VALID - GENERATED</v>
      </c>
      <c r="I2009" s="10" t="s">
        <v>2278</v>
      </c>
      <c r="J2009" s="12">
        <f>'05-ISO Reference'!$B$26</f>
        <v>62</v>
      </c>
      <c r="K2009" s="12">
        <f>'05-ISO Reference'!$C$26</f>
        <v>88</v>
      </c>
      <c r="L2009" s="12">
        <f>'01-Process Controls'!$G$5</f>
        <v>3</v>
      </c>
      <c r="M2009" s="12">
        <f>ROUNDDOWN(MIN(J2009,K2009*'04-Variant Rules'!$D$57),0)</f>
        <v>62</v>
      </c>
      <c r="N2009" s="12">
        <f>ROUNDDOWN(M2009/'04-Variant Rules'!$D$57,0)</f>
        <v>34</v>
      </c>
      <c r="O2009" s="9">
        <v>52</v>
      </c>
    </row>
    <row r="2010" spans="1:15" ht="21" customHeight="1">
      <c r="A2010" s="9" t="s">
        <v>2331</v>
      </c>
      <c r="B2010" s="12">
        <f>IF(LEFT(H2010,5)="VALID",M2010,"")</f>
        <v>49</v>
      </c>
      <c r="C2010" s="12">
        <f>IF(LEFT(H2010,5)="VALID",N2010,"")</f>
        <v>87</v>
      </c>
      <c r="D2010" s="10" t="s">
        <v>82</v>
      </c>
      <c r="E2010" s="10" t="s">
        <v>2277</v>
      </c>
      <c r="F2010" s="10" t="s">
        <v>254</v>
      </c>
      <c r="G2010" s="10" t="s">
        <v>255</v>
      </c>
      <c r="H2010" s="11" t="str">
        <f>IF(OR(M2010&lt;=0,N2010&lt;=0),"SKIPPED - NONPOSITIVE",IF(OR(M2010&lt;L2010,N2010&lt;L2010),"SKIPPED - BELOW MIN",IF(OR(M2010&gt;J2010,N2010&gt;K2010),"SKIPPED - EXCEEDS BASE",IF(COUNTIFS($M$1957:M2009,M2010,$N$1957:N2009,N2010)&gt;0,"SKIPPED - DUPLICATE","VALID - GENERATED"))))</f>
        <v>VALID - GENERATED</v>
      </c>
      <c r="I2010" s="10" t="s">
        <v>2278</v>
      </c>
      <c r="J2010" s="12">
        <f>'05-ISO Reference'!$B$26</f>
        <v>62</v>
      </c>
      <c r="K2010" s="12">
        <f>'05-ISO Reference'!$C$26</f>
        <v>88</v>
      </c>
      <c r="L2010" s="12">
        <f>'01-Process Controls'!$G$5</f>
        <v>3</v>
      </c>
      <c r="M2010" s="12">
        <f>ROUNDDOWN(MIN(J2010,K2010*'04-Variant Rules'!$D$58),0)</f>
        <v>49</v>
      </c>
      <c r="N2010" s="12">
        <f>ROUNDDOWN(M2010/'04-Variant Rules'!$D$58,0)</f>
        <v>87</v>
      </c>
      <c r="O2010" s="9">
        <v>53</v>
      </c>
    </row>
    <row r="2011" spans="1:15" ht="21" customHeight="1">
      <c r="A2011" s="9" t="s">
        <v>2332</v>
      </c>
      <c r="B2011" s="12">
        <f>IF(LEFT(H2011,5)="VALID",M2011,"")</f>
        <v>62</v>
      </c>
      <c r="C2011" s="12">
        <f>IF(LEFT(H2011,5)="VALID",N2011,"")</f>
        <v>31</v>
      </c>
      <c r="D2011" s="10" t="s">
        <v>82</v>
      </c>
      <c r="E2011" s="10" t="s">
        <v>2277</v>
      </c>
      <c r="F2011" s="10" t="s">
        <v>257</v>
      </c>
      <c r="G2011" s="10" t="s">
        <v>258</v>
      </c>
      <c r="H2011" s="11" t="str">
        <f>IF(OR(M2011&lt;=0,N2011&lt;=0),"SKIPPED - NONPOSITIVE",IF(OR(M2011&lt;L2011,N2011&lt;L2011),"SKIPPED - BELOW MIN",IF(OR(M2011&gt;J2011,N2011&gt;K2011),"SKIPPED - EXCEEDS BASE",IF(COUNTIFS($M$1957:M2010,M2011,$N$1957:N2010,N2011)&gt;0,"SKIPPED - DUPLICATE","VALID - GENERATED"))))</f>
        <v>VALID - GENERATED</v>
      </c>
      <c r="I2011" s="10" t="s">
        <v>2278</v>
      </c>
      <c r="J2011" s="12">
        <f>'05-ISO Reference'!$B$26</f>
        <v>62</v>
      </c>
      <c r="K2011" s="12">
        <f>'05-ISO Reference'!$C$26</f>
        <v>88</v>
      </c>
      <c r="L2011" s="12">
        <f>'01-Process Controls'!$G$5</f>
        <v>3</v>
      </c>
      <c r="M2011" s="12">
        <f>ROUNDDOWN(MIN(J2011,K2011*'04-Variant Rules'!$D$59),0)</f>
        <v>62</v>
      </c>
      <c r="N2011" s="12">
        <f>ROUNDDOWN(M2011/'04-Variant Rules'!$D$59,0)</f>
        <v>31</v>
      </c>
      <c r="O2011" s="9">
        <v>54</v>
      </c>
    </row>
    <row r="2012" spans="1:15" ht="21" customHeight="1">
      <c r="A2012" s="9" t="s">
        <v>2333</v>
      </c>
      <c r="B2012" s="12">
        <f>IF(LEFT(H2012,5)="VALID",M2012,"")</f>
        <v>44</v>
      </c>
      <c r="C2012" s="12">
        <f>IF(LEFT(H2012,5)="VALID",N2012,"")</f>
        <v>88</v>
      </c>
      <c r="D2012" s="10" t="s">
        <v>82</v>
      </c>
      <c r="E2012" s="10" t="s">
        <v>2277</v>
      </c>
      <c r="F2012" s="10" t="s">
        <v>260</v>
      </c>
      <c r="G2012" s="10" t="s">
        <v>261</v>
      </c>
      <c r="H2012" s="11" t="str">
        <f>IF(OR(M2012&lt;=0,N2012&lt;=0),"SKIPPED - NONPOSITIVE",IF(OR(M2012&lt;L2012,N2012&lt;L2012),"SKIPPED - BELOW MIN",IF(OR(M2012&gt;J2012,N2012&gt;K2012),"SKIPPED - EXCEEDS BASE",IF(COUNTIFS($M$1957:M2011,M2012,$N$1957:N2011,N2012)&gt;0,"SKIPPED - DUPLICATE","VALID - GENERATED"))))</f>
        <v>VALID - GENERATED</v>
      </c>
      <c r="I2012" s="10" t="s">
        <v>2278</v>
      </c>
      <c r="J2012" s="12">
        <f>'05-ISO Reference'!$B$26</f>
        <v>62</v>
      </c>
      <c r="K2012" s="12">
        <f>'05-ISO Reference'!$C$26</f>
        <v>88</v>
      </c>
      <c r="L2012" s="12">
        <f>'01-Process Controls'!$G$5</f>
        <v>3</v>
      </c>
      <c r="M2012" s="12">
        <f>ROUNDDOWN(MIN(J2012,K2012*'04-Variant Rules'!$D$60),0)</f>
        <v>44</v>
      </c>
      <c r="N2012" s="12">
        <f>ROUNDDOWN(M2012/'04-Variant Rules'!$D$60,0)</f>
        <v>88</v>
      </c>
      <c r="O2012" s="9">
        <v>55</v>
      </c>
    </row>
    <row r="2013" spans="1:15" ht="21" customHeight="1">
      <c r="A2013" s="9" t="s">
        <v>2334</v>
      </c>
      <c r="B2013" s="48"/>
      <c r="C2013" s="48"/>
      <c r="D2013" s="10" t="s">
        <v>263</v>
      </c>
      <c r="E2013" s="10" t="s">
        <v>2335</v>
      </c>
      <c r="F2013" s="10" t="s">
        <v>265</v>
      </c>
      <c r="G2013" s="10" t="s">
        <v>266</v>
      </c>
      <c r="H2013" s="11" t="str">
        <f>IF(AND(B2013="",C2013=""),"CUSTOM BLANK",IF(OR(B2013="",C2013=""),"ERROR - ENTER BOTH",IF(OR(B2013&lt;=0,C2013&lt;=0),"ERROR - NONPOSITIVE",IF(OR(B2013&lt;L2013,C2013&lt;L2013),"ERROR - BELOW MIN",IF(OR(AND(B2013&lt;=J2013,C2013&lt;=K2013),AND(B2013&lt;=K2013,C2013&lt;=J2013)),"VALID - CUSTOM","ERROR - EXCEEDS BASE")))))</f>
        <v>CUSTOM BLANK</v>
      </c>
      <c r="I2013" s="10" t="s">
        <v>267</v>
      </c>
      <c r="J2013" s="12">
        <f>'05-ISO Reference'!$B$26</f>
        <v>62</v>
      </c>
      <c r="K2013" s="12">
        <f>'05-ISO Reference'!$C$26</f>
        <v>88</v>
      </c>
      <c r="L2013" s="12">
        <f>'01-Process Controls'!$G$5</f>
        <v>3</v>
      </c>
      <c r="M2013" s="8"/>
      <c r="N2013" s="8"/>
    </row>
    <row r="2014" spans="1:15" ht="21" customHeight="1">
      <c r="A2014" s="9" t="s">
        <v>2336</v>
      </c>
      <c r="B2014" s="48"/>
      <c r="C2014" s="48"/>
      <c r="D2014" s="10" t="s">
        <v>263</v>
      </c>
      <c r="E2014" s="10" t="s">
        <v>2335</v>
      </c>
      <c r="F2014" s="10" t="s">
        <v>265</v>
      </c>
      <c r="G2014" s="10" t="s">
        <v>266</v>
      </c>
      <c r="H2014" s="11" t="str">
        <f>IF(AND(B2014="",C2014=""),"CUSTOM BLANK",IF(OR(B2014="",C2014=""),"ERROR - ENTER BOTH",IF(OR(B2014&lt;=0,C2014&lt;=0),"ERROR - NONPOSITIVE",IF(OR(B2014&lt;L2014,C2014&lt;L2014),"ERROR - BELOW MIN",IF(OR(AND(B2014&lt;=J2014,C2014&lt;=K2014),AND(B2014&lt;=K2014,C2014&lt;=J2014)),"VALID - CUSTOM","ERROR - EXCEEDS BASE")))))</f>
        <v>CUSTOM BLANK</v>
      </c>
      <c r="I2014" s="10" t="s">
        <v>267</v>
      </c>
      <c r="J2014" s="12">
        <f>'05-ISO Reference'!$B$26</f>
        <v>62</v>
      </c>
      <c r="K2014" s="12">
        <f>'05-ISO Reference'!$C$26</f>
        <v>88</v>
      </c>
      <c r="L2014" s="12">
        <f>'01-Process Controls'!$G$5</f>
        <v>3</v>
      </c>
      <c r="M2014" s="8"/>
      <c r="N2014" s="8"/>
    </row>
    <row r="2015" spans="1:15" ht="21" customHeight="1">
      <c r="A2015" s="9" t="s">
        <v>2337</v>
      </c>
      <c r="B2015" s="48"/>
      <c r="C2015" s="48"/>
      <c r="D2015" s="10" t="s">
        <v>263</v>
      </c>
      <c r="E2015" s="10" t="s">
        <v>2335</v>
      </c>
      <c r="F2015" s="10" t="s">
        <v>265</v>
      </c>
      <c r="G2015" s="10" t="s">
        <v>266</v>
      </c>
      <c r="H2015" s="11" t="str">
        <f>IF(AND(B2015="",C2015=""),"CUSTOM BLANK",IF(OR(B2015="",C2015=""),"ERROR - ENTER BOTH",IF(OR(B2015&lt;=0,C2015&lt;=0),"ERROR - NONPOSITIVE",IF(OR(B2015&lt;L2015,C2015&lt;L2015),"ERROR - BELOW MIN",IF(OR(AND(B2015&lt;=J2015,C2015&lt;=K2015),AND(B2015&lt;=K2015,C2015&lt;=J2015)),"VALID - CUSTOM","ERROR - EXCEEDS BASE")))))</f>
        <v>CUSTOM BLANK</v>
      </c>
      <c r="I2015" s="10" t="s">
        <v>267</v>
      </c>
      <c r="J2015" s="12">
        <f>'05-ISO Reference'!$B$26</f>
        <v>62</v>
      </c>
      <c r="K2015" s="12">
        <f>'05-ISO Reference'!$C$26</f>
        <v>88</v>
      </c>
      <c r="L2015" s="12">
        <f>'01-Process Controls'!$G$5</f>
        <v>3</v>
      </c>
      <c r="M2015" s="8"/>
      <c r="N2015" s="8"/>
    </row>
    <row r="2016" spans="1:15" ht="21" customHeight="1">
      <c r="A2016" s="9" t="s">
        <v>2338</v>
      </c>
      <c r="B2016" s="48"/>
      <c r="C2016" s="48"/>
      <c r="D2016" s="10" t="s">
        <v>263</v>
      </c>
      <c r="E2016" s="10" t="s">
        <v>2335</v>
      </c>
      <c r="F2016" s="10" t="s">
        <v>265</v>
      </c>
      <c r="G2016" s="10" t="s">
        <v>266</v>
      </c>
      <c r="H2016" s="11" t="str">
        <f>IF(AND(B2016="",C2016=""),"CUSTOM BLANK",IF(OR(B2016="",C2016=""),"ERROR - ENTER BOTH",IF(OR(B2016&lt;=0,C2016&lt;=0),"ERROR - NONPOSITIVE",IF(OR(B2016&lt;L2016,C2016&lt;L2016),"ERROR - BELOW MIN",IF(OR(AND(B2016&lt;=J2016,C2016&lt;=K2016),AND(B2016&lt;=K2016,C2016&lt;=J2016)),"VALID - CUSTOM","ERROR - EXCEEDS BASE")))))</f>
        <v>CUSTOM BLANK</v>
      </c>
      <c r="I2016" s="10" t="s">
        <v>267</v>
      </c>
      <c r="J2016" s="12">
        <f>'05-ISO Reference'!$B$26</f>
        <v>62</v>
      </c>
      <c r="K2016" s="12">
        <f>'05-ISO Reference'!$C$26</f>
        <v>88</v>
      </c>
      <c r="L2016" s="12">
        <f>'01-Process Controls'!$G$5</f>
        <v>3</v>
      </c>
      <c r="M2016" s="8"/>
      <c r="N2016" s="8"/>
    </row>
    <row r="2017" spans="1:15" ht="21" customHeight="1">
      <c r="A2017" s="9" t="s">
        <v>2339</v>
      </c>
      <c r="B2017" s="48"/>
      <c r="C2017" s="48"/>
      <c r="D2017" s="10" t="s">
        <v>263</v>
      </c>
      <c r="E2017" s="10" t="s">
        <v>2335</v>
      </c>
      <c r="F2017" s="10" t="s">
        <v>265</v>
      </c>
      <c r="G2017" s="10" t="s">
        <v>266</v>
      </c>
      <c r="H2017" s="11" t="str">
        <f>IF(AND(B2017="",C2017=""),"CUSTOM BLANK",IF(OR(B2017="",C2017=""),"ERROR - ENTER BOTH",IF(OR(B2017&lt;=0,C2017&lt;=0),"ERROR - NONPOSITIVE",IF(OR(B2017&lt;L2017,C2017&lt;L2017),"ERROR - BELOW MIN",IF(OR(AND(B2017&lt;=J2017,C2017&lt;=K2017),AND(B2017&lt;=K2017,C2017&lt;=J2017)),"VALID - CUSTOM","ERROR - EXCEEDS BASE")))))</f>
        <v>CUSTOM BLANK</v>
      </c>
      <c r="I2017" s="10" t="s">
        <v>267</v>
      </c>
      <c r="J2017" s="12">
        <f>'05-ISO Reference'!$B$26</f>
        <v>62</v>
      </c>
      <c r="K2017" s="12">
        <f>'05-ISO Reference'!$C$26</f>
        <v>88</v>
      </c>
      <c r="L2017" s="12">
        <f>'01-Process Controls'!$G$5</f>
        <v>3</v>
      </c>
      <c r="M2017" s="8"/>
      <c r="N2017" s="8"/>
    </row>
    <row r="2018" spans="1:15" ht="21" customHeight="1">
      <c r="A2018" s="9" t="s">
        <v>2340</v>
      </c>
      <c r="B2018" s="48"/>
      <c r="C2018" s="48"/>
      <c r="D2018" s="10" t="s">
        <v>263</v>
      </c>
      <c r="E2018" s="10" t="s">
        <v>2335</v>
      </c>
      <c r="F2018" s="10" t="s">
        <v>265</v>
      </c>
      <c r="G2018" s="10" t="s">
        <v>266</v>
      </c>
      <c r="H2018" s="11" t="str">
        <f>IF(AND(B2018="",C2018=""),"CUSTOM BLANK",IF(OR(B2018="",C2018=""),"ERROR - ENTER BOTH",IF(OR(B2018&lt;=0,C2018&lt;=0),"ERROR - NONPOSITIVE",IF(OR(B2018&lt;L2018,C2018&lt;L2018),"ERROR - BELOW MIN",IF(OR(AND(B2018&lt;=J2018,C2018&lt;=K2018),AND(B2018&lt;=K2018,C2018&lt;=J2018)),"VALID - CUSTOM","ERROR - EXCEEDS BASE")))))</f>
        <v>CUSTOM BLANK</v>
      </c>
      <c r="I2018" s="10" t="s">
        <v>267</v>
      </c>
      <c r="J2018" s="12">
        <f>'05-ISO Reference'!$B$26</f>
        <v>62</v>
      </c>
      <c r="K2018" s="12">
        <f>'05-ISO Reference'!$C$26</f>
        <v>88</v>
      </c>
      <c r="L2018" s="12">
        <f>'01-Process Controls'!$G$5</f>
        <v>3</v>
      </c>
      <c r="M2018" s="8"/>
      <c r="N2018" s="8"/>
    </row>
    <row r="2019" spans="1:15" ht="21" customHeight="1">
      <c r="A2019" s="9" t="s">
        <v>2341</v>
      </c>
      <c r="B2019" s="48"/>
      <c r="C2019" s="48"/>
      <c r="D2019" s="10" t="s">
        <v>263</v>
      </c>
      <c r="E2019" s="10" t="s">
        <v>2335</v>
      </c>
      <c r="F2019" s="10" t="s">
        <v>265</v>
      </c>
      <c r="G2019" s="10" t="s">
        <v>266</v>
      </c>
      <c r="H2019" s="11" t="str">
        <f>IF(AND(B2019="",C2019=""),"CUSTOM BLANK",IF(OR(B2019="",C2019=""),"ERROR - ENTER BOTH",IF(OR(B2019&lt;=0,C2019&lt;=0),"ERROR - NONPOSITIVE",IF(OR(B2019&lt;L2019,C2019&lt;L2019),"ERROR - BELOW MIN",IF(OR(AND(B2019&lt;=J2019,C2019&lt;=K2019),AND(B2019&lt;=K2019,C2019&lt;=J2019)),"VALID - CUSTOM","ERROR - EXCEEDS BASE")))))</f>
        <v>CUSTOM BLANK</v>
      </c>
      <c r="I2019" s="10" t="s">
        <v>267</v>
      </c>
      <c r="J2019" s="12">
        <f>'05-ISO Reference'!$B$26</f>
        <v>62</v>
      </c>
      <c r="K2019" s="12">
        <f>'05-ISO Reference'!$C$26</f>
        <v>88</v>
      </c>
      <c r="L2019" s="12">
        <f>'01-Process Controls'!$G$5</f>
        <v>3</v>
      </c>
      <c r="M2019" s="8"/>
      <c r="N2019" s="8"/>
    </row>
    <row r="2020" spans="1:15" ht="21" customHeight="1">
      <c r="A2020" s="9" t="s">
        <v>2342</v>
      </c>
      <c r="B2020" s="48"/>
      <c r="C2020" s="48"/>
      <c r="D2020" s="10" t="s">
        <v>263</v>
      </c>
      <c r="E2020" s="10" t="s">
        <v>2335</v>
      </c>
      <c r="F2020" s="10" t="s">
        <v>265</v>
      </c>
      <c r="G2020" s="10" t="s">
        <v>266</v>
      </c>
      <c r="H2020" s="11" t="str">
        <f>IF(AND(B2020="",C2020=""),"CUSTOM BLANK",IF(OR(B2020="",C2020=""),"ERROR - ENTER BOTH",IF(OR(B2020&lt;=0,C2020&lt;=0),"ERROR - NONPOSITIVE",IF(OR(B2020&lt;L2020,C2020&lt;L2020),"ERROR - BELOW MIN",IF(OR(AND(B2020&lt;=J2020,C2020&lt;=K2020),AND(B2020&lt;=K2020,C2020&lt;=J2020)),"VALID - CUSTOM","ERROR - EXCEEDS BASE")))))</f>
        <v>CUSTOM BLANK</v>
      </c>
      <c r="I2020" s="10" t="s">
        <v>267</v>
      </c>
      <c r="J2020" s="12">
        <f>'05-ISO Reference'!$B$26</f>
        <v>62</v>
      </c>
      <c r="K2020" s="12">
        <f>'05-ISO Reference'!$C$26</f>
        <v>88</v>
      </c>
      <c r="L2020" s="12">
        <f>'01-Process Controls'!$G$5</f>
        <v>3</v>
      </c>
      <c r="M2020" s="8"/>
      <c r="N2020" s="8"/>
    </row>
    <row r="2021" spans="1:15" ht="21" customHeight="1">
      <c r="A2021" s="9" t="s">
        <v>2343</v>
      </c>
      <c r="B2021" s="48"/>
      <c r="C2021" s="48"/>
      <c r="D2021" s="10" t="s">
        <v>263</v>
      </c>
      <c r="E2021" s="10" t="s">
        <v>2335</v>
      </c>
      <c r="F2021" s="10" t="s">
        <v>265</v>
      </c>
      <c r="G2021" s="10" t="s">
        <v>266</v>
      </c>
      <c r="H2021" s="11" t="str">
        <f>IF(AND(B2021="",C2021=""),"CUSTOM BLANK",IF(OR(B2021="",C2021=""),"ERROR - ENTER BOTH",IF(OR(B2021&lt;=0,C2021&lt;=0),"ERROR - NONPOSITIVE",IF(OR(B2021&lt;L2021,C2021&lt;L2021),"ERROR - BELOW MIN",IF(OR(AND(B2021&lt;=J2021,C2021&lt;=K2021),AND(B2021&lt;=K2021,C2021&lt;=J2021)),"VALID - CUSTOM","ERROR - EXCEEDS BASE")))))</f>
        <v>CUSTOM BLANK</v>
      </c>
      <c r="I2021" s="10" t="s">
        <v>267</v>
      </c>
      <c r="J2021" s="12">
        <f>'05-ISO Reference'!$B$26</f>
        <v>62</v>
      </c>
      <c r="K2021" s="12">
        <f>'05-ISO Reference'!$C$26</f>
        <v>88</v>
      </c>
      <c r="L2021" s="12">
        <f>'01-Process Controls'!$G$5</f>
        <v>3</v>
      </c>
      <c r="M2021" s="8"/>
      <c r="N2021" s="8"/>
    </row>
    <row r="2022" spans="1:15" ht="21" customHeight="1">
      <c r="A2022" s="9" t="s">
        <v>2344</v>
      </c>
      <c r="B2022" s="48"/>
      <c r="C2022" s="48"/>
      <c r="D2022" s="10" t="s">
        <v>263</v>
      </c>
      <c r="E2022" s="10" t="s">
        <v>2335</v>
      </c>
      <c r="F2022" s="10" t="s">
        <v>265</v>
      </c>
      <c r="G2022" s="10" t="s">
        <v>266</v>
      </c>
      <c r="H2022" s="11" t="str">
        <f>IF(AND(B2022="",C2022=""),"CUSTOM BLANK",IF(OR(B2022="",C2022=""),"ERROR - ENTER BOTH",IF(OR(B2022&lt;=0,C2022&lt;=0),"ERROR - NONPOSITIVE",IF(OR(B2022&lt;L2022,C2022&lt;L2022),"ERROR - BELOW MIN",IF(OR(AND(B2022&lt;=J2022,C2022&lt;=K2022),AND(B2022&lt;=K2022,C2022&lt;=J2022)),"VALID - CUSTOM","ERROR - EXCEEDS BASE")))))</f>
        <v>CUSTOM BLANK</v>
      </c>
      <c r="I2022" s="10" t="s">
        <v>267</v>
      </c>
      <c r="J2022" s="12">
        <f>'05-ISO Reference'!$B$26</f>
        <v>62</v>
      </c>
      <c r="K2022" s="12">
        <f>'05-ISO Reference'!$C$26</f>
        <v>88</v>
      </c>
      <c r="L2022" s="12">
        <f>'01-Process Controls'!$G$5</f>
        <v>3</v>
      </c>
      <c r="M2022" s="8"/>
      <c r="N2022" s="8"/>
    </row>
    <row r="2023" spans="1:15" ht="21" customHeight="1">
      <c r="A2023" s="9" t="s">
        <v>2345</v>
      </c>
      <c r="B2023" s="48"/>
      <c r="C2023" s="48"/>
      <c r="D2023" s="10" t="s">
        <v>263</v>
      </c>
      <c r="E2023" s="10" t="s">
        <v>2335</v>
      </c>
      <c r="F2023" s="10" t="s">
        <v>265</v>
      </c>
      <c r="G2023" s="10" t="s">
        <v>266</v>
      </c>
      <c r="H2023" s="11" t="str">
        <f>IF(AND(B2023="",C2023=""),"CUSTOM BLANK",IF(OR(B2023="",C2023=""),"ERROR - ENTER BOTH",IF(OR(B2023&lt;=0,C2023&lt;=0),"ERROR - NONPOSITIVE",IF(OR(B2023&lt;L2023,C2023&lt;L2023),"ERROR - BELOW MIN",IF(OR(AND(B2023&lt;=J2023,C2023&lt;=K2023),AND(B2023&lt;=K2023,C2023&lt;=J2023)),"VALID - CUSTOM","ERROR - EXCEEDS BASE")))))</f>
        <v>CUSTOM BLANK</v>
      </c>
      <c r="I2023" s="10" t="s">
        <v>267</v>
      </c>
      <c r="J2023" s="12">
        <f>'05-ISO Reference'!$B$26</f>
        <v>62</v>
      </c>
      <c r="K2023" s="12">
        <f>'05-ISO Reference'!$C$26</f>
        <v>88</v>
      </c>
      <c r="L2023" s="12">
        <f>'01-Process Controls'!$G$5</f>
        <v>3</v>
      </c>
      <c r="M2023" s="8"/>
      <c r="N2023" s="8"/>
    </row>
    <row r="2024" spans="1:15" ht="21" customHeight="1">
      <c r="A2024" s="9" t="s">
        <v>2346</v>
      </c>
      <c r="B2024" s="48"/>
      <c r="C2024" s="48"/>
      <c r="D2024" s="10" t="s">
        <v>263</v>
      </c>
      <c r="E2024" s="10" t="s">
        <v>2335</v>
      </c>
      <c r="F2024" s="10" t="s">
        <v>265</v>
      </c>
      <c r="G2024" s="10" t="s">
        <v>266</v>
      </c>
      <c r="H2024" s="11" t="str">
        <f>IF(AND(B2024="",C2024=""),"CUSTOM BLANK",IF(OR(B2024="",C2024=""),"ERROR - ENTER BOTH",IF(OR(B2024&lt;=0,C2024&lt;=0),"ERROR - NONPOSITIVE",IF(OR(B2024&lt;L2024,C2024&lt;L2024),"ERROR - BELOW MIN",IF(OR(AND(B2024&lt;=J2024,C2024&lt;=K2024),AND(B2024&lt;=K2024,C2024&lt;=J2024)),"VALID - CUSTOM","ERROR - EXCEEDS BASE")))))</f>
        <v>CUSTOM BLANK</v>
      </c>
      <c r="I2024" s="10" t="s">
        <v>267</v>
      </c>
      <c r="J2024" s="12">
        <f>'05-ISO Reference'!$B$26</f>
        <v>62</v>
      </c>
      <c r="K2024" s="12">
        <f>'05-ISO Reference'!$C$26</f>
        <v>88</v>
      </c>
      <c r="L2024" s="12">
        <f>'01-Process Controls'!$G$5</f>
        <v>3</v>
      </c>
      <c r="M2024" s="8"/>
      <c r="N2024" s="8"/>
    </row>
    <row r="2025" spans="1:15" ht="21" customHeight="1">
      <c r="A2025" s="9" t="s">
        <v>2347</v>
      </c>
      <c r="B2025" s="48"/>
      <c r="C2025" s="48"/>
      <c r="D2025" s="10" t="s">
        <v>263</v>
      </c>
      <c r="E2025" s="10" t="s">
        <v>2335</v>
      </c>
      <c r="F2025" s="10" t="s">
        <v>265</v>
      </c>
      <c r="G2025" s="10" t="s">
        <v>266</v>
      </c>
      <c r="H2025" s="11" t="str">
        <f>IF(AND(B2025="",C2025=""),"CUSTOM BLANK",IF(OR(B2025="",C2025=""),"ERROR - ENTER BOTH",IF(OR(B2025&lt;=0,C2025&lt;=0),"ERROR - NONPOSITIVE",IF(OR(B2025&lt;L2025,C2025&lt;L2025),"ERROR - BELOW MIN",IF(OR(AND(B2025&lt;=J2025,C2025&lt;=K2025),AND(B2025&lt;=K2025,C2025&lt;=J2025)),"VALID - CUSTOM","ERROR - EXCEEDS BASE")))))</f>
        <v>CUSTOM BLANK</v>
      </c>
      <c r="I2025" s="10" t="s">
        <v>267</v>
      </c>
      <c r="J2025" s="12">
        <f>'05-ISO Reference'!$B$26</f>
        <v>62</v>
      </c>
      <c r="K2025" s="12">
        <f>'05-ISO Reference'!$C$26</f>
        <v>88</v>
      </c>
      <c r="L2025" s="12">
        <f>'01-Process Controls'!$G$5</f>
        <v>3</v>
      </c>
      <c r="M2025" s="8"/>
      <c r="N2025" s="8"/>
    </row>
    <row r="2026" spans="1:15" ht="21" customHeight="1">
      <c r="A2026" s="9" t="s">
        <v>2348</v>
      </c>
      <c r="B2026" s="48"/>
      <c r="C2026" s="48"/>
      <c r="D2026" s="10" t="s">
        <v>263</v>
      </c>
      <c r="E2026" s="10" t="s">
        <v>2335</v>
      </c>
      <c r="F2026" s="10" t="s">
        <v>265</v>
      </c>
      <c r="G2026" s="10" t="s">
        <v>266</v>
      </c>
      <c r="H2026" s="11" t="str">
        <f>IF(AND(B2026="",C2026=""),"CUSTOM BLANK",IF(OR(B2026="",C2026=""),"ERROR - ENTER BOTH",IF(OR(B2026&lt;=0,C2026&lt;=0),"ERROR - NONPOSITIVE",IF(OR(B2026&lt;L2026,C2026&lt;L2026),"ERROR - BELOW MIN",IF(OR(AND(B2026&lt;=J2026,C2026&lt;=K2026),AND(B2026&lt;=K2026,C2026&lt;=J2026)),"VALID - CUSTOM","ERROR - EXCEEDS BASE")))))</f>
        <v>CUSTOM BLANK</v>
      </c>
      <c r="I2026" s="10" t="s">
        <v>267</v>
      </c>
      <c r="J2026" s="12">
        <f>'05-ISO Reference'!$B$26</f>
        <v>62</v>
      </c>
      <c r="K2026" s="12">
        <f>'05-ISO Reference'!$C$26</f>
        <v>88</v>
      </c>
      <c r="L2026" s="12">
        <f>'01-Process Controls'!$G$5</f>
        <v>3</v>
      </c>
      <c r="M2026" s="8"/>
      <c r="N2026" s="8"/>
    </row>
    <row r="2027" spans="1:15" ht="21" customHeight="1">
      <c r="A2027" s="9" t="s">
        <v>2349</v>
      </c>
      <c r="B2027" s="48"/>
      <c r="C2027" s="48"/>
      <c r="D2027" s="10" t="s">
        <v>263</v>
      </c>
      <c r="E2027" s="10" t="s">
        <v>2335</v>
      </c>
      <c r="F2027" s="10" t="s">
        <v>265</v>
      </c>
      <c r="G2027" s="10" t="s">
        <v>266</v>
      </c>
      <c r="H2027" s="11" t="str">
        <f>IF(AND(B2027="",C2027=""),"CUSTOM BLANK",IF(OR(B2027="",C2027=""),"ERROR - ENTER BOTH",IF(OR(B2027&lt;=0,C2027&lt;=0),"ERROR - NONPOSITIVE",IF(OR(B2027&lt;L2027,C2027&lt;L2027),"ERROR - BELOW MIN",IF(OR(AND(B2027&lt;=J2027,C2027&lt;=K2027),AND(B2027&lt;=K2027,C2027&lt;=J2027)),"VALID - CUSTOM","ERROR - EXCEEDS BASE")))))</f>
        <v>CUSTOM BLANK</v>
      </c>
      <c r="I2027" s="10" t="s">
        <v>267</v>
      </c>
      <c r="J2027" s="12">
        <f>'05-ISO Reference'!$B$26</f>
        <v>62</v>
      </c>
      <c r="K2027" s="12">
        <f>'05-ISO Reference'!$C$26</f>
        <v>88</v>
      </c>
      <c r="L2027" s="12">
        <f>'01-Process Controls'!$G$5</f>
        <v>3</v>
      </c>
      <c r="M2027" s="8"/>
      <c r="N2027" s="8"/>
    </row>
    <row r="2028" spans="1:15" ht="21" customHeight="1">
      <c r="A2028" s="44" t="s">
        <v>2350</v>
      </c>
      <c r="B2028" s="45">
        <f>IF(LEFT(H2028,5)="VALID",M2028,"")</f>
        <v>44</v>
      </c>
      <c r="C2028" s="45">
        <f>IF(LEFT(H2028,5)="VALID",N2028,"")</f>
        <v>62</v>
      </c>
      <c r="D2028" s="46" t="s">
        <v>82</v>
      </c>
      <c r="E2028" s="46" t="s">
        <v>2351</v>
      </c>
      <c r="F2028" s="46" t="s">
        <v>122</v>
      </c>
      <c r="G2028" s="46" t="s">
        <v>123</v>
      </c>
      <c r="H2028" s="47" t="str">
        <f>"VALID - BASE"</f>
        <v>VALID - BASE</v>
      </c>
      <c r="I2028" s="46" t="s">
        <v>2352</v>
      </c>
      <c r="J2028" s="12">
        <f>'05-ISO Reference'!$B$27</f>
        <v>44</v>
      </c>
      <c r="K2028" s="12">
        <f>'05-ISO Reference'!$C$27</f>
        <v>62</v>
      </c>
      <c r="L2028" s="12">
        <f>'01-Process Controls'!$G$5</f>
        <v>3</v>
      </c>
      <c r="M2028" s="12">
        <f>ROUNDDOWN(J2028,0)</f>
        <v>44</v>
      </c>
      <c r="N2028" s="12">
        <f>ROUNDDOWN(K2028,0)</f>
        <v>62</v>
      </c>
      <c r="O2028" s="9">
        <v>0</v>
      </c>
    </row>
    <row r="2029" spans="1:15" ht="21" customHeight="1">
      <c r="A2029" s="9" t="s">
        <v>2353</v>
      </c>
      <c r="B2029" s="12">
        <f>IF(LEFT(H2029,5)="VALID",M2029,"")</f>
        <v>22</v>
      </c>
      <c r="C2029" s="12">
        <f>IF(LEFT(H2029,5)="VALID",N2029,"")</f>
        <v>62</v>
      </c>
      <c r="D2029" s="10" t="s">
        <v>82</v>
      </c>
      <c r="E2029" s="10" t="s">
        <v>2351</v>
      </c>
      <c r="F2029" s="10" t="s">
        <v>126</v>
      </c>
      <c r="G2029" s="10" t="s">
        <v>127</v>
      </c>
      <c r="H2029" s="11" t="str">
        <f>IF(OR(M2029&lt;=0,N2029&lt;=0),"SKIPPED - NONPOSITIVE",IF(OR(M2029&lt;L2029,N2029&lt;L2029),"SKIPPED - BELOW MIN",IF(OR(M2029&gt;J2029,N2029&gt;K2029),"SKIPPED - EXCEEDS BASE",IF(COUNTIFS($M$2028:M2028,M2029,$N$2028:N2028,N2029)&gt;0,"SKIPPED - DUPLICATE","VALID - GENERATED"))))</f>
        <v>VALID - GENERATED</v>
      </c>
      <c r="I2029" s="10" t="s">
        <v>2352</v>
      </c>
      <c r="J2029" s="12">
        <f>'05-ISO Reference'!$B$27</f>
        <v>44</v>
      </c>
      <c r="K2029" s="12">
        <f>'05-ISO Reference'!$C$27</f>
        <v>62</v>
      </c>
      <c r="L2029" s="12">
        <f>'01-Process Controls'!$G$5</f>
        <v>3</v>
      </c>
      <c r="M2029" s="12">
        <f>ROUNDDOWN(J2029*'04-Variant Rules'!$D$6,0)</f>
        <v>22</v>
      </c>
      <c r="N2029" s="12">
        <f>ROUNDDOWN(K2029,0)</f>
        <v>62</v>
      </c>
      <c r="O2029" s="9">
        <v>1</v>
      </c>
    </row>
    <row r="2030" spans="1:15" ht="21" customHeight="1">
      <c r="A2030" s="9" t="s">
        <v>2354</v>
      </c>
      <c r="B2030" s="12">
        <f>IF(LEFT(H2030,5)="VALID",M2030,"")</f>
        <v>14</v>
      </c>
      <c r="C2030" s="12">
        <f>IF(LEFT(H2030,5)="VALID",N2030,"")</f>
        <v>62</v>
      </c>
      <c r="D2030" s="10" t="s">
        <v>82</v>
      </c>
      <c r="E2030" s="10" t="s">
        <v>2351</v>
      </c>
      <c r="F2030" s="10" t="s">
        <v>129</v>
      </c>
      <c r="G2030" s="10" t="s">
        <v>130</v>
      </c>
      <c r="H2030" s="11" t="str">
        <f>IF(OR(M2030&lt;=0,N2030&lt;=0),"SKIPPED - NONPOSITIVE",IF(OR(M2030&lt;L2030,N2030&lt;L2030),"SKIPPED - BELOW MIN",IF(OR(M2030&gt;J2030,N2030&gt;K2030),"SKIPPED - EXCEEDS BASE",IF(COUNTIFS($M$2028:M2029,M2030,$N$2028:N2029,N2030)&gt;0,"SKIPPED - DUPLICATE","VALID - GENERATED"))))</f>
        <v>VALID - GENERATED</v>
      </c>
      <c r="I2030" s="10" t="s">
        <v>2352</v>
      </c>
      <c r="J2030" s="12">
        <f>'05-ISO Reference'!$B$27</f>
        <v>44</v>
      </c>
      <c r="K2030" s="12">
        <f>'05-ISO Reference'!$C$27</f>
        <v>62</v>
      </c>
      <c r="L2030" s="12">
        <f>'01-Process Controls'!$G$5</f>
        <v>3</v>
      </c>
      <c r="M2030" s="12">
        <f>ROUNDDOWN(J2030*'04-Variant Rules'!$D$7,0)</f>
        <v>14</v>
      </c>
      <c r="N2030" s="12">
        <f>ROUNDDOWN(K2030,0)</f>
        <v>62</v>
      </c>
      <c r="O2030" s="9">
        <v>2</v>
      </c>
    </row>
    <row r="2031" spans="1:15" ht="21" customHeight="1">
      <c r="A2031" s="9" t="s">
        <v>2355</v>
      </c>
      <c r="B2031" s="12">
        <f>IF(LEFT(H2031,5)="VALID",M2031,"")</f>
        <v>11</v>
      </c>
      <c r="C2031" s="12">
        <f>IF(LEFT(H2031,5)="VALID",N2031,"")</f>
        <v>62</v>
      </c>
      <c r="D2031" s="10" t="s">
        <v>82</v>
      </c>
      <c r="E2031" s="10" t="s">
        <v>2351</v>
      </c>
      <c r="F2031" s="10" t="s">
        <v>132</v>
      </c>
      <c r="G2031" s="10" t="s">
        <v>133</v>
      </c>
      <c r="H2031" s="11" t="str">
        <f>IF(OR(M2031&lt;=0,N2031&lt;=0),"SKIPPED - NONPOSITIVE",IF(OR(M2031&lt;L2031,N2031&lt;L2031),"SKIPPED - BELOW MIN",IF(OR(M2031&gt;J2031,N2031&gt;K2031),"SKIPPED - EXCEEDS BASE",IF(COUNTIFS($M$2028:M2030,M2031,$N$2028:N2030,N2031)&gt;0,"SKIPPED - DUPLICATE","VALID - GENERATED"))))</f>
        <v>VALID - GENERATED</v>
      </c>
      <c r="I2031" s="10" t="s">
        <v>2352</v>
      </c>
      <c r="J2031" s="12">
        <f>'05-ISO Reference'!$B$27</f>
        <v>44</v>
      </c>
      <c r="K2031" s="12">
        <f>'05-ISO Reference'!$C$27</f>
        <v>62</v>
      </c>
      <c r="L2031" s="12">
        <f>'01-Process Controls'!$G$5</f>
        <v>3</v>
      </c>
      <c r="M2031" s="12">
        <f>ROUNDDOWN(J2031*'04-Variant Rules'!$D$8,0)</f>
        <v>11</v>
      </c>
      <c r="N2031" s="12">
        <f>ROUNDDOWN(K2031,0)</f>
        <v>62</v>
      </c>
      <c r="O2031" s="9">
        <v>3</v>
      </c>
    </row>
    <row r="2032" spans="1:15" ht="21" customHeight="1">
      <c r="A2032" s="9" t="s">
        <v>2356</v>
      </c>
      <c r="B2032" s="12">
        <f>IF(LEFT(H2032,5)="VALID",M2032,"")</f>
        <v>29</v>
      </c>
      <c r="C2032" s="12">
        <f>IF(LEFT(H2032,5)="VALID",N2032,"")</f>
        <v>62</v>
      </c>
      <c r="D2032" s="10" t="s">
        <v>82</v>
      </c>
      <c r="E2032" s="10" t="s">
        <v>2351</v>
      </c>
      <c r="F2032" s="10" t="s">
        <v>135</v>
      </c>
      <c r="G2032" s="10" t="s">
        <v>136</v>
      </c>
      <c r="H2032" s="11" t="str">
        <f>IF(OR(M2032&lt;=0,N2032&lt;=0),"SKIPPED - NONPOSITIVE",IF(OR(M2032&lt;L2032,N2032&lt;L2032),"SKIPPED - BELOW MIN",IF(OR(M2032&gt;J2032,N2032&gt;K2032),"SKIPPED - EXCEEDS BASE",IF(COUNTIFS($M$2028:M2031,M2032,$N$2028:N2031,N2032)&gt;0,"SKIPPED - DUPLICATE","VALID - GENERATED"))))</f>
        <v>VALID - GENERATED</v>
      </c>
      <c r="I2032" s="10" t="s">
        <v>2352</v>
      </c>
      <c r="J2032" s="12">
        <f>'05-ISO Reference'!$B$27</f>
        <v>44</v>
      </c>
      <c r="K2032" s="12">
        <f>'05-ISO Reference'!$C$27</f>
        <v>62</v>
      </c>
      <c r="L2032" s="12">
        <f>'01-Process Controls'!$G$5</f>
        <v>3</v>
      </c>
      <c r="M2032" s="12">
        <f>ROUNDDOWN(J2032*'04-Variant Rules'!$D$9,0)</f>
        <v>29</v>
      </c>
      <c r="N2032" s="12">
        <f>ROUNDDOWN(K2032,0)</f>
        <v>62</v>
      </c>
      <c r="O2032" s="9">
        <v>4</v>
      </c>
    </row>
    <row r="2033" spans="1:15" ht="21" customHeight="1">
      <c r="A2033" s="9" t="s">
        <v>2357</v>
      </c>
      <c r="B2033" s="12">
        <f>IF(LEFT(H2033,5)="VALID",M2033,"")</f>
        <v>33</v>
      </c>
      <c r="C2033" s="12">
        <f>IF(LEFT(H2033,5)="VALID",N2033,"")</f>
        <v>62</v>
      </c>
      <c r="D2033" s="10" t="s">
        <v>82</v>
      </c>
      <c r="E2033" s="10" t="s">
        <v>2351</v>
      </c>
      <c r="F2033" s="10" t="s">
        <v>138</v>
      </c>
      <c r="G2033" s="10" t="s">
        <v>139</v>
      </c>
      <c r="H2033" s="11" t="str">
        <f>IF(OR(M2033&lt;=0,N2033&lt;=0),"SKIPPED - NONPOSITIVE",IF(OR(M2033&lt;L2033,N2033&lt;L2033),"SKIPPED - BELOW MIN",IF(OR(M2033&gt;J2033,N2033&gt;K2033),"SKIPPED - EXCEEDS BASE",IF(COUNTIFS($M$2028:M2032,M2033,$N$2028:N2032,N2033)&gt;0,"SKIPPED - DUPLICATE","VALID - GENERATED"))))</f>
        <v>VALID - GENERATED</v>
      </c>
      <c r="I2033" s="10" t="s">
        <v>2352</v>
      </c>
      <c r="J2033" s="12">
        <f>'05-ISO Reference'!$B$27</f>
        <v>44</v>
      </c>
      <c r="K2033" s="12">
        <f>'05-ISO Reference'!$C$27</f>
        <v>62</v>
      </c>
      <c r="L2033" s="12">
        <f>'01-Process Controls'!$G$5</f>
        <v>3</v>
      </c>
      <c r="M2033" s="12">
        <f>ROUNDDOWN(J2033*'04-Variant Rules'!$D$10,0)</f>
        <v>33</v>
      </c>
      <c r="N2033" s="12">
        <f>ROUNDDOWN(K2033,0)</f>
        <v>62</v>
      </c>
      <c r="O2033" s="9">
        <v>5</v>
      </c>
    </row>
    <row r="2034" spans="1:15" ht="21" customHeight="1">
      <c r="A2034" s="9" t="s">
        <v>2358</v>
      </c>
      <c r="B2034" s="12">
        <f>IF(LEFT(H2034,5)="VALID",M2034,"")</f>
        <v>44</v>
      </c>
      <c r="C2034" s="12">
        <f>IF(LEFT(H2034,5)="VALID",N2034,"")</f>
        <v>31</v>
      </c>
      <c r="D2034" s="10" t="s">
        <v>82</v>
      </c>
      <c r="E2034" s="10" t="s">
        <v>2351</v>
      </c>
      <c r="F2034" s="10" t="s">
        <v>141</v>
      </c>
      <c r="G2034" s="10" t="s">
        <v>142</v>
      </c>
      <c r="H2034" s="11" t="str">
        <f>IF(OR(M2034&lt;=0,N2034&lt;=0),"SKIPPED - NONPOSITIVE",IF(OR(M2034&lt;L2034,N2034&lt;L2034),"SKIPPED - BELOW MIN",IF(OR(M2034&gt;J2034,N2034&gt;K2034),"SKIPPED - EXCEEDS BASE",IF(COUNTIFS($M$2028:M2033,M2034,$N$2028:N2033,N2034)&gt;0,"SKIPPED - DUPLICATE","VALID - GENERATED"))))</f>
        <v>VALID - GENERATED</v>
      </c>
      <c r="I2034" s="10" t="s">
        <v>2352</v>
      </c>
      <c r="J2034" s="12">
        <f>'05-ISO Reference'!$B$27</f>
        <v>44</v>
      </c>
      <c r="K2034" s="12">
        <f>'05-ISO Reference'!$C$27</f>
        <v>62</v>
      </c>
      <c r="L2034" s="12">
        <f>'01-Process Controls'!$G$5</f>
        <v>3</v>
      </c>
      <c r="M2034" s="12">
        <f>ROUNDDOWN(J2034,0)</f>
        <v>44</v>
      </c>
      <c r="N2034" s="12">
        <f>ROUNDDOWN(K2034*'04-Variant Rules'!$D$11,0)</f>
        <v>31</v>
      </c>
      <c r="O2034" s="9">
        <v>6</v>
      </c>
    </row>
    <row r="2035" spans="1:15" ht="21" customHeight="1">
      <c r="A2035" s="9" t="s">
        <v>2359</v>
      </c>
      <c r="B2035" s="12">
        <f>IF(LEFT(H2035,5)="VALID",M2035,"")</f>
        <v>44</v>
      </c>
      <c r="C2035" s="12">
        <f>IF(LEFT(H2035,5)="VALID",N2035,"")</f>
        <v>20</v>
      </c>
      <c r="D2035" s="10" t="s">
        <v>82</v>
      </c>
      <c r="E2035" s="10" t="s">
        <v>2351</v>
      </c>
      <c r="F2035" s="10" t="s">
        <v>144</v>
      </c>
      <c r="G2035" s="10" t="s">
        <v>145</v>
      </c>
      <c r="H2035" s="11" t="str">
        <f>IF(OR(M2035&lt;=0,N2035&lt;=0),"SKIPPED - NONPOSITIVE",IF(OR(M2035&lt;L2035,N2035&lt;L2035),"SKIPPED - BELOW MIN",IF(OR(M2035&gt;J2035,N2035&gt;K2035),"SKIPPED - EXCEEDS BASE",IF(COUNTIFS($M$2028:M2034,M2035,$N$2028:N2034,N2035)&gt;0,"SKIPPED - DUPLICATE","VALID - GENERATED"))))</f>
        <v>VALID - GENERATED</v>
      </c>
      <c r="I2035" s="10" t="s">
        <v>2352</v>
      </c>
      <c r="J2035" s="12">
        <f>'05-ISO Reference'!$B$27</f>
        <v>44</v>
      </c>
      <c r="K2035" s="12">
        <f>'05-ISO Reference'!$C$27</f>
        <v>62</v>
      </c>
      <c r="L2035" s="12">
        <f>'01-Process Controls'!$G$5</f>
        <v>3</v>
      </c>
      <c r="M2035" s="12">
        <f>ROUNDDOWN(J2035,0)</f>
        <v>44</v>
      </c>
      <c r="N2035" s="12">
        <f>ROUNDDOWN(K2035*'04-Variant Rules'!$D$12,0)</f>
        <v>20</v>
      </c>
      <c r="O2035" s="9">
        <v>7</v>
      </c>
    </row>
    <row r="2036" spans="1:15" ht="21" customHeight="1">
      <c r="A2036" s="9" t="s">
        <v>2360</v>
      </c>
      <c r="B2036" s="12">
        <f>IF(LEFT(H2036,5)="VALID",M2036,"")</f>
        <v>44</v>
      </c>
      <c r="C2036" s="12">
        <f>IF(LEFT(H2036,5)="VALID",N2036,"")</f>
        <v>15</v>
      </c>
      <c r="D2036" s="10" t="s">
        <v>82</v>
      </c>
      <c r="E2036" s="10" t="s">
        <v>2351</v>
      </c>
      <c r="F2036" s="10" t="s">
        <v>147</v>
      </c>
      <c r="G2036" s="10" t="s">
        <v>148</v>
      </c>
      <c r="H2036" s="11" t="str">
        <f>IF(OR(M2036&lt;=0,N2036&lt;=0),"SKIPPED - NONPOSITIVE",IF(OR(M2036&lt;L2036,N2036&lt;L2036),"SKIPPED - BELOW MIN",IF(OR(M2036&gt;J2036,N2036&gt;K2036),"SKIPPED - EXCEEDS BASE",IF(COUNTIFS($M$2028:M2035,M2036,$N$2028:N2035,N2036)&gt;0,"SKIPPED - DUPLICATE","VALID - GENERATED"))))</f>
        <v>VALID - GENERATED</v>
      </c>
      <c r="I2036" s="10" t="s">
        <v>2352</v>
      </c>
      <c r="J2036" s="12">
        <f>'05-ISO Reference'!$B$27</f>
        <v>44</v>
      </c>
      <c r="K2036" s="12">
        <f>'05-ISO Reference'!$C$27</f>
        <v>62</v>
      </c>
      <c r="L2036" s="12">
        <f>'01-Process Controls'!$G$5</f>
        <v>3</v>
      </c>
      <c r="M2036" s="12">
        <f>ROUNDDOWN(J2036,0)</f>
        <v>44</v>
      </c>
      <c r="N2036" s="12">
        <f>ROUNDDOWN(K2036*'04-Variant Rules'!$D$13,0)</f>
        <v>15</v>
      </c>
      <c r="O2036" s="9">
        <v>8</v>
      </c>
    </row>
    <row r="2037" spans="1:15" ht="21" customHeight="1">
      <c r="A2037" s="9" t="s">
        <v>2361</v>
      </c>
      <c r="B2037" s="12">
        <f>IF(LEFT(H2037,5)="VALID",M2037,"")</f>
        <v>44</v>
      </c>
      <c r="C2037" s="12">
        <f>IF(LEFT(H2037,5)="VALID",N2037,"")</f>
        <v>41</v>
      </c>
      <c r="D2037" s="10" t="s">
        <v>82</v>
      </c>
      <c r="E2037" s="10" t="s">
        <v>2351</v>
      </c>
      <c r="F2037" s="10" t="s">
        <v>150</v>
      </c>
      <c r="G2037" s="10" t="s">
        <v>151</v>
      </c>
      <c r="H2037" s="11" t="str">
        <f>IF(OR(M2037&lt;=0,N2037&lt;=0),"SKIPPED - NONPOSITIVE",IF(OR(M2037&lt;L2037,N2037&lt;L2037),"SKIPPED - BELOW MIN",IF(OR(M2037&gt;J2037,N2037&gt;K2037),"SKIPPED - EXCEEDS BASE",IF(COUNTIFS($M$2028:M2036,M2037,$N$2028:N2036,N2037)&gt;0,"SKIPPED - DUPLICATE","VALID - GENERATED"))))</f>
        <v>VALID - GENERATED</v>
      </c>
      <c r="I2037" s="10" t="s">
        <v>2352</v>
      </c>
      <c r="J2037" s="12">
        <f>'05-ISO Reference'!$B$27</f>
        <v>44</v>
      </c>
      <c r="K2037" s="12">
        <f>'05-ISO Reference'!$C$27</f>
        <v>62</v>
      </c>
      <c r="L2037" s="12">
        <f>'01-Process Controls'!$G$5</f>
        <v>3</v>
      </c>
      <c r="M2037" s="12">
        <f>ROUNDDOWN(J2037,0)</f>
        <v>44</v>
      </c>
      <c r="N2037" s="12">
        <f>ROUNDDOWN(K2037*'04-Variant Rules'!$D$14,0)</f>
        <v>41</v>
      </c>
      <c r="O2037" s="9">
        <v>9</v>
      </c>
    </row>
    <row r="2038" spans="1:15" ht="21" customHeight="1">
      <c r="A2038" s="9" t="s">
        <v>2362</v>
      </c>
      <c r="B2038" s="12">
        <f>IF(LEFT(H2038,5)="VALID",M2038,"")</f>
        <v>44</v>
      </c>
      <c r="C2038" s="12">
        <f>IF(LEFT(H2038,5)="VALID",N2038,"")</f>
        <v>46</v>
      </c>
      <c r="D2038" s="10" t="s">
        <v>82</v>
      </c>
      <c r="E2038" s="10" t="s">
        <v>2351</v>
      </c>
      <c r="F2038" s="10" t="s">
        <v>153</v>
      </c>
      <c r="G2038" s="10" t="s">
        <v>154</v>
      </c>
      <c r="H2038" s="11" t="str">
        <f>IF(OR(M2038&lt;=0,N2038&lt;=0),"SKIPPED - NONPOSITIVE",IF(OR(M2038&lt;L2038,N2038&lt;L2038),"SKIPPED - BELOW MIN",IF(OR(M2038&gt;J2038,N2038&gt;K2038),"SKIPPED - EXCEEDS BASE",IF(COUNTIFS($M$2028:M2037,M2038,$N$2028:N2037,N2038)&gt;0,"SKIPPED - DUPLICATE","VALID - GENERATED"))))</f>
        <v>VALID - GENERATED</v>
      </c>
      <c r="I2038" s="10" t="s">
        <v>2352</v>
      </c>
      <c r="J2038" s="12">
        <f>'05-ISO Reference'!$B$27</f>
        <v>44</v>
      </c>
      <c r="K2038" s="12">
        <f>'05-ISO Reference'!$C$27</f>
        <v>62</v>
      </c>
      <c r="L2038" s="12">
        <f>'01-Process Controls'!$G$5</f>
        <v>3</v>
      </c>
      <c r="M2038" s="12">
        <f>ROUNDDOWN(J2038,0)</f>
        <v>44</v>
      </c>
      <c r="N2038" s="12">
        <f>ROUNDDOWN(K2038*'04-Variant Rules'!$D$15,0)</f>
        <v>46</v>
      </c>
      <c r="O2038" s="9">
        <v>10</v>
      </c>
    </row>
    <row r="2039" spans="1:15" ht="21" customHeight="1">
      <c r="A2039" s="9" t="s">
        <v>2363</v>
      </c>
      <c r="B2039" s="12">
        <f>IF(LEFT(H2039,5)="VALID",M2039,"")</f>
        <v>22</v>
      </c>
      <c r="C2039" s="12">
        <f>IF(LEFT(H2039,5)="VALID",N2039,"")</f>
        <v>31</v>
      </c>
      <c r="D2039" s="10" t="s">
        <v>82</v>
      </c>
      <c r="E2039" s="10" t="s">
        <v>2351</v>
      </c>
      <c r="F2039" s="10" t="s">
        <v>156</v>
      </c>
      <c r="G2039" s="10" t="s">
        <v>157</v>
      </c>
      <c r="H2039" s="11" t="str">
        <f>IF(OR(M2039&lt;=0,N2039&lt;=0),"SKIPPED - NONPOSITIVE",IF(OR(M2039&lt;L2039,N2039&lt;L2039),"SKIPPED - BELOW MIN",IF(OR(M2039&gt;J2039,N2039&gt;K2039),"SKIPPED - EXCEEDS BASE",IF(COUNTIFS($M$2028:M2038,M2039,$N$2028:N2038,N2039)&gt;0,"SKIPPED - DUPLICATE","VALID - GENERATED"))))</f>
        <v>VALID - GENERATED</v>
      </c>
      <c r="I2039" s="10" t="s">
        <v>2352</v>
      </c>
      <c r="J2039" s="12">
        <f>'05-ISO Reference'!$B$27</f>
        <v>44</v>
      </c>
      <c r="K2039" s="12">
        <f>'05-ISO Reference'!$C$27</f>
        <v>62</v>
      </c>
      <c r="L2039" s="12">
        <f>'01-Process Controls'!$G$5</f>
        <v>3</v>
      </c>
      <c r="M2039" s="12">
        <f>ROUNDDOWN(J2039*'04-Variant Rules'!$D$16,0)</f>
        <v>22</v>
      </c>
      <c r="N2039" s="12">
        <f>ROUNDDOWN(K2039*'04-Variant Rules'!$E$16,0)</f>
        <v>31</v>
      </c>
      <c r="O2039" s="9">
        <v>11</v>
      </c>
    </row>
    <row r="2040" spans="1:15" ht="21" customHeight="1">
      <c r="A2040" s="9" t="s">
        <v>2364</v>
      </c>
      <c r="B2040" s="12">
        <f>IF(LEFT(H2040,5)="VALID",M2040,"")</f>
        <v>14</v>
      </c>
      <c r="C2040" s="12">
        <f>IF(LEFT(H2040,5)="VALID",N2040,"")</f>
        <v>20</v>
      </c>
      <c r="D2040" s="10" t="s">
        <v>82</v>
      </c>
      <c r="E2040" s="10" t="s">
        <v>2351</v>
      </c>
      <c r="F2040" s="10" t="s">
        <v>159</v>
      </c>
      <c r="G2040" s="10" t="s">
        <v>160</v>
      </c>
      <c r="H2040" s="11" t="str">
        <f>IF(OR(M2040&lt;=0,N2040&lt;=0),"SKIPPED - NONPOSITIVE",IF(OR(M2040&lt;L2040,N2040&lt;L2040),"SKIPPED - BELOW MIN",IF(OR(M2040&gt;J2040,N2040&gt;K2040),"SKIPPED - EXCEEDS BASE",IF(COUNTIFS($M$2028:M2039,M2040,$N$2028:N2039,N2040)&gt;0,"SKIPPED - DUPLICATE","VALID - GENERATED"))))</f>
        <v>VALID - GENERATED</v>
      </c>
      <c r="I2040" s="10" t="s">
        <v>2352</v>
      </c>
      <c r="J2040" s="12">
        <f>'05-ISO Reference'!$B$27</f>
        <v>44</v>
      </c>
      <c r="K2040" s="12">
        <f>'05-ISO Reference'!$C$27</f>
        <v>62</v>
      </c>
      <c r="L2040" s="12">
        <f>'01-Process Controls'!$G$5</f>
        <v>3</v>
      </c>
      <c r="M2040" s="12">
        <f>ROUNDDOWN(J2040*'04-Variant Rules'!$D$17,0)</f>
        <v>14</v>
      </c>
      <c r="N2040" s="12">
        <f>ROUNDDOWN(K2040*'04-Variant Rules'!$E$17,0)</f>
        <v>20</v>
      </c>
      <c r="O2040" s="9">
        <v>12</v>
      </c>
    </row>
    <row r="2041" spans="1:15" ht="21" customHeight="1">
      <c r="A2041" s="9" t="s">
        <v>2365</v>
      </c>
      <c r="B2041" s="12">
        <f>IF(LEFT(H2041,5)="VALID",M2041,"")</f>
        <v>11</v>
      </c>
      <c r="C2041" s="12">
        <f>IF(LEFT(H2041,5)="VALID",N2041,"")</f>
        <v>15</v>
      </c>
      <c r="D2041" s="10" t="s">
        <v>82</v>
      </c>
      <c r="E2041" s="10" t="s">
        <v>2351</v>
      </c>
      <c r="F2041" s="10" t="s">
        <v>162</v>
      </c>
      <c r="G2041" s="10" t="s">
        <v>163</v>
      </c>
      <c r="H2041" s="11" t="str">
        <f>IF(OR(M2041&lt;=0,N2041&lt;=0),"SKIPPED - NONPOSITIVE",IF(OR(M2041&lt;L2041,N2041&lt;L2041),"SKIPPED - BELOW MIN",IF(OR(M2041&gt;J2041,N2041&gt;K2041),"SKIPPED - EXCEEDS BASE",IF(COUNTIFS($M$2028:M2040,M2041,$N$2028:N2040,N2041)&gt;0,"SKIPPED - DUPLICATE","VALID - GENERATED"))))</f>
        <v>VALID - GENERATED</v>
      </c>
      <c r="I2041" s="10" t="s">
        <v>2352</v>
      </c>
      <c r="J2041" s="12">
        <f>'05-ISO Reference'!$B$27</f>
        <v>44</v>
      </c>
      <c r="K2041" s="12">
        <f>'05-ISO Reference'!$C$27</f>
        <v>62</v>
      </c>
      <c r="L2041" s="12">
        <f>'01-Process Controls'!$G$5</f>
        <v>3</v>
      </c>
      <c r="M2041" s="12">
        <f>ROUNDDOWN(J2041*'04-Variant Rules'!$D$18,0)</f>
        <v>11</v>
      </c>
      <c r="N2041" s="12">
        <f>ROUNDDOWN(K2041*'04-Variant Rules'!$E$18,0)</f>
        <v>15</v>
      </c>
      <c r="O2041" s="9">
        <v>13</v>
      </c>
    </row>
    <row r="2042" spans="1:15" ht="21" customHeight="1">
      <c r="A2042" s="9" t="s">
        <v>2366</v>
      </c>
      <c r="B2042" s="12">
        <f>IF(LEFT(H2042,5)="VALID",M2042,"")</f>
        <v>22</v>
      </c>
      <c r="C2042" s="12">
        <f>IF(LEFT(H2042,5)="VALID",N2042,"")</f>
        <v>20</v>
      </c>
      <c r="D2042" s="10" t="s">
        <v>82</v>
      </c>
      <c r="E2042" s="10" t="s">
        <v>2351</v>
      </c>
      <c r="F2042" s="10" t="s">
        <v>165</v>
      </c>
      <c r="G2042" s="10" t="s">
        <v>166</v>
      </c>
      <c r="H2042" s="11" t="str">
        <f>IF(OR(M2042&lt;=0,N2042&lt;=0),"SKIPPED - NONPOSITIVE",IF(OR(M2042&lt;L2042,N2042&lt;L2042),"SKIPPED - BELOW MIN",IF(OR(M2042&gt;J2042,N2042&gt;K2042),"SKIPPED - EXCEEDS BASE",IF(COUNTIFS($M$2028:M2041,M2042,$N$2028:N2041,N2042)&gt;0,"SKIPPED - DUPLICATE","VALID - GENERATED"))))</f>
        <v>VALID - GENERATED</v>
      </c>
      <c r="I2042" s="10" t="s">
        <v>2352</v>
      </c>
      <c r="J2042" s="12">
        <f>'05-ISO Reference'!$B$27</f>
        <v>44</v>
      </c>
      <c r="K2042" s="12">
        <f>'05-ISO Reference'!$C$27</f>
        <v>62</v>
      </c>
      <c r="L2042" s="12">
        <f>'01-Process Controls'!$G$5</f>
        <v>3</v>
      </c>
      <c r="M2042" s="12">
        <f>ROUNDDOWN(J2042*'04-Variant Rules'!$D$19,0)</f>
        <v>22</v>
      </c>
      <c r="N2042" s="12">
        <f>ROUNDDOWN(K2042*'04-Variant Rules'!$E$19,0)</f>
        <v>20</v>
      </c>
      <c r="O2042" s="9">
        <v>14</v>
      </c>
    </row>
    <row r="2043" spans="1:15" ht="21" customHeight="1">
      <c r="A2043" s="9" t="s">
        <v>2367</v>
      </c>
      <c r="B2043" s="12">
        <f>IF(LEFT(H2043,5)="VALID",M2043,"")</f>
        <v>14</v>
      </c>
      <c r="C2043" s="12">
        <f>IF(LEFT(H2043,5)="VALID",N2043,"")</f>
        <v>31</v>
      </c>
      <c r="D2043" s="10" t="s">
        <v>82</v>
      </c>
      <c r="E2043" s="10" t="s">
        <v>2351</v>
      </c>
      <c r="F2043" s="10" t="s">
        <v>168</v>
      </c>
      <c r="G2043" s="10" t="s">
        <v>166</v>
      </c>
      <c r="H2043" s="11" t="str">
        <f>IF(OR(M2043&lt;=0,N2043&lt;=0),"SKIPPED - NONPOSITIVE",IF(OR(M2043&lt;L2043,N2043&lt;L2043),"SKIPPED - BELOW MIN",IF(OR(M2043&gt;J2043,N2043&gt;K2043),"SKIPPED - EXCEEDS BASE",IF(COUNTIFS($M$2028:M2042,M2043,$N$2028:N2042,N2043)&gt;0,"SKIPPED - DUPLICATE","VALID - GENERATED"))))</f>
        <v>VALID - GENERATED</v>
      </c>
      <c r="I2043" s="10" t="s">
        <v>2352</v>
      </c>
      <c r="J2043" s="12">
        <f>'05-ISO Reference'!$B$27</f>
        <v>44</v>
      </c>
      <c r="K2043" s="12">
        <f>'05-ISO Reference'!$C$27</f>
        <v>62</v>
      </c>
      <c r="L2043" s="12">
        <f>'01-Process Controls'!$G$5</f>
        <v>3</v>
      </c>
      <c r="M2043" s="12">
        <f>ROUNDDOWN(J2043*'04-Variant Rules'!$D$20,0)</f>
        <v>14</v>
      </c>
      <c r="N2043" s="12">
        <f>ROUNDDOWN(K2043*'04-Variant Rules'!$E$20,0)</f>
        <v>31</v>
      </c>
      <c r="O2043" s="9">
        <v>15</v>
      </c>
    </row>
    <row r="2044" spans="1:15" ht="21" customHeight="1">
      <c r="A2044" s="9" t="s">
        <v>2368</v>
      </c>
      <c r="B2044" s="12">
        <f>IF(LEFT(H2044,5)="VALID",M2044,"")</f>
        <v>22</v>
      </c>
      <c r="C2044" s="12">
        <f>IF(LEFT(H2044,5)="VALID",N2044,"")</f>
        <v>15</v>
      </c>
      <c r="D2044" s="10" t="s">
        <v>82</v>
      </c>
      <c r="E2044" s="10" t="s">
        <v>2351</v>
      </c>
      <c r="F2044" s="10" t="s">
        <v>170</v>
      </c>
      <c r="G2044" s="10" t="s">
        <v>166</v>
      </c>
      <c r="H2044" s="11" t="str">
        <f>IF(OR(M2044&lt;=0,N2044&lt;=0),"SKIPPED - NONPOSITIVE",IF(OR(M2044&lt;L2044,N2044&lt;L2044),"SKIPPED - BELOW MIN",IF(OR(M2044&gt;J2044,N2044&gt;K2044),"SKIPPED - EXCEEDS BASE",IF(COUNTIFS($M$2028:M2043,M2044,$N$2028:N2043,N2044)&gt;0,"SKIPPED - DUPLICATE","VALID - GENERATED"))))</f>
        <v>VALID - GENERATED</v>
      </c>
      <c r="I2044" s="10" t="s">
        <v>2352</v>
      </c>
      <c r="J2044" s="12">
        <f>'05-ISO Reference'!$B$27</f>
        <v>44</v>
      </c>
      <c r="K2044" s="12">
        <f>'05-ISO Reference'!$C$27</f>
        <v>62</v>
      </c>
      <c r="L2044" s="12">
        <f>'01-Process Controls'!$G$5</f>
        <v>3</v>
      </c>
      <c r="M2044" s="12">
        <f>ROUNDDOWN(J2044*'04-Variant Rules'!$D$21,0)</f>
        <v>22</v>
      </c>
      <c r="N2044" s="12">
        <f>ROUNDDOWN(K2044*'04-Variant Rules'!$E$21,0)</f>
        <v>15</v>
      </c>
      <c r="O2044" s="9">
        <v>16</v>
      </c>
    </row>
    <row r="2045" spans="1:15" ht="21" customHeight="1">
      <c r="A2045" s="9" t="s">
        <v>2369</v>
      </c>
      <c r="B2045" s="12">
        <f>IF(LEFT(H2045,5)="VALID",M2045,"")</f>
        <v>11</v>
      </c>
      <c r="C2045" s="12">
        <f>IF(LEFT(H2045,5)="VALID",N2045,"")</f>
        <v>31</v>
      </c>
      <c r="D2045" s="10" t="s">
        <v>82</v>
      </c>
      <c r="E2045" s="10" t="s">
        <v>2351</v>
      </c>
      <c r="F2045" s="10" t="s">
        <v>172</v>
      </c>
      <c r="G2045" s="10" t="s">
        <v>166</v>
      </c>
      <c r="H2045" s="11" t="str">
        <f>IF(OR(M2045&lt;=0,N2045&lt;=0),"SKIPPED - NONPOSITIVE",IF(OR(M2045&lt;L2045,N2045&lt;L2045),"SKIPPED - BELOW MIN",IF(OR(M2045&gt;J2045,N2045&gt;K2045),"SKIPPED - EXCEEDS BASE",IF(COUNTIFS($M$2028:M2044,M2045,$N$2028:N2044,N2045)&gt;0,"SKIPPED - DUPLICATE","VALID - GENERATED"))))</f>
        <v>VALID - GENERATED</v>
      </c>
      <c r="I2045" s="10" t="s">
        <v>2352</v>
      </c>
      <c r="J2045" s="12">
        <f>'05-ISO Reference'!$B$27</f>
        <v>44</v>
      </c>
      <c r="K2045" s="12">
        <f>'05-ISO Reference'!$C$27</f>
        <v>62</v>
      </c>
      <c r="L2045" s="12">
        <f>'01-Process Controls'!$G$5</f>
        <v>3</v>
      </c>
      <c r="M2045" s="12">
        <f>ROUNDDOWN(J2045*'04-Variant Rules'!$D$22,0)</f>
        <v>11</v>
      </c>
      <c r="N2045" s="12">
        <f>ROUNDDOWN(K2045*'04-Variant Rules'!$E$22,0)</f>
        <v>31</v>
      </c>
      <c r="O2045" s="9">
        <v>17</v>
      </c>
    </row>
    <row r="2046" spans="1:15" ht="21" customHeight="1">
      <c r="A2046" s="9" t="s">
        <v>2370</v>
      </c>
      <c r="B2046" s="12">
        <f>IF(LEFT(H2046,5)="VALID",M2046,"")</f>
        <v>29</v>
      </c>
      <c r="C2046" s="12">
        <f>IF(LEFT(H2046,5)="VALID",N2046,"")</f>
        <v>31</v>
      </c>
      <c r="D2046" s="10" t="s">
        <v>82</v>
      </c>
      <c r="E2046" s="10" t="s">
        <v>2351</v>
      </c>
      <c r="F2046" s="10" t="s">
        <v>174</v>
      </c>
      <c r="G2046" s="10" t="s">
        <v>166</v>
      </c>
      <c r="H2046" s="11" t="str">
        <f>IF(OR(M2046&lt;=0,N2046&lt;=0),"SKIPPED - NONPOSITIVE",IF(OR(M2046&lt;L2046,N2046&lt;L2046),"SKIPPED - BELOW MIN",IF(OR(M2046&gt;J2046,N2046&gt;K2046),"SKIPPED - EXCEEDS BASE",IF(COUNTIFS($M$2028:M2045,M2046,$N$2028:N2045,N2046)&gt;0,"SKIPPED - DUPLICATE","VALID - GENERATED"))))</f>
        <v>VALID - GENERATED</v>
      </c>
      <c r="I2046" s="10" t="s">
        <v>2352</v>
      </c>
      <c r="J2046" s="12">
        <f>'05-ISO Reference'!$B$27</f>
        <v>44</v>
      </c>
      <c r="K2046" s="12">
        <f>'05-ISO Reference'!$C$27</f>
        <v>62</v>
      </c>
      <c r="L2046" s="12">
        <f>'01-Process Controls'!$G$5</f>
        <v>3</v>
      </c>
      <c r="M2046" s="12">
        <f>ROUNDDOWN(J2046*'04-Variant Rules'!$D$23,0)</f>
        <v>29</v>
      </c>
      <c r="N2046" s="12">
        <f>ROUNDDOWN(K2046*'04-Variant Rules'!$E$23,0)</f>
        <v>31</v>
      </c>
      <c r="O2046" s="9">
        <v>18</v>
      </c>
    </row>
    <row r="2047" spans="1:15" ht="21" customHeight="1">
      <c r="A2047" s="9" t="s">
        <v>2371</v>
      </c>
      <c r="B2047" s="12">
        <f>IF(LEFT(H2047,5)="VALID",M2047,"")</f>
        <v>22</v>
      </c>
      <c r="C2047" s="12">
        <f>IF(LEFT(H2047,5)="VALID",N2047,"")</f>
        <v>41</v>
      </c>
      <c r="D2047" s="10" t="s">
        <v>82</v>
      </c>
      <c r="E2047" s="10" t="s">
        <v>2351</v>
      </c>
      <c r="F2047" s="10" t="s">
        <v>176</v>
      </c>
      <c r="G2047" s="10" t="s">
        <v>166</v>
      </c>
      <c r="H2047" s="11" t="str">
        <f>IF(OR(M2047&lt;=0,N2047&lt;=0),"SKIPPED - NONPOSITIVE",IF(OR(M2047&lt;L2047,N2047&lt;L2047),"SKIPPED - BELOW MIN",IF(OR(M2047&gt;J2047,N2047&gt;K2047),"SKIPPED - EXCEEDS BASE",IF(COUNTIFS($M$2028:M2046,M2047,$N$2028:N2046,N2047)&gt;0,"SKIPPED - DUPLICATE","VALID - GENERATED"))))</f>
        <v>VALID - GENERATED</v>
      </c>
      <c r="I2047" s="10" t="s">
        <v>2352</v>
      </c>
      <c r="J2047" s="12">
        <f>'05-ISO Reference'!$B$27</f>
        <v>44</v>
      </c>
      <c r="K2047" s="12">
        <f>'05-ISO Reference'!$C$27</f>
        <v>62</v>
      </c>
      <c r="L2047" s="12">
        <f>'01-Process Controls'!$G$5</f>
        <v>3</v>
      </c>
      <c r="M2047" s="12">
        <f>ROUNDDOWN(J2047*'04-Variant Rules'!$D$24,0)</f>
        <v>22</v>
      </c>
      <c r="N2047" s="12">
        <f>ROUNDDOWN(K2047*'04-Variant Rules'!$E$24,0)</f>
        <v>41</v>
      </c>
      <c r="O2047" s="9">
        <v>19</v>
      </c>
    </row>
    <row r="2048" spans="1:15" ht="21" customHeight="1">
      <c r="A2048" s="9" t="s">
        <v>2372</v>
      </c>
      <c r="B2048" s="12">
        <f>IF(LEFT(H2048,5)="VALID",M2048,"")</f>
        <v>33</v>
      </c>
      <c r="C2048" s="12">
        <f>IF(LEFT(H2048,5)="VALID",N2048,"")</f>
        <v>31</v>
      </c>
      <c r="D2048" s="10" t="s">
        <v>82</v>
      </c>
      <c r="E2048" s="10" t="s">
        <v>2351</v>
      </c>
      <c r="F2048" s="10" t="s">
        <v>178</v>
      </c>
      <c r="G2048" s="10" t="s">
        <v>166</v>
      </c>
      <c r="H2048" s="11" t="str">
        <f>IF(OR(M2048&lt;=0,N2048&lt;=0),"SKIPPED - NONPOSITIVE",IF(OR(M2048&lt;L2048,N2048&lt;L2048),"SKIPPED - BELOW MIN",IF(OR(M2048&gt;J2048,N2048&gt;K2048),"SKIPPED - EXCEEDS BASE",IF(COUNTIFS($M$2028:M2047,M2048,$N$2028:N2047,N2048)&gt;0,"SKIPPED - DUPLICATE","VALID - GENERATED"))))</f>
        <v>VALID - GENERATED</v>
      </c>
      <c r="I2048" s="10" t="s">
        <v>2352</v>
      </c>
      <c r="J2048" s="12">
        <f>'05-ISO Reference'!$B$27</f>
        <v>44</v>
      </c>
      <c r="K2048" s="12">
        <f>'05-ISO Reference'!$C$27</f>
        <v>62</v>
      </c>
      <c r="L2048" s="12">
        <f>'01-Process Controls'!$G$5</f>
        <v>3</v>
      </c>
      <c r="M2048" s="12">
        <f>ROUNDDOWN(J2048*'04-Variant Rules'!$D$25,0)</f>
        <v>33</v>
      </c>
      <c r="N2048" s="12">
        <f>ROUNDDOWN(K2048*'04-Variant Rules'!$E$25,0)</f>
        <v>31</v>
      </c>
      <c r="O2048" s="9">
        <v>20</v>
      </c>
    </row>
    <row r="2049" spans="1:15" ht="21" customHeight="1">
      <c r="A2049" s="9" t="s">
        <v>2373</v>
      </c>
      <c r="B2049" s="12">
        <f>IF(LEFT(H2049,5)="VALID",M2049,"")</f>
        <v>22</v>
      </c>
      <c r="C2049" s="12">
        <f>IF(LEFT(H2049,5)="VALID",N2049,"")</f>
        <v>46</v>
      </c>
      <c r="D2049" s="10" t="s">
        <v>82</v>
      </c>
      <c r="E2049" s="10" t="s">
        <v>2351</v>
      </c>
      <c r="F2049" s="10" t="s">
        <v>180</v>
      </c>
      <c r="G2049" s="10" t="s">
        <v>166</v>
      </c>
      <c r="H2049" s="11" t="str">
        <f>IF(OR(M2049&lt;=0,N2049&lt;=0),"SKIPPED - NONPOSITIVE",IF(OR(M2049&lt;L2049,N2049&lt;L2049),"SKIPPED - BELOW MIN",IF(OR(M2049&gt;J2049,N2049&gt;K2049),"SKIPPED - EXCEEDS BASE",IF(COUNTIFS($M$2028:M2048,M2049,$N$2028:N2048,N2049)&gt;0,"SKIPPED - DUPLICATE","VALID - GENERATED"))))</f>
        <v>VALID - GENERATED</v>
      </c>
      <c r="I2049" s="10" t="s">
        <v>2352</v>
      </c>
      <c r="J2049" s="12">
        <f>'05-ISO Reference'!$B$27</f>
        <v>44</v>
      </c>
      <c r="K2049" s="12">
        <f>'05-ISO Reference'!$C$27</f>
        <v>62</v>
      </c>
      <c r="L2049" s="12">
        <f>'01-Process Controls'!$G$5</f>
        <v>3</v>
      </c>
      <c r="M2049" s="12">
        <f>ROUNDDOWN(J2049*'04-Variant Rules'!$D$26,0)</f>
        <v>22</v>
      </c>
      <c r="N2049" s="12">
        <f>ROUNDDOWN(K2049*'04-Variant Rules'!$E$26,0)</f>
        <v>46</v>
      </c>
      <c r="O2049" s="9">
        <v>21</v>
      </c>
    </row>
    <row r="2050" spans="1:15" ht="21" customHeight="1">
      <c r="A2050" s="9" t="s">
        <v>2374</v>
      </c>
      <c r="B2050" s="12">
        <f>IF(LEFT(H2050,5)="VALID",M2050,"")</f>
        <v>41</v>
      </c>
      <c r="C2050" s="12">
        <f>IF(LEFT(H2050,5)="VALID",N2050,"")</f>
        <v>58</v>
      </c>
      <c r="D2050" s="10" t="s">
        <v>82</v>
      </c>
      <c r="E2050" s="10" t="s">
        <v>2351</v>
      </c>
      <c r="F2050" s="10" t="s">
        <v>182</v>
      </c>
      <c r="G2050" s="10" t="s">
        <v>183</v>
      </c>
      <c r="H2050" s="11" t="str">
        <f>IF(OR(M2050&lt;=0,N2050&lt;=0),"SKIPPED - NONPOSITIVE",IF(OR(M2050&lt;L2050,N2050&lt;L2050),"SKIPPED - BELOW MIN",IF(OR(M2050&gt;J2050,N2050&gt;K2050),"SKIPPED - EXCEEDS BASE",IF(COUNTIFS($M$2028:M2049,M2050,$N$2028:N2049,N2050)&gt;0,"SKIPPED - DUPLICATE","VALID - GENERATED"))))</f>
        <v>VALID - GENERATED</v>
      </c>
      <c r="I2050" s="10" t="s">
        <v>2352</v>
      </c>
      <c r="J2050" s="12">
        <f>'05-ISO Reference'!$B$27</f>
        <v>44</v>
      </c>
      <c r="K2050" s="12">
        <f>'05-ISO Reference'!$C$27</f>
        <v>62</v>
      </c>
      <c r="L2050" s="12">
        <f>'01-Process Controls'!$G$5</f>
        <v>3</v>
      </c>
      <c r="M2050" s="12">
        <f>ROUNDDOWN(J2050*'04-Variant Rules'!$D$27,0)</f>
        <v>41</v>
      </c>
      <c r="N2050" s="12">
        <f>ROUNDDOWN(K2050*'04-Variant Rules'!$E$27,0)</f>
        <v>58</v>
      </c>
      <c r="O2050" s="9">
        <v>22</v>
      </c>
    </row>
    <row r="2051" spans="1:15" ht="21" customHeight="1">
      <c r="A2051" s="9" t="s">
        <v>2375</v>
      </c>
      <c r="B2051" s="12">
        <f>IF(LEFT(H2051,5)="VALID",M2051,"")</f>
        <v>39</v>
      </c>
      <c r="C2051" s="12">
        <f>IF(LEFT(H2051,5)="VALID",N2051,"")</f>
        <v>55</v>
      </c>
      <c r="D2051" s="10" t="s">
        <v>82</v>
      </c>
      <c r="E2051" s="10" t="s">
        <v>2351</v>
      </c>
      <c r="F2051" s="10" t="s">
        <v>185</v>
      </c>
      <c r="G2051" s="10" t="s">
        <v>186</v>
      </c>
      <c r="H2051" s="11" t="str">
        <f>IF(OR(M2051&lt;=0,N2051&lt;=0),"SKIPPED - NONPOSITIVE",IF(OR(M2051&lt;L2051,N2051&lt;L2051),"SKIPPED - BELOW MIN",IF(OR(M2051&gt;J2051,N2051&gt;K2051),"SKIPPED - EXCEEDS BASE",IF(COUNTIFS($M$2028:M2050,M2051,$N$2028:N2050,N2051)&gt;0,"SKIPPED - DUPLICATE","VALID - GENERATED"))))</f>
        <v>VALID - GENERATED</v>
      </c>
      <c r="I2051" s="10" t="s">
        <v>2352</v>
      </c>
      <c r="J2051" s="12">
        <f>'05-ISO Reference'!$B$27</f>
        <v>44</v>
      </c>
      <c r="K2051" s="12">
        <f>'05-ISO Reference'!$C$27</f>
        <v>62</v>
      </c>
      <c r="L2051" s="12">
        <f>'01-Process Controls'!$G$5</f>
        <v>3</v>
      </c>
      <c r="M2051" s="12">
        <f>ROUNDDOWN(J2051*'04-Variant Rules'!$D$28,0)</f>
        <v>39</v>
      </c>
      <c r="N2051" s="12">
        <f>ROUNDDOWN(K2051*'04-Variant Rules'!$E$28,0)</f>
        <v>55</v>
      </c>
      <c r="O2051" s="9">
        <v>23</v>
      </c>
    </row>
    <row r="2052" spans="1:15" ht="21" customHeight="1">
      <c r="A2052" s="9" t="s">
        <v>2376</v>
      </c>
      <c r="B2052" s="12">
        <f>IF(LEFT(H2052,5)="VALID",M2052,"")</f>
        <v>37</v>
      </c>
      <c r="C2052" s="12">
        <f>IF(LEFT(H2052,5)="VALID",N2052,"")</f>
        <v>52</v>
      </c>
      <c r="D2052" s="10" t="s">
        <v>82</v>
      </c>
      <c r="E2052" s="10" t="s">
        <v>2351</v>
      </c>
      <c r="F2052" s="10" t="s">
        <v>188</v>
      </c>
      <c r="G2052" s="10" t="s">
        <v>186</v>
      </c>
      <c r="H2052" s="11" t="str">
        <f>IF(OR(M2052&lt;=0,N2052&lt;=0),"SKIPPED - NONPOSITIVE",IF(OR(M2052&lt;L2052,N2052&lt;L2052),"SKIPPED - BELOW MIN",IF(OR(M2052&gt;J2052,N2052&gt;K2052),"SKIPPED - EXCEEDS BASE",IF(COUNTIFS($M$2028:M2051,M2052,$N$2028:N2051,N2052)&gt;0,"SKIPPED - DUPLICATE","VALID - GENERATED"))))</f>
        <v>VALID - GENERATED</v>
      </c>
      <c r="I2052" s="10" t="s">
        <v>2352</v>
      </c>
      <c r="J2052" s="12">
        <f>'05-ISO Reference'!$B$27</f>
        <v>44</v>
      </c>
      <c r="K2052" s="12">
        <f>'05-ISO Reference'!$C$27</f>
        <v>62</v>
      </c>
      <c r="L2052" s="12">
        <f>'01-Process Controls'!$G$5</f>
        <v>3</v>
      </c>
      <c r="M2052" s="12">
        <f>ROUNDDOWN(J2052*'04-Variant Rules'!$D$29,0)</f>
        <v>37</v>
      </c>
      <c r="N2052" s="12">
        <f>ROUNDDOWN(K2052*'04-Variant Rules'!$E$29,0)</f>
        <v>52</v>
      </c>
      <c r="O2052" s="9">
        <v>24</v>
      </c>
    </row>
    <row r="2053" spans="1:15" ht="21" customHeight="1">
      <c r="A2053" s="9" t="s">
        <v>2377</v>
      </c>
      <c r="B2053" s="12">
        <f>IF(LEFT(H2053,5)="VALID",M2053,"")</f>
        <v>35</v>
      </c>
      <c r="C2053" s="12">
        <f>IF(LEFT(H2053,5)="VALID",N2053,"")</f>
        <v>49</v>
      </c>
      <c r="D2053" s="10" t="s">
        <v>82</v>
      </c>
      <c r="E2053" s="10" t="s">
        <v>2351</v>
      </c>
      <c r="F2053" s="10" t="s">
        <v>190</v>
      </c>
      <c r="G2053" s="10" t="s">
        <v>186</v>
      </c>
      <c r="H2053" s="11" t="str">
        <f>IF(OR(M2053&lt;=0,N2053&lt;=0),"SKIPPED - NONPOSITIVE",IF(OR(M2053&lt;L2053,N2053&lt;L2053),"SKIPPED - BELOW MIN",IF(OR(M2053&gt;J2053,N2053&gt;K2053),"SKIPPED - EXCEEDS BASE",IF(COUNTIFS($M$2028:M2052,M2053,$N$2028:N2052,N2053)&gt;0,"SKIPPED - DUPLICATE","VALID - GENERATED"))))</f>
        <v>VALID - GENERATED</v>
      </c>
      <c r="I2053" s="10" t="s">
        <v>2352</v>
      </c>
      <c r="J2053" s="12">
        <f>'05-ISO Reference'!$B$27</f>
        <v>44</v>
      </c>
      <c r="K2053" s="12">
        <f>'05-ISO Reference'!$C$27</f>
        <v>62</v>
      </c>
      <c r="L2053" s="12">
        <f>'01-Process Controls'!$G$5</f>
        <v>3</v>
      </c>
      <c r="M2053" s="12">
        <f>ROUNDDOWN(J2053*'04-Variant Rules'!$D$30,0)</f>
        <v>35</v>
      </c>
      <c r="N2053" s="12">
        <f>ROUNDDOWN(K2053*'04-Variant Rules'!$E$30,0)</f>
        <v>49</v>
      </c>
      <c r="O2053" s="9">
        <v>25</v>
      </c>
    </row>
    <row r="2054" spans="1:15" ht="21" customHeight="1">
      <c r="A2054" s="9" t="s">
        <v>2378</v>
      </c>
      <c r="B2054" s="12">
        <f>IF(LEFT(H2054,5)="VALID",M2054,"")</f>
        <v>33</v>
      </c>
      <c r="C2054" s="12">
        <f>IF(LEFT(H2054,5)="VALID",N2054,"")</f>
        <v>46</v>
      </c>
      <c r="D2054" s="10" t="s">
        <v>82</v>
      </c>
      <c r="E2054" s="10" t="s">
        <v>2351</v>
      </c>
      <c r="F2054" s="10" t="s">
        <v>192</v>
      </c>
      <c r="G2054" s="10" t="s">
        <v>186</v>
      </c>
      <c r="H2054" s="11" t="str">
        <f>IF(OR(M2054&lt;=0,N2054&lt;=0),"SKIPPED - NONPOSITIVE",IF(OR(M2054&lt;L2054,N2054&lt;L2054),"SKIPPED - BELOW MIN",IF(OR(M2054&gt;J2054,N2054&gt;K2054),"SKIPPED - EXCEEDS BASE",IF(COUNTIFS($M$2028:M2053,M2054,$N$2028:N2053,N2054)&gt;0,"SKIPPED - DUPLICATE","VALID - GENERATED"))))</f>
        <v>VALID - GENERATED</v>
      </c>
      <c r="I2054" s="10" t="s">
        <v>2352</v>
      </c>
      <c r="J2054" s="12">
        <f>'05-ISO Reference'!$B$27</f>
        <v>44</v>
      </c>
      <c r="K2054" s="12">
        <f>'05-ISO Reference'!$C$27</f>
        <v>62</v>
      </c>
      <c r="L2054" s="12">
        <f>'01-Process Controls'!$G$5</f>
        <v>3</v>
      </c>
      <c r="M2054" s="12">
        <f>ROUNDDOWN(J2054*'04-Variant Rules'!$D$31,0)</f>
        <v>33</v>
      </c>
      <c r="N2054" s="12">
        <f>ROUNDDOWN(K2054*'04-Variant Rules'!$E$31,0)</f>
        <v>46</v>
      </c>
      <c r="O2054" s="9">
        <v>26</v>
      </c>
    </row>
    <row r="2055" spans="1:15" ht="21" customHeight="1">
      <c r="A2055" s="9" t="s">
        <v>2379</v>
      </c>
      <c r="B2055" s="12">
        <f>IF(LEFT(H2055,5)="VALID",M2055,"")</f>
        <v>30</v>
      </c>
      <c r="C2055" s="12">
        <f>IF(LEFT(H2055,5)="VALID",N2055,"")</f>
        <v>43</v>
      </c>
      <c r="D2055" s="10" t="s">
        <v>82</v>
      </c>
      <c r="E2055" s="10" t="s">
        <v>2351</v>
      </c>
      <c r="F2055" s="10" t="s">
        <v>194</v>
      </c>
      <c r="G2055" s="10" t="s">
        <v>186</v>
      </c>
      <c r="H2055" s="11" t="str">
        <f>IF(OR(M2055&lt;=0,N2055&lt;=0),"SKIPPED - NONPOSITIVE",IF(OR(M2055&lt;L2055,N2055&lt;L2055),"SKIPPED - BELOW MIN",IF(OR(M2055&gt;J2055,N2055&gt;K2055),"SKIPPED - EXCEEDS BASE",IF(COUNTIFS($M$2028:M2054,M2055,$N$2028:N2054,N2055)&gt;0,"SKIPPED - DUPLICATE","VALID - GENERATED"))))</f>
        <v>VALID - GENERATED</v>
      </c>
      <c r="I2055" s="10" t="s">
        <v>2352</v>
      </c>
      <c r="J2055" s="12">
        <f>'05-ISO Reference'!$B$27</f>
        <v>44</v>
      </c>
      <c r="K2055" s="12">
        <f>'05-ISO Reference'!$C$27</f>
        <v>62</v>
      </c>
      <c r="L2055" s="12">
        <f>'01-Process Controls'!$G$5</f>
        <v>3</v>
      </c>
      <c r="M2055" s="12">
        <f>ROUNDDOWN(J2055*'04-Variant Rules'!$D$32,0)</f>
        <v>30</v>
      </c>
      <c r="N2055" s="12">
        <f>ROUNDDOWN(K2055*'04-Variant Rules'!$E$32,0)</f>
        <v>43</v>
      </c>
      <c r="O2055" s="9">
        <v>27</v>
      </c>
    </row>
    <row r="2056" spans="1:15" ht="21" customHeight="1">
      <c r="A2056" s="9" t="s">
        <v>2380</v>
      </c>
      <c r="B2056" s="12">
        <f>IF(LEFT(H2056,5)="VALID",M2056,"")</f>
        <v>29</v>
      </c>
      <c r="C2056" s="12">
        <f>IF(LEFT(H2056,5)="VALID",N2056,"")</f>
        <v>41</v>
      </c>
      <c r="D2056" s="10" t="s">
        <v>82</v>
      </c>
      <c r="E2056" s="10" t="s">
        <v>2351</v>
      </c>
      <c r="F2056" s="10" t="s">
        <v>196</v>
      </c>
      <c r="G2056" s="10" t="s">
        <v>186</v>
      </c>
      <c r="H2056" s="11" t="str">
        <f>IF(OR(M2056&lt;=0,N2056&lt;=0),"SKIPPED - NONPOSITIVE",IF(OR(M2056&lt;L2056,N2056&lt;L2056),"SKIPPED - BELOW MIN",IF(OR(M2056&gt;J2056,N2056&gt;K2056),"SKIPPED - EXCEEDS BASE",IF(COUNTIFS($M$2028:M2055,M2056,$N$2028:N2055,N2056)&gt;0,"SKIPPED - DUPLICATE","VALID - GENERATED"))))</f>
        <v>VALID - GENERATED</v>
      </c>
      <c r="I2056" s="10" t="s">
        <v>2352</v>
      </c>
      <c r="J2056" s="12">
        <f>'05-ISO Reference'!$B$27</f>
        <v>44</v>
      </c>
      <c r="K2056" s="12">
        <f>'05-ISO Reference'!$C$27</f>
        <v>62</v>
      </c>
      <c r="L2056" s="12">
        <f>'01-Process Controls'!$G$5</f>
        <v>3</v>
      </c>
      <c r="M2056" s="12">
        <f>ROUNDDOWN(J2056*'04-Variant Rules'!$D$33,0)</f>
        <v>29</v>
      </c>
      <c r="N2056" s="12">
        <f>ROUNDDOWN(K2056*'04-Variant Rules'!$E$33,0)</f>
        <v>41</v>
      </c>
      <c r="O2056" s="9">
        <v>28</v>
      </c>
    </row>
    <row r="2057" spans="1:15" ht="21" customHeight="1">
      <c r="A2057" s="9" t="s">
        <v>2381</v>
      </c>
      <c r="B2057" s="12">
        <f>IF(LEFT(H2057,5)="VALID",M2057,"")</f>
        <v>26</v>
      </c>
      <c r="C2057" s="12">
        <f>IF(LEFT(H2057,5)="VALID",N2057,"")</f>
        <v>37</v>
      </c>
      <c r="D2057" s="10" t="s">
        <v>82</v>
      </c>
      <c r="E2057" s="10" t="s">
        <v>2351</v>
      </c>
      <c r="F2057" s="10" t="s">
        <v>198</v>
      </c>
      <c r="G2057" s="10" t="s">
        <v>186</v>
      </c>
      <c r="H2057" s="11" t="str">
        <f>IF(OR(M2057&lt;=0,N2057&lt;=0),"SKIPPED - NONPOSITIVE",IF(OR(M2057&lt;L2057,N2057&lt;L2057),"SKIPPED - BELOW MIN",IF(OR(M2057&gt;J2057,N2057&gt;K2057),"SKIPPED - EXCEEDS BASE",IF(COUNTIFS($M$2028:M2056,M2057,$N$2028:N2056,N2057)&gt;0,"SKIPPED - DUPLICATE","VALID - GENERATED"))))</f>
        <v>VALID - GENERATED</v>
      </c>
      <c r="I2057" s="10" t="s">
        <v>2352</v>
      </c>
      <c r="J2057" s="12">
        <f>'05-ISO Reference'!$B$27</f>
        <v>44</v>
      </c>
      <c r="K2057" s="12">
        <f>'05-ISO Reference'!$C$27</f>
        <v>62</v>
      </c>
      <c r="L2057" s="12">
        <f>'01-Process Controls'!$G$5</f>
        <v>3</v>
      </c>
      <c r="M2057" s="12">
        <f>ROUNDDOWN(J2057*'04-Variant Rules'!$D$34,0)</f>
        <v>26</v>
      </c>
      <c r="N2057" s="12">
        <f>ROUNDDOWN(K2057*'04-Variant Rules'!$E$34,0)</f>
        <v>37</v>
      </c>
      <c r="O2057" s="9">
        <v>29</v>
      </c>
    </row>
    <row r="2058" spans="1:15" ht="21" customHeight="1">
      <c r="A2058" s="9" t="s">
        <v>2382</v>
      </c>
      <c r="B2058" s="12">
        <f>IF(LEFT(H2058,5)="VALID",M2058,"")</f>
        <v>24</v>
      </c>
      <c r="C2058" s="12">
        <f>IF(LEFT(H2058,5)="VALID",N2058,"")</f>
        <v>34</v>
      </c>
      <c r="D2058" s="10" t="s">
        <v>82</v>
      </c>
      <c r="E2058" s="10" t="s">
        <v>2351</v>
      </c>
      <c r="F2058" s="10" t="s">
        <v>200</v>
      </c>
      <c r="G2058" s="10" t="s">
        <v>186</v>
      </c>
      <c r="H2058" s="11" t="str">
        <f>IF(OR(M2058&lt;=0,N2058&lt;=0),"SKIPPED - NONPOSITIVE",IF(OR(M2058&lt;L2058,N2058&lt;L2058),"SKIPPED - BELOW MIN",IF(OR(M2058&gt;J2058,N2058&gt;K2058),"SKIPPED - EXCEEDS BASE",IF(COUNTIFS($M$2028:M2057,M2058,$N$2028:N2057,N2058)&gt;0,"SKIPPED - DUPLICATE","VALID - GENERATED"))))</f>
        <v>VALID - GENERATED</v>
      </c>
      <c r="I2058" s="10" t="s">
        <v>2352</v>
      </c>
      <c r="J2058" s="12">
        <f>'05-ISO Reference'!$B$27</f>
        <v>44</v>
      </c>
      <c r="K2058" s="12">
        <f>'05-ISO Reference'!$C$27</f>
        <v>62</v>
      </c>
      <c r="L2058" s="12">
        <f>'01-Process Controls'!$G$5</f>
        <v>3</v>
      </c>
      <c r="M2058" s="12">
        <f>ROUNDDOWN(J2058*'04-Variant Rules'!$D$35,0)</f>
        <v>24</v>
      </c>
      <c r="N2058" s="12">
        <f>ROUNDDOWN(K2058*'04-Variant Rules'!$E$35,0)</f>
        <v>34</v>
      </c>
      <c r="O2058" s="9">
        <v>30</v>
      </c>
    </row>
    <row r="2059" spans="1:15" ht="21" customHeight="1">
      <c r="A2059" s="9" t="s">
        <v>2383</v>
      </c>
      <c r="B2059" s="12">
        <f>IF(LEFT(H2059,5)="VALID",M2059,"")</f>
        <v>19</v>
      </c>
      <c r="C2059" s="12">
        <f>IF(LEFT(H2059,5)="VALID",N2059,"")</f>
        <v>27</v>
      </c>
      <c r="D2059" s="10" t="s">
        <v>82</v>
      </c>
      <c r="E2059" s="10" t="s">
        <v>2351</v>
      </c>
      <c r="F2059" s="10" t="s">
        <v>202</v>
      </c>
      <c r="G2059" s="10" t="s">
        <v>186</v>
      </c>
      <c r="H2059" s="11" t="str">
        <f>IF(OR(M2059&lt;=0,N2059&lt;=0),"SKIPPED - NONPOSITIVE",IF(OR(M2059&lt;L2059,N2059&lt;L2059),"SKIPPED - BELOW MIN",IF(OR(M2059&gt;J2059,N2059&gt;K2059),"SKIPPED - EXCEEDS BASE",IF(COUNTIFS($M$2028:M2058,M2059,$N$2028:N2058,N2059)&gt;0,"SKIPPED - DUPLICATE","VALID - GENERATED"))))</f>
        <v>VALID - GENERATED</v>
      </c>
      <c r="I2059" s="10" t="s">
        <v>2352</v>
      </c>
      <c r="J2059" s="12">
        <f>'05-ISO Reference'!$B$27</f>
        <v>44</v>
      </c>
      <c r="K2059" s="12">
        <f>'05-ISO Reference'!$C$27</f>
        <v>62</v>
      </c>
      <c r="L2059" s="12">
        <f>'01-Process Controls'!$G$5</f>
        <v>3</v>
      </c>
      <c r="M2059" s="12">
        <f>ROUNDDOWN(J2059*'04-Variant Rules'!$D$36,0)</f>
        <v>19</v>
      </c>
      <c r="N2059" s="12">
        <f>ROUNDDOWN(K2059*'04-Variant Rules'!$E$36,0)</f>
        <v>27</v>
      </c>
      <c r="O2059" s="9">
        <v>31</v>
      </c>
    </row>
    <row r="2060" spans="1:15" ht="21" customHeight="1">
      <c r="A2060" s="9" t="s">
        <v>2384</v>
      </c>
      <c r="B2060" s="12">
        <f>IF(LEFT(H2060,5)="VALID",M2060,"")</f>
        <v>17</v>
      </c>
      <c r="C2060" s="12">
        <f>IF(LEFT(H2060,5)="VALID",N2060,"")</f>
        <v>24</v>
      </c>
      <c r="D2060" s="10" t="s">
        <v>82</v>
      </c>
      <c r="E2060" s="10" t="s">
        <v>2351</v>
      </c>
      <c r="F2060" s="10" t="s">
        <v>204</v>
      </c>
      <c r="G2060" s="10" t="s">
        <v>186</v>
      </c>
      <c r="H2060" s="11" t="str">
        <f>IF(OR(M2060&lt;=0,N2060&lt;=0),"SKIPPED - NONPOSITIVE",IF(OR(M2060&lt;L2060,N2060&lt;L2060),"SKIPPED - BELOW MIN",IF(OR(M2060&gt;J2060,N2060&gt;K2060),"SKIPPED - EXCEEDS BASE",IF(COUNTIFS($M$2028:M2059,M2060,$N$2028:N2059,N2060)&gt;0,"SKIPPED - DUPLICATE","VALID - GENERATED"))))</f>
        <v>VALID - GENERATED</v>
      </c>
      <c r="I2060" s="10" t="s">
        <v>2352</v>
      </c>
      <c r="J2060" s="12">
        <f>'05-ISO Reference'!$B$27</f>
        <v>44</v>
      </c>
      <c r="K2060" s="12">
        <f>'05-ISO Reference'!$C$27</f>
        <v>62</v>
      </c>
      <c r="L2060" s="12">
        <f>'01-Process Controls'!$G$5</f>
        <v>3</v>
      </c>
      <c r="M2060" s="12">
        <f>ROUNDDOWN(J2060*'04-Variant Rules'!$D$37,0)</f>
        <v>17</v>
      </c>
      <c r="N2060" s="12">
        <f>ROUNDDOWN(K2060*'04-Variant Rules'!$E$37,0)</f>
        <v>24</v>
      </c>
      <c r="O2060" s="9">
        <v>32</v>
      </c>
    </row>
    <row r="2061" spans="1:15" ht="21" customHeight="1">
      <c r="A2061" s="9" t="s">
        <v>2385</v>
      </c>
      <c r="B2061" s="12">
        <f>IF(LEFT(H2061,5)="VALID",M2061,"")</f>
        <v>15</v>
      </c>
      <c r="C2061" s="12">
        <f>IF(LEFT(H2061,5)="VALID",N2061,"")</f>
        <v>21</v>
      </c>
      <c r="D2061" s="10" t="s">
        <v>82</v>
      </c>
      <c r="E2061" s="10" t="s">
        <v>2351</v>
      </c>
      <c r="F2061" s="10" t="s">
        <v>206</v>
      </c>
      <c r="G2061" s="10" t="s">
        <v>186</v>
      </c>
      <c r="H2061" s="11" t="str">
        <f>IF(OR(M2061&lt;=0,N2061&lt;=0),"SKIPPED - NONPOSITIVE",IF(OR(M2061&lt;L2061,N2061&lt;L2061),"SKIPPED - BELOW MIN",IF(OR(M2061&gt;J2061,N2061&gt;K2061),"SKIPPED - EXCEEDS BASE",IF(COUNTIFS($M$2028:M2060,M2061,$N$2028:N2060,N2061)&gt;0,"SKIPPED - DUPLICATE","VALID - GENERATED"))))</f>
        <v>VALID - GENERATED</v>
      </c>
      <c r="I2061" s="10" t="s">
        <v>2352</v>
      </c>
      <c r="J2061" s="12">
        <f>'05-ISO Reference'!$B$27</f>
        <v>44</v>
      </c>
      <c r="K2061" s="12">
        <f>'05-ISO Reference'!$C$27</f>
        <v>62</v>
      </c>
      <c r="L2061" s="12">
        <f>'01-Process Controls'!$G$5</f>
        <v>3</v>
      </c>
      <c r="M2061" s="12">
        <f>ROUNDDOWN(J2061*'04-Variant Rules'!$D$38,0)</f>
        <v>15</v>
      </c>
      <c r="N2061" s="12">
        <f>ROUNDDOWN(K2061*'04-Variant Rules'!$E$38,0)</f>
        <v>21</v>
      </c>
      <c r="O2061" s="9">
        <v>33</v>
      </c>
    </row>
    <row r="2062" spans="1:15" ht="21" customHeight="1">
      <c r="A2062" s="9" t="s">
        <v>2386</v>
      </c>
      <c r="B2062" s="12">
        <f>IF(LEFT(H2062,5)="VALID",M2062,"")</f>
        <v>13</v>
      </c>
      <c r="C2062" s="12">
        <f>IF(LEFT(H2062,5)="VALID",N2062,"")</f>
        <v>18</v>
      </c>
      <c r="D2062" s="10" t="s">
        <v>82</v>
      </c>
      <c r="E2062" s="10" t="s">
        <v>2351</v>
      </c>
      <c r="F2062" s="10" t="s">
        <v>208</v>
      </c>
      <c r="G2062" s="10" t="s">
        <v>186</v>
      </c>
      <c r="H2062" s="11" t="str">
        <f>IF(OR(M2062&lt;=0,N2062&lt;=0),"SKIPPED - NONPOSITIVE",IF(OR(M2062&lt;L2062,N2062&lt;L2062),"SKIPPED - BELOW MIN",IF(OR(M2062&gt;J2062,N2062&gt;K2062),"SKIPPED - EXCEEDS BASE",IF(COUNTIFS($M$2028:M2061,M2062,$N$2028:N2061,N2062)&gt;0,"SKIPPED - DUPLICATE","VALID - GENERATED"))))</f>
        <v>VALID - GENERATED</v>
      </c>
      <c r="I2062" s="10" t="s">
        <v>2352</v>
      </c>
      <c r="J2062" s="12">
        <f>'05-ISO Reference'!$B$27</f>
        <v>44</v>
      </c>
      <c r="K2062" s="12">
        <f>'05-ISO Reference'!$C$27</f>
        <v>62</v>
      </c>
      <c r="L2062" s="12">
        <f>'01-Process Controls'!$G$5</f>
        <v>3</v>
      </c>
      <c r="M2062" s="12">
        <f>ROUNDDOWN(J2062*'04-Variant Rules'!$D$39,0)</f>
        <v>13</v>
      </c>
      <c r="N2062" s="12">
        <f>ROUNDDOWN(K2062*'04-Variant Rules'!$E$39,0)</f>
        <v>18</v>
      </c>
      <c r="O2062" s="9">
        <v>34</v>
      </c>
    </row>
    <row r="2063" spans="1:15" ht="21" customHeight="1">
      <c r="A2063" s="9" t="s">
        <v>2387</v>
      </c>
      <c r="B2063" s="12">
        <f>IF(LEFT(H2063,5)="VALID",M2063,"")</f>
        <v>8</v>
      </c>
      <c r="C2063" s="12">
        <f>IF(LEFT(H2063,5)="VALID",N2063,"")</f>
        <v>12</v>
      </c>
      <c r="D2063" s="10" t="s">
        <v>82</v>
      </c>
      <c r="E2063" s="10" t="s">
        <v>2351</v>
      </c>
      <c r="F2063" s="10" t="s">
        <v>210</v>
      </c>
      <c r="G2063" s="10" t="s">
        <v>186</v>
      </c>
      <c r="H2063" s="11" t="str">
        <f>IF(OR(M2063&lt;=0,N2063&lt;=0),"SKIPPED - NONPOSITIVE",IF(OR(M2063&lt;L2063,N2063&lt;L2063),"SKIPPED - BELOW MIN",IF(OR(M2063&gt;J2063,N2063&gt;K2063),"SKIPPED - EXCEEDS BASE",IF(COUNTIFS($M$2028:M2062,M2063,$N$2028:N2062,N2063)&gt;0,"SKIPPED - DUPLICATE","VALID - GENERATED"))))</f>
        <v>VALID - GENERATED</v>
      </c>
      <c r="I2063" s="10" t="s">
        <v>2352</v>
      </c>
      <c r="J2063" s="12">
        <f>'05-ISO Reference'!$B$27</f>
        <v>44</v>
      </c>
      <c r="K2063" s="12">
        <f>'05-ISO Reference'!$C$27</f>
        <v>62</v>
      </c>
      <c r="L2063" s="12">
        <f>'01-Process Controls'!$G$5</f>
        <v>3</v>
      </c>
      <c r="M2063" s="12">
        <f>ROUNDDOWN(J2063*'04-Variant Rules'!$D$40,0)</f>
        <v>8</v>
      </c>
      <c r="N2063" s="12">
        <f>ROUNDDOWN(K2063*'04-Variant Rules'!$E$40,0)</f>
        <v>12</v>
      </c>
      <c r="O2063" s="9">
        <v>35</v>
      </c>
    </row>
    <row r="2064" spans="1:15" ht="21" customHeight="1">
      <c r="A2064" s="9" t="s">
        <v>2388</v>
      </c>
      <c r="B2064" s="12">
        <f>IF(LEFT(H2064,5)="VALID",M2064,"")</f>
        <v>6</v>
      </c>
      <c r="C2064" s="12">
        <f>IF(LEFT(H2064,5)="VALID",N2064,"")</f>
        <v>9</v>
      </c>
      <c r="D2064" s="10" t="s">
        <v>82</v>
      </c>
      <c r="E2064" s="10" t="s">
        <v>2351</v>
      </c>
      <c r="F2064" s="10" t="s">
        <v>212</v>
      </c>
      <c r="G2064" s="10" t="s">
        <v>213</v>
      </c>
      <c r="H2064" s="11" t="str">
        <f>IF(OR(M2064&lt;=0,N2064&lt;=0),"SKIPPED - NONPOSITIVE",IF(OR(M2064&lt;L2064,N2064&lt;L2064),"SKIPPED - BELOW MIN",IF(OR(M2064&gt;J2064,N2064&gt;K2064),"SKIPPED - EXCEEDS BASE",IF(COUNTIFS($M$2028:M2063,M2064,$N$2028:N2063,N2064)&gt;0,"SKIPPED - DUPLICATE","VALID - GENERATED"))))</f>
        <v>VALID - GENERATED</v>
      </c>
      <c r="I2064" s="10" t="s">
        <v>2352</v>
      </c>
      <c r="J2064" s="12">
        <f>'05-ISO Reference'!$B$27</f>
        <v>44</v>
      </c>
      <c r="K2064" s="12">
        <f>'05-ISO Reference'!$C$27</f>
        <v>62</v>
      </c>
      <c r="L2064" s="12">
        <f>'01-Process Controls'!$G$5</f>
        <v>3</v>
      </c>
      <c r="M2064" s="12">
        <f>ROUNDDOWN(J2064*'04-Variant Rules'!$D$41,0)</f>
        <v>6</v>
      </c>
      <c r="N2064" s="12">
        <f>ROUNDDOWN(K2064*'04-Variant Rules'!$E$41,0)</f>
        <v>9</v>
      </c>
      <c r="O2064" s="9">
        <v>36</v>
      </c>
    </row>
    <row r="2065" spans="1:15" ht="21" customHeight="1">
      <c r="A2065" s="9" t="s">
        <v>2389</v>
      </c>
      <c r="B2065" s="12">
        <f>IF(LEFT(H2065,5)="VALID",M2065,"")</f>
        <v>44</v>
      </c>
      <c r="C2065" s="12">
        <f>IF(LEFT(H2065,5)="VALID",N2065,"")</f>
        <v>44</v>
      </c>
      <c r="D2065" s="10" t="s">
        <v>82</v>
      </c>
      <c r="E2065" s="10" t="s">
        <v>2351</v>
      </c>
      <c r="F2065" s="10" t="s">
        <v>215</v>
      </c>
      <c r="G2065" s="10" t="s">
        <v>216</v>
      </c>
      <c r="H2065" s="11" t="str">
        <f>IF(OR(M2065&lt;=0,N2065&lt;=0),"SKIPPED - NONPOSITIVE",IF(OR(M2065&lt;L2065,N2065&lt;L2065),"SKIPPED - BELOW MIN",IF(OR(M2065&gt;J2065,N2065&gt;K2065),"SKIPPED - EXCEEDS BASE",IF(COUNTIFS($M$2028:M2064,M2065,$N$2028:N2064,N2065)&gt;0,"SKIPPED - DUPLICATE","VALID - GENERATED"))))</f>
        <v>VALID - GENERATED</v>
      </c>
      <c r="I2065" s="10" t="s">
        <v>2352</v>
      </c>
      <c r="J2065" s="12">
        <f>'05-ISO Reference'!$B$27</f>
        <v>44</v>
      </c>
      <c r="K2065" s="12">
        <f>'05-ISO Reference'!$C$27</f>
        <v>62</v>
      </c>
      <c r="L2065" s="12">
        <f>'01-Process Controls'!$G$5</f>
        <v>3</v>
      </c>
      <c r="M2065" s="12">
        <f>ROUNDDOWN(MIN(J2065,K2065)*'04-Variant Rules'!$D$42,0)</f>
        <v>44</v>
      </c>
      <c r="N2065" s="12">
        <f>ROUNDDOWN(MIN(J2065,K2065)*'04-Variant Rules'!$D$42,0)</f>
        <v>44</v>
      </c>
      <c r="O2065" s="9">
        <v>37</v>
      </c>
    </row>
    <row r="2066" spans="1:15" ht="21" customHeight="1">
      <c r="A2066" s="9" t="s">
        <v>2390</v>
      </c>
      <c r="B2066" s="12">
        <f>IF(LEFT(H2066,5)="VALID",M2066,"")</f>
        <v>39</v>
      </c>
      <c r="C2066" s="12">
        <f>IF(LEFT(H2066,5)="VALID",N2066,"")</f>
        <v>39</v>
      </c>
      <c r="D2066" s="10" t="s">
        <v>82</v>
      </c>
      <c r="E2066" s="10" t="s">
        <v>2351</v>
      </c>
      <c r="F2066" s="10" t="s">
        <v>218</v>
      </c>
      <c r="G2066" s="10" t="s">
        <v>219</v>
      </c>
      <c r="H2066" s="11" t="str">
        <f>IF(OR(M2066&lt;=0,N2066&lt;=0),"SKIPPED - NONPOSITIVE",IF(OR(M2066&lt;L2066,N2066&lt;L2066),"SKIPPED - BELOW MIN",IF(OR(M2066&gt;J2066,N2066&gt;K2066),"SKIPPED - EXCEEDS BASE",IF(COUNTIFS($M$2028:M2065,M2066,$N$2028:N2065,N2066)&gt;0,"SKIPPED - DUPLICATE","VALID - GENERATED"))))</f>
        <v>VALID - GENERATED</v>
      </c>
      <c r="I2066" s="10" t="s">
        <v>2352</v>
      </c>
      <c r="J2066" s="12">
        <f>'05-ISO Reference'!$B$27</f>
        <v>44</v>
      </c>
      <c r="K2066" s="12">
        <f>'05-ISO Reference'!$C$27</f>
        <v>62</v>
      </c>
      <c r="L2066" s="12">
        <f>'01-Process Controls'!$G$5</f>
        <v>3</v>
      </c>
      <c r="M2066" s="12">
        <f>ROUNDDOWN(MIN(J2066,K2066)*'04-Variant Rules'!$D$43,0)</f>
        <v>39</v>
      </c>
      <c r="N2066" s="12">
        <f>ROUNDDOWN(MIN(J2066,K2066)*'04-Variant Rules'!$D$43,0)</f>
        <v>39</v>
      </c>
      <c r="O2066" s="9">
        <v>38</v>
      </c>
    </row>
    <row r="2067" spans="1:15" ht="21" customHeight="1">
      <c r="A2067" s="9" t="s">
        <v>2391</v>
      </c>
      <c r="B2067" s="12">
        <f>IF(LEFT(H2067,5)="VALID",M2067,"")</f>
        <v>35</v>
      </c>
      <c r="C2067" s="12">
        <f>IF(LEFT(H2067,5)="VALID",N2067,"")</f>
        <v>35</v>
      </c>
      <c r="D2067" s="10" t="s">
        <v>82</v>
      </c>
      <c r="E2067" s="10" t="s">
        <v>2351</v>
      </c>
      <c r="F2067" s="10" t="s">
        <v>221</v>
      </c>
      <c r="G2067" s="10" t="s">
        <v>219</v>
      </c>
      <c r="H2067" s="11" t="str">
        <f>IF(OR(M2067&lt;=0,N2067&lt;=0),"SKIPPED - NONPOSITIVE",IF(OR(M2067&lt;L2067,N2067&lt;L2067),"SKIPPED - BELOW MIN",IF(OR(M2067&gt;J2067,N2067&gt;K2067),"SKIPPED - EXCEEDS BASE",IF(COUNTIFS($M$2028:M2066,M2067,$N$2028:N2066,N2067)&gt;0,"SKIPPED - DUPLICATE","VALID - GENERATED"))))</f>
        <v>VALID - GENERATED</v>
      </c>
      <c r="I2067" s="10" t="s">
        <v>2352</v>
      </c>
      <c r="J2067" s="12">
        <f>'05-ISO Reference'!$B$27</f>
        <v>44</v>
      </c>
      <c r="K2067" s="12">
        <f>'05-ISO Reference'!$C$27</f>
        <v>62</v>
      </c>
      <c r="L2067" s="12">
        <f>'01-Process Controls'!$G$5</f>
        <v>3</v>
      </c>
      <c r="M2067" s="12">
        <f>ROUNDDOWN(MIN(J2067,K2067)*'04-Variant Rules'!$D$44,0)</f>
        <v>35</v>
      </c>
      <c r="N2067" s="12">
        <f>ROUNDDOWN(MIN(J2067,K2067)*'04-Variant Rules'!$D$44,0)</f>
        <v>35</v>
      </c>
      <c r="O2067" s="9">
        <v>39</v>
      </c>
    </row>
    <row r="2068" spans="1:15" ht="21" customHeight="1">
      <c r="A2068" s="9" t="s">
        <v>2392</v>
      </c>
      <c r="B2068" s="12">
        <f>IF(LEFT(H2068,5)="VALID",M2068,"")</f>
        <v>33</v>
      </c>
      <c r="C2068" s="12">
        <f>IF(LEFT(H2068,5)="VALID",N2068,"")</f>
        <v>33</v>
      </c>
      <c r="D2068" s="10" t="s">
        <v>82</v>
      </c>
      <c r="E2068" s="10" t="s">
        <v>2351</v>
      </c>
      <c r="F2068" s="10" t="s">
        <v>223</v>
      </c>
      <c r="G2068" s="10" t="s">
        <v>219</v>
      </c>
      <c r="H2068" s="11" t="str">
        <f>IF(OR(M2068&lt;=0,N2068&lt;=0),"SKIPPED - NONPOSITIVE",IF(OR(M2068&lt;L2068,N2068&lt;L2068),"SKIPPED - BELOW MIN",IF(OR(M2068&gt;J2068,N2068&gt;K2068),"SKIPPED - EXCEEDS BASE",IF(COUNTIFS($M$2028:M2067,M2068,$N$2028:N2067,N2068)&gt;0,"SKIPPED - DUPLICATE","VALID - GENERATED"))))</f>
        <v>VALID - GENERATED</v>
      </c>
      <c r="I2068" s="10" t="s">
        <v>2352</v>
      </c>
      <c r="J2068" s="12">
        <f>'05-ISO Reference'!$B$27</f>
        <v>44</v>
      </c>
      <c r="K2068" s="12">
        <f>'05-ISO Reference'!$C$27</f>
        <v>62</v>
      </c>
      <c r="L2068" s="12">
        <f>'01-Process Controls'!$G$5</f>
        <v>3</v>
      </c>
      <c r="M2068" s="12">
        <f>ROUNDDOWN(MIN(J2068,K2068)*'04-Variant Rules'!$D$45,0)</f>
        <v>33</v>
      </c>
      <c r="N2068" s="12">
        <f>ROUNDDOWN(MIN(J2068,K2068)*'04-Variant Rules'!$D$45,0)</f>
        <v>33</v>
      </c>
      <c r="O2068" s="9">
        <v>40</v>
      </c>
    </row>
    <row r="2069" spans="1:15" ht="21" customHeight="1">
      <c r="A2069" s="9" t="s">
        <v>2393</v>
      </c>
      <c r="B2069" s="12">
        <f>IF(LEFT(H2069,5)="VALID",M2069,"")</f>
        <v>29</v>
      </c>
      <c r="C2069" s="12">
        <f>IF(LEFT(H2069,5)="VALID",N2069,"")</f>
        <v>29</v>
      </c>
      <c r="D2069" s="10" t="s">
        <v>82</v>
      </c>
      <c r="E2069" s="10" t="s">
        <v>2351</v>
      </c>
      <c r="F2069" s="10" t="s">
        <v>225</v>
      </c>
      <c r="G2069" s="10" t="s">
        <v>219</v>
      </c>
      <c r="H2069" s="11" t="str">
        <f>IF(OR(M2069&lt;=0,N2069&lt;=0),"SKIPPED - NONPOSITIVE",IF(OR(M2069&lt;L2069,N2069&lt;L2069),"SKIPPED - BELOW MIN",IF(OR(M2069&gt;J2069,N2069&gt;K2069),"SKIPPED - EXCEEDS BASE",IF(COUNTIFS($M$2028:M2068,M2069,$N$2028:N2068,N2069)&gt;0,"SKIPPED - DUPLICATE","VALID - GENERATED"))))</f>
        <v>VALID - GENERATED</v>
      </c>
      <c r="I2069" s="10" t="s">
        <v>2352</v>
      </c>
      <c r="J2069" s="12">
        <f>'05-ISO Reference'!$B$27</f>
        <v>44</v>
      </c>
      <c r="K2069" s="12">
        <f>'05-ISO Reference'!$C$27</f>
        <v>62</v>
      </c>
      <c r="L2069" s="12">
        <f>'01-Process Controls'!$G$5</f>
        <v>3</v>
      </c>
      <c r="M2069" s="12">
        <f>ROUNDDOWN(MIN(J2069,K2069)*'04-Variant Rules'!$D$46,0)</f>
        <v>29</v>
      </c>
      <c r="N2069" s="12">
        <f>ROUNDDOWN(MIN(J2069,K2069)*'04-Variant Rules'!$D$46,0)</f>
        <v>29</v>
      </c>
      <c r="O2069" s="9">
        <v>41</v>
      </c>
    </row>
    <row r="2070" spans="1:15" ht="21" customHeight="1">
      <c r="A2070" s="9" t="s">
        <v>2394</v>
      </c>
      <c r="B2070" s="12">
        <f>IF(LEFT(H2070,5)="VALID",M2070,"")</f>
        <v>26</v>
      </c>
      <c r="C2070" s="12">
        <f>IF(LEFT(H2070,5)="VALID",N2070,"")</f>
        <v>26</v>
      </c>
      <c r="D2070" s="10" t="s">
        <v>82</v>
      </c>
      <c r="E2070" s="10" t="s">
        <v>2351</v>
      </c>
      <c r="F2070" s="10" t="s">
        <v>227</v>
      </c>
      <c r="G2070" s="10" t="s">
        <v>219</v>
      </c>
      <c r="H2070" s="11" t="str">
        <f>IF(OR(M2070&lt;=0,N2070&lt;=0),"SKIPPED - NONPOSITIVE",IF(OR(M2070&lt;L2070,N2070&lt;L2070),"SKIPPED - BELOW MIN",IF(OR(M2070&gt;J2070,N2070&gt;K2070),"SKIPPED - EXCEEDS BASE",IF(COUNTIFS($M$2028:M2069,M2070,$N$2028:N2069,N2070)&gt;0,"SKIPPED - DUPLICATE","VALID - GENERATED"))))</f>
        <v>VALID - GENERATED</v>
      </c>
      <c r="I2070" s="10" t="s">
        <v>2352</v>
      </c>
      <c r="J2070" s="12">
        <f>'05-ISO Reference'!$B$27</f>
        <v>44</v>
      </c>
      <c r="K2070" s="12">
        <f>'05-ISO Reference'!$C$27</f>
        <v>62</v>
      </c>
      <c r="L2070" s="12">
        <f>'01-Process Controls'!$G$5</f>
        <v>3</v>
      </c>
      <c r="M2070" s="12">
        <f>ROUNDDOWN(MIN(J2070,K2070)*'04-Variant Rules'!$D$47,0)</f>
        <v>26</v>
      </c>
      <c r="N2070" s="12">
        <f>ROUNDDOWN(MIN(J2070,K2070)*'04-Variant Rules'!$D$47,0)</f>
        <v>26</v>
      </c>
      <c r="O2070" s="9">
        <v>42</v>
      </c>
    </row>
    <row r="2071" spans="1:15" ht="21" customHeight="1">
      <c r="A2071" s="9" t="s">
        <v>2395</v>
      </c>
      <c r="B2071" s="12">
        <f>IF(LEFT(H2071,5)="VALID",M2071,"")</f>
        <v>22</v>
      </c>
      <c r="C2071" s="12">
        <f>IF(LEFT(H2071,5)="VALID",N2071,"")</f>
        <v>22</v>
      </c>
      <c r="D2071" s="10" t="s">
        <v>82</v>
      </c>
      <c r="E2071" s="10" t="s">
        <v>2351</v>
      </c>
      <c r="F2071" s="10" t="s">
        <v>229</v>
      </c>
      <c r="G2071" s="10" t="s">
        <v>219</v>
      </c>
      <c r="H2071" s="11" t="str">
        <f>IF(OR(M2071&lt;=0,N2071&lt;=0),"SKIPPED - NONPOSITIVE",IF(OR(M2071&lt;L2071,N2071&lt;L2071),"SKIPPED - BELOW MIN",IF(OR(M2071&gt;J2071,N2071&gt;K2071),"SKIPPED - EXCEEDS BASE",IF(COUNTIFS($M$2028:M2070,M2071,$N$2028:N2070,N2071)&gt;0,"SKIPPED - DUPLICATE","VALID - GENERATED"))))</f>
        <v>VALID - GENERATED</v>
      </c>
      <c r="I2071" s="10" t="s">
        <v>2352</v>
      </c>
      <c r="J2071" s="12">
        <f>'05-ISO Reference'!$B$27</f>
        <v>44</v>
      </c>
      <c r="K2071" s="12">
        <f>'05-ISO Reference'!$C$27</f>
        <v>62</v>
      </c>
      <c r="L2071" s="12">
        <f>'01-Process Controls'!$G$5</f>
        <v>3</v>
      </c>
      <c r="M2071" s="12">
        <f>ROUNDDOWN(MIN(J2071,K2071)*'04-Variant Rules'!$D$48,0)</f>
        <v>22</v>
      </c>
      <c r="N2071" s="12">
        <f>ROUNDDOWN(MIN(J2071,K2071)*'04-Variant Rules'!$D$48,0)</f>
        <v>22</v>
      </c>
      <c r="O2071" s="9">
        <v>43</v>
      </c>
    </row>
    <row r="2072" spans="1:15" ht="21" customHeight="1">
      <c r="A2072" s="9" t="s">
        <v>2396</v>
      </c>
      <c r="B2072" s="12">
        <f>IF(LEFT(H2072,5)="VALID",M2072,"")</f>
        <v>17</v>
      </c>
      <c r="C2072" s="12">
        <f>IF(LEFT(H2072,5)="VALID",N2072,"")</f>
        <v>17</v>
      </c>
      <c r="D2072" s="10" t="s">
        <v>82</v>
      </c>
      <c r="E2072" s="10" t="s">
        <v>2351</v>
      </c>
      <c r="F2072" s="10" t="s">
        <v>231</v>
      </c>
      <c r="G2072" s="10" t="s">
        <v>219</v>
      </c>
      <c r="H2072" s="11" t="str">
        <f>IF(OR(M2072&lt;=0,N2072&lt;=0),"SKIPPED - NONPOSITIVE",IF(OR(M2072&lt;L2072,N2072&lt;L2072),"SKIPPED - BELOW MIN",IF(OR(M2072&gt;J2072,N2072&gt;K2072),"SKIPPED - EXCEEDS BASE",IF(COUNTIFS($M$2028:M2071,M2072,$N$2028:N2071,N2072)&gt;0,"SKIPPED - DUPLICATE","VALID - GENERATED"))))</f>
        <v>VALID - GENERATED</v>
      </c>
      <c r="I2072" s="10" t="s">
        <v>2352</v>
      </c>
      <c r="J2072" s="12">
        <f>'05-ISO Reference'!$B$27</f>
        <v>44</v>
      </c>
      <c r="K2072" s="12">
        <f>'05-ISO Reference'!$C$27</f>
        <v>62</v>
      </c>
      <c r="L2072" s="12">
        <f>'01-Process Controls'!$G$5</f>
        <v>3</v>
      </c>
      <c r="M2072" s="12">
        <f>ROUNDDOWN(MIN(J2072,K2072)*'04-Variant Rules'!$D$49,0)</f>
        <v>17</v>
      </c>
      <c r="N2072" s="12">
        <f>ROUNDDOWN(MIN(J2072,K2072)*'04-Variant Rules'!$D$49,0)</f>
        <v>17</v>
      </c>
      <c r="O2072" s="9">
        <v>44</v>
      </c>
    </row>
    <row r="2073" spans="1:15" ht="21" customHeight="1">
      <c r="A2073" s="9" t="s">
        <v>2397</v>
      </c>
      <c r="B2073" s="12">
        <f>IF(LEFT(H2073,5)="VALID",M2073,"")</f>
        <v>14</v>
      </c>
      <c r="C2073" s="12">
        <f>IF(LEFT(H2073,5)="VALID",N2073,"")</f>
        <v>14</v>
      </c>
      <c r="D2073" s="10" t="s">
        <v>82</v>
      </c>
      <c r="E2073" s="10" t="s">
        <v>2351</v>
      </c>
      <c r="F2073" s="10" t="s">
        <v>233</v>
      </c>
      <c r="G2073" s="10" t="s">
        <v>219</v>
      </c>
      <c r="H2073" s="11" t="str">
        <f>IF(OR(M2073&lt;=0,N2073&lt;=0),"SKIPPED - NONPOSITIVE",IF(OR(M2073&lt;L2073,N2073&lt;L2073),"SKIPPED - BELOW MIN",IF(OR(M2073&gt;J2073,N2073&gt;K2073),"SKIPPED - EXCEEDS BASE",IF(COUNTIFS($M$2028:M2072,M2073,$N$2028:N2072,N2073)&gt;0,"SKIPPED - DUPLICATE","VALID - GENERATED"))))</f>
        <v>VALID - GENERATED</v>
      </c>
      <c r="I2073" s="10" t="s">
        <v>2352</v>
      </c>
      <c r="J2073" s="12">
        <f>'05-ISO Reference'!$B$27</f>
        <v>44</v>
      </c>
      <c r="K2073" s="12">
        <f>'05-ISO Reference'!$C$27</f>
        <v>62</v>
      </c>
      <c r="L2073" s="12">
        <f>'01-Process Controls'!$G$5</f>
        <v>3</v>
      </c>
      <c r="M2073" s="12">
        <f>ROUNDDOWN(MIN(J2073,K2073)*'04-Variant Rules'!$D$50,0)</f>
        <v>14</v>
      </c>
      <c r="N2073" s="12">
        <f>ROUNDDOWN(MIN(J2073,K2073)*'04-Variant Rules'!$D$50,0)</f>
        <v>14</v>
      </c>
      <c r="O2073" s="9">
        <v>45</v>
      </c>
    </row>
    <row r="2074" spans="1:15" ht="21" customHeight="1">
      <c r="A2074" s="9" t="s">
        <v>2398</v>
      </c>
      <c r="B2074" s="12">
        <f>IF(LEFT(H2074,5)="VALID",M2074,"")</f>
        <v>11</v>
      </c>
      <c r="C2074" s="12">
        <f>IF(LEFT(H2074,5)="VALID",N2074,"")</f>
        <v>11</v>
      </c>
      <c r="D2074" s="10" t="s">
        <v>82</v>
      </c>
      <c r="E2074" s="10" t="s">
        <v>2351</v>
      </c>
      <c r="F2074" s="10" t="s">
        <v>235</v>
      </c>
      <c r="G2074" s="10" t="s">
        <v>219</v>
      </c>
      <c r="H2074" s="11" t="str">
        <f>IF(OR(M2074&lt;=0,N2074&lt;=0),"SKIPPED - NONPOSITIVE",IF(OR(M2074&lt;L2074,N2074&lt;L2074),"SKIPPED - BELOW MIN",IF(OR(M2074&gt;J2074,N2074&gt;K2074),"SKIPPED - EXCEEDS BASE",IF(COUNTIFS($M$2028:M2073,M2074,$N$2028:N2073,N2074)&gt;0,"SKIPPED - DUPLICATE","VALID - GENERATED"))))</f>
        <v>VALID - GENERATED</v>
      </c>
      <c r="I2074" s="10" t="s">
        <v>2352</v>
      </c>
      <c r="J2074" s="12">
        <f>'05-ISO Reference'!$B$27</f>
        <v>44</v>
      </c>
      <c r="K2074" s="12">
        <f>'05-ISO Reference'!$C$27</f>
        <v>62</v>
      </c>
      <c r="L2074" s="12">
        <f>'01-Process Controls'!$G$5</f>
        <v>3</v>
      </c>
      <c r="M2074" s="12">
        <f>ROUNDDOWN(MIN(J2074,K2074)*'04-Variant Rules'!$D$51,0)</f>
        <v>11</v>
      </c>
      <c r="N2074" s="12">
        <f>ROUNDDOWN(MIN(J2074,K2074)*'04-Variant Rules'!$D$51,0)</f>
        <v>11</v>
      </c>
      <c r="O2074" s="9">
        <v>46</v>
      </c>
    </row>
    <row r="2075" spans="1:15" ht="21" customHeight="1">
      <c r="A2075" s="9" t="s">
        <v>2399</v>
      </c>
      <c r="B2075" s="12">
        <f>IF(LEFT(H2075,5)="VALID",M2075,"")</f>
        <v>8</v>
      </c>
      <c r="C2075" s="12">
        <f>IF(LEFT(H2075,5)="VALID",N2075,"")</f>
        <v>8</v>
      </c>
      <c r="D2075" s="10" t="s">
        <v>82</v>
      </c>
      <c r="E2075" s="10" t="s">
        <v>2351</v>
      </c>
      <c r="F2075" s="10" t="s">
        <v>237</v>
      </c>
      <c r="G2075" s="10" t="s">
        <v>219</v>
      </c>
      <c r="H2075" s="11" t="str">
        <f>IF(OR(M2075&lt;=0,N2075&lt;=0),"SKIPPED - NONPOSITIVE",IF(OR(M2075&lt;L2075,N2075&lt;L2075),"SKIPPED - BELOW MIN",IF(OR(M2075&gt;J2075,N2075&gt;K2075),"SKIPPED - EXCEEDS BASE",IF(COUNTIFS($M$2028:M2074,M2075,$N$2028:N2074,N2075)&gt;0,"SKIPPED - DUPLICATE","VALID - GENERATED"))))</f>
        <v>VALID - GENERATED</v>
      </c>
      <c r="I2075" s="10" t="s">
        <v>2352</v>
      </c>
      <c r="J2075" s="12">
        <f>'05-ISO Reference'!$B$27</f>
        <v>44</v>
      </c>
      <c r="K2075" s="12">
        <f>'05-ISO Reference'!$C$27</f>
        <v>62</v>
      </c>
      <c r="L2075" s="12">
        <f>'01-Process Controls'!$G$5</f>
        <v>3</v>
      </c>
      <c r="M2075" s="12">
        <f>ROUNDDOWN(MIN(J2075,K2075)*'04-Variant Rules'!$D$52,0)</f>
        <v>8</v>
      </c>
      <c r="N2075" s="12">
        <f>ROUNDDOWN(MIN(J2075,K2075)*'04-Variant Rules'!$D$52,0)</f>
        <v>8</v>
      </c>
      <c r="O2075" s="9">
        <v>47</v>
      </c>
    </row>
    <row r="2076" spans="1:15" ht="21" customHeight="1">
      <c r="A2076" s="9" t="s">
        <v>2400</v>
      </c>
      <c r="B2076" s="12">
        <f>IF(LEFT(H2076,5)="VALID",M2076,"")</f>
        <v>44</v>
      </c>
      <c r="C2076" s="12">
        <f>IF(LEFT(H2076,5)="VALID",N2076,"")</f>
        <v>33</v>
      </c>
      <c r="D2076" s="10" t="s">
        <v>82</v>
      </c>
      <c r="E2076" s="10" t="s">
        <v>2351</v>
      </c>
      <c r="F2076" s="10" t="s">
        <v>239</v>
      </c>
      <c r="G2076" s="10" t="s">
        <v>240</v>
      </c>
      <c r="H2076" s="11" t="str">
        <f>IF(OR(M2076&lt;=0,N2076&lt;=0),"SKIPPED - NONPOSITIVE",IF(OR(M2076&lt;L2076,N2076&lt;L2076),"SKIPPED - BELOW MIN",IF(OR(M2076&gt;J2076,N2076&gt;K2076),"SKIPPED - EXCEEDS BASE",IF(COUNTIFS($M$2028:M2075,M2076,$N$2028:N2075,N2076)&gt;0,"SKIPPED - DUPLICATE","VALID - GENERATED"))))</f>
        <v>VALID - GENERATED</v>
      </c>
      <c r="I2076" s="10" t="s">
        <v>2352</v>
      </c>
      <c r="J2076" s="12">
        <f>'05-ISO Reference'!$B$27</f>
        <v>44</v>
      </c>
      <c r="K2076" s="12">
        <f>'05-ISO Reference'!$C$27</f>
        <v>62</v>
      </c>
      <c r="L2076" s="12">
        <f>'01-Process Controls'!$G$5</f>
        <v>3</v>
      </c>
      <c r="M2076" s="12">
        <f>ROUNDDOWN(MIN(J2076,K2076*'04-Variant Rules'!$D$53),0)</f>
        <v>44</v>
      </c>
      <c r="N2076" s="12">
        <f>ROUNDDOWN(M2076/'04-Variant Rules'!$D$53,0)</f>
        <v>33</v>
      </c>
      <c r="O2076" s="9">
        <v>48</v>
      </c>
    </row>
    <row r="2077" spans="1:15" ht="21" customHeight="1">
      <c r="A2077" s="9" t="s">
        <v>2401</v>
      </c>
      <c r="B2077" s="12">
        <f>IF(LEFT(H2077,5)="VALID",M2077,"")</f>
        <v>44</v>
      </c>
      <c r="C2077" s="12">
        <f>IF(LEFT(H2077,5)="VALID",N2077,"")</f>
        <v>58</v>
      </c>
      <c r="D2077" s="10" t="s">
        <v>82</v>
      </c>
      <c r="E2077" s="10" t="s">
        <v>2351</v>
      </c>
      <c r="F2077" s="10" t="s">
        <v>242</v>
      </c>
      <c r="G2077" s="10" t="s">
        <v>243</v>
      </c>
      <c r="H2077" s="11" t="str">
        <f>IF(OR(M2077&lt;=0,N2077&lt;=0),"SKIPPED - NONPOSITIVE",IF(OR(M2077&lt;L2077,N2077&lt;L2077),"SKIPPED - BELOW MIN",IF(OR(M2077&gt;J2077,N2077&gt;K2077),"SKIPPED - EXCEEDS BASE",IF(COUNTIFS($M$2028:M2076,M2077,$N$2028:N2076,N2077)&gt;0,"SKIPPED - DUPLICATE","VALID - GENERATED"))))</f>
        <v>VALID - GENERATED</v>
      </c>
      <c r="I2077" s="10" t="s">
        <v>2352</v>
      </c>
      <c r="J2077" s="12">
        <f>'05-ISO Reference'!$B$27</f>
        <v>44</v>
      </c>
      <c r="K2077" s="12">
        <f>'05-ISO Reference'!$C$27</f>
        <v>62</v>
      </c>
      <c r="L2077" s="12">
        <f>'01-Process Controls'!$G$5</f>
        <v>3</v>
      </c>
      <c r="M2077" s="12">
        <f>ROUNDDOWN(MIN(J2077,K2077*'04-Variant Rules'!$D$54),0)</f>
        <v>44</v>
      </c>
      <c r="N2077" s="12">
        <f>ROUNDDOWN(M2077/'04-Variant Rules'!$D$54,0)</f>
        <v>58</v>
      </c>
      <c r="O2077" s="9">
        <v>49</v>
      </c>
    </row>
    <row r="2078" spans="1:15" ht="21" customHeight="1">
      <c r="A2078" s="9" t="s">
        <v>2402</v>
      </c>
      <c r="B2078" s="12">
        <f>IF(LEFT(H2078,5)="VALID",M2078,"")</f>
        <v>44</v>
      </c>
      <c r="C2078" s="12">
        <f>IF(LEFT(H2078,5)="VALID",N2078,"")</f>
        <v>29</v>
      </c>
      <c r="D2078" s="10" t="s">
        <v>82</v>
      </c>
      <c r="E2078" s="10" t="s">
        <v>2351</v>
      </c>
      <c r="F2078" s="10" t="s">
        <v>245</v>
      </c>
      <c r="G2078" s="10" t="s">
        <v>246</v>
      </c>
      <c r="H2078" s="11" t="str">
        <f>IF(OR(M2078&lt;=0,N2078&lt;=0),"SKIPPED - NONPOSITIVE",IF(OR(M2078&lt;L2078,N2078&lt;L2078),"SKIPPED - BELOW MIN",IF(OR(M2078&gt;J2078,N2078&gt;K2078),"SKIPPED - EXCEEDS BASE",IF(COUNTIFS($M$2028:M2077,M2078,$N$2028:N2077,N2078)&gt;0,"SKIPPED - DUPLICATE","VALID - GENERATED"))))</f>
        <v>VALID - GENERATED</v>
      </c>
      <c r="I2078" s="10" t="s">
        <v>2352</v>
      </c>
      <c r="J2078" s="12">
        <f>'05-ISO Reference'!$B$27</f>
        <v>44</v>
      </c>
      <c r="K2078" s="12">
        <f>'05-ISO Reference'!$C$27</f>
        <v>62</v>
      </c>
      <c r="L2078" s="12">
        <f>'01-Process Controls'!$G$5</f>
        <v>3</v>
      </c>
      <c r="M2078" s="12">
        <f>ROUNDDOWN(MIN(J2078,K2078*'04-Variant Rules'!$D$55),0)</f>
        <v>44</v>
      </c>
      <c r="N2078" s="12">
        <f>ROUNDDOWN(M2078/'04-Variant Rules'!$D$55,0)</f>
        <v>29</v>
      </c>
      <c r="O2078" s="9">
        <v>50</v>
      </c>
    </row>
    <row r="2079" spans="1:15" ht="21" customHeight="1">
      <c r="A2079" s="9" t="s">
        <v>2403</v>
      </c>
      <c r="B2079" s="12">
        <f>IF(LEFT(H2079,5)="VALID",M2079,"")</f>
        <v>41</v>
      </c>
      <c r="C2079" s="12">
        <f>IF(LEFT(H2079,5)="VALID",N2079,"")</f>
        <v>61</v>
      </c>
      <c r="D2079" s="10" t="s">
        <v>82</v>
      </c>
      <c r="E2079" s="10" t="s">
        <v>2351</v>
      </c>
      <c r="F2079" s="10" t="s">
        <v>248</v>
      </c>
      <c r="G2079" s="10" t="s">
        <v>249</v>
      </c>
      <c r="H2079" s="11" t="str">
        <f>IF(OR(M2079&lt;=0,N2079&lt;=0),"SKIPPED - NONPOSITIVE",IF(OR(M2079&lt;L2079,N2079&lt;L2079),"SKIPPED - BELOW MIN",IF(OR(M2079&gt;J2079,N2079&gt;K2079),"SKIPPED - EXCEEDS BASE",IF(COUNTIFS($M$2028:M2078,M2079,$N$2028:N2078,N2079)&gt;0,"SKIPPED - DUPLICATE","VALID - GENERATED"))))</f>
        <v>VALID - GENERATED</v>
      </c>
      <c r="I2079" s="10" t="s">
        <v>2352</v>
      </c>
      <c r="J2079" s="12">
        <f>'05-ISO Reference'!$B$27</f>
        <v>44</v>
      </c>
      <c r="K2079" s="12">
        <f>'05-ISO Reference'!$C$27</f>
        <v>62</v>
      </c>
      <c r="L2079" s="12">
        <f>'01-Process Controls'!$G$5</f>
        <v>3</v>
      </c>
      <c r="M2079" s="12">
        <f>ROUNDDOWN(MIN(J2079,K2079*'04-Variant Rules'!$D$56),0)</f>
        <v>41</v>
      </c>
      <c r="N2079" s="12">
        <f>ROUNDDOWN(M2079/'04-Variant Rules'!$D$56,0)</f>
        <v>61</v>
      </c>
      <c r="O2079" s="9">
        <v>51</v>
      </c>
    </row>
    <row r="2080" spans="1:15" ht="21" customHeight="1">
      <c r="A2080" s="9" t="s">
        <v>2404</v>
      </c>
      <c r="B2080" s="12">
        <f>IF(LEFT(H2080,5)="VALID",M2080,"")</f>
        <v>44</v>
      </c>
      <c r="C2080" s="12">
        <f>IF(LEFT(H2080,5)="VALID",N2080,"")</f>
        <v>24</v>
      </c>
      <c r="D2080" s="10" t="s">
        <v>82</v>
      </c>
      <c r="E2080" s="10" t="s">
        <v>2351</v>
      </c>
      <c r="F2080" s="10" t="s">
        <v>251</v>
      </c>
      <c r="G2080" s="10" t="s">
        <v>252</v>
      </c>
      <c r="H2080" s="11" t="str">
        <f>IF(OR(M2080&lt;=0,N2080&lt;=0),"SKIPPED - NONPOSITIVE",IF(OR(M2080&lt;L2080,N2080&lt;L2080),"SKIPPED - BELOW MIN",IF(OR(M2080&gt;J2080,N2080&gt;K2080),"SKIPPED - EXCEEDS BASE",IF(COUNTIFS($M$2028:M2079,M2080,$N$2028:N2079,N2080)&gt;0,"SKIPPED - DUPLICATE","VALID - GENERATED"))))</f>
        <v>VALID - GENERATED</v>
      </c>
      <c r="I2080" s="10" t="s">
        <v>2352</v>
      </c>
      <c r="J2080" s="12">
        <f>'05-ISO Reference'!$B$27</f>
        <v>44</v>
      </c>
      <c r="K2080" s="12">
        <f>'05-ISO Reference'!$C$27</f>
        <v>62</v>
      </c>
      <c r="L2080" s="12">
        <f>'01-Process Controls'!$G$5</f>
        <v>3</v>
      </c>
      <c r="M2080" s="12">
        <f>ROUNDDOWN(MIN(J2080,K2080*'04-Variant Rules'!$D$57),0)</f>
        <v>44</v>
      </c>
      <c r="N2080" s="12">
        <f>ROUNDDOWN(M2080/'04-Variant Rules'!$D$57,0)</f>
        <v>24</v>
      </c>
      <c r="O2080" s="9">
        <v>52</v>
      </c>
    </row>
    <row r="2081" spans="1:15" ht="21" customHeight="1">
      <c r="A2081" s="9" t="s">
        <v>2405</v>
      </c>
      <c r="B2081" s="12">
        <f>IF(LEFT(H2081,5)="VALID",M2081,"")</f>
        <v>34</v>
      </c>
      <c r="C2081" s="12">
        <f>IF(LEFT(H2081,5)="VALID",N2081,"")</f>
        <v>60</v>
      </c>
      <c r="D2081" s="10" t="s">
        <v>82</v>
      </c>
      <c r="E2081" s="10" t="s">
        <v>2351</v>
      </c>
      <c r="F2081" s="10" t="s">
        <v>254</v>
      </c>
      <c r="G2081" s="10" t="s">
        <v>255</v>
      </c>
      <c r="H2081" s="11" t="str">
        <f>IF(OR(M2081&lt;=0,N2081&lt;=0),"SKIPPED - NONPOSITIVE",IF(OR(M2081&lt;L2081,N2081&lt;L2081),"SKIPPED - BELOW MIN",IF(OR(M2081&gt;J2081,N2081&gt;K2081),"SKIPPED - EXCEEDS BASE",IF(COUNTIFS($M$2028:M2080,M2081,$N$2028:N2080,N2081)&gt;0,"SKIPPED - DUPLICATE","VALID - GENERATED"))))</f>
        <v>VALID - GENERATED</v>
      </c>
      <c r="I2081" s="10" t="s">
        <v>2352</v>
      </c>
      <c r="J2081" s="12">
        <f>'05-ISO Reference'!$B$27</f>
        <v>44</v>
      </c>
      <c r="K2081" s="12">
        <f>'05-ISO Reference'!$C$27</f>
        <v>62</v>
      </c>
      <c r="L2081" s="12">
        <f>'01-Process Controls'!$G$5</f>
        <v>3</v>
      </c>
      <c r="M2081" s="12">
        <f>ROUNDDOWN(MIN(J2081,K2081*'04-Variant Rules'!$D$58),0)</f>
        <v>34</v>
      </c>
      <c r="N2081" s="12">
        <f>ROUNDDOWN(M2081/'04-Variant Rules'!$D$58,0)</f>
        <v>60</v>
      </c>
      <c r="O2081" s="9">
        <v>53</v>
      </c>
    </row>
    <row r="2082" spans="1:15" ht="21" customHeight="1">
      <c r="A2082" s="9" t="s">
        <v>2406</v>
      </c>
      <c r="B2082" s="12">
        <f>IF(LEFT(H2082,5)="VALID",M2082,"")</f>
        <v>44</v>
      </c>
      <c r="C2082" s="12">
        <f>IF(LEFT(H2082,5)="VALID",N2082,"")</f>
        <v>22</v>
      </c>
      <c r="D2082" s="10" t="s">
        <v>82</v>
      </c>
      <c r="E2082" s="10" t="s">
        <v>2351</v>
      </c>
      <c r="F2082" s="10" t="s">
        <v>257</v>
      </c>
      <c r="G2082" s="10" t="s">
        <v>258</v>
      </c>
      <c r="H2082" s="11" t="str">
        <f>IF(OR(M2082&lt;=0,N2082&lt;=0),"SKIPPED - NONPOSITIVE",IF(OR(M2082&lt;L2082,N2082&lt;L2082),"SKIPPED - BELOW MIN",IF(OR(M2082&gt;J2082,N2082&gt;K2082),"SKIPPED - EXCEEDS BASE",IF(COUNTIFS($M$2028:M2081,M2082,$N$2028:N2081,N2082)&gt;0,"SKIPPED - DUPLICATE","VALID - GENERATED"))))</f>
        <v>VALID - GENERATED</v>
      </c>
      <c r="I2082" s="10" t="s">
        <v>2352</v>
      </c>
      <c r="J2082" s="12">
        <f>'05-ISO Reference'!$B$27</f>
        <v>44</v>
      </c>
      <c r="K2082" s="12">
        <f>'05-ISO Reference'!$C$27</f>
        <v>62</v>
      </c>
      <c r="L2082" s="12">
        <f>'01-Process Controls'!$G$5</f>
        <v>3</v>
      </c>
      <c r="M2082" s="12">
        <f>ROUNDDOWN(MIN(J2082,K2082*'04-Variant Rules'!$D$59),0)</f>
        <v>44</v>
      </c>
      <c r="N2082" s="12">
        <f>ROUNDDOWN(M2082/'04-Variant Rules'!$D$59,0)</f>
        <v>22</v>
      </c>
      <c r="O2082" s="9">
        <v>54</v>
      </c>
    </row>
    <row r="2083" spans="1:15" ht="21" customHeight="1">
      <c r="A2083" s="9" t="s">
        <v>2407</v>
      </c>
      <c r="B2083" s="12">
        <f>IF(LEFT(H2083,5)="VALID",M2083,"")</f>
        <v>31</v>
      </c>
      <c r="C2083" s="12">
        <f>IF(LEFT(H2083,5)="VALID",N2083,"")</f>
        <v>62</v>
      </c>
      <c r="D2083" s="10" t="s">
        <v>82</v>
      </c>
      <c r="E2083" s="10" t="s">
        <v>2351</v>
      </c>
      <c r="F2083" s="10" t="s">
        <v>260</v>
      </c>
      <c r="G2083" s="10" t="s">
        <v>261</v>
      </c>
      <c r="H2083" s="11" t="str">
        <f>IF(OR(M2083&lt;=0,N2083&lt;=0),"SKIPPED - NONPOSITIVE",IF(OR(M2083&lt;L2083,N2083&lt;L2083),"SKIPPED - BELOW MIN",IF(OR(M2083&gt;J2083,N2083&gt;K2083),"SKIPPED - EXCEEDS BASE",IF(COUNTIFS($M$2028:M2082,M2083,$N$2028:N2082,N2083)&gt;0,"SKIPPED - DUPLICATE","VALID - GENERATED"))))</f>
        <v>VALID - GENERATED</v>
      </c>
      <c r="I2083" s="10" t="s">
        <v>2352</v>
      </c>
      <c r="J2083" s="12">
        <f>'05-ISO Reference'!$B$27</f>
        <v>44</v>
      </c>
      <c r="K2083" s="12">
        <f>'05-ISO Reference'!$C$27</f>
        <v>62</v>
      </c>
      <c r="L2083" s="12">
        <f>'01-Process Controls'!$G$5</f>
        <v>3</v>
      </c>
      <c r="M2083" s="12">
        <f>ROUNDDOWN(MIN(J2083,K2083*'04-Variant Rules'!$D$60),0)</f>
        <v>31</v>
      </c>
      <c r="N2083" s="12">
        <f>ROUNDDOWN(M2083/'04-Variant Rules'!$D$60,0)</f>
        <v>62</v>
      </c>
      <c r="O2083" s="9">
        <v>55</v>
      </c>
    </row>
    <row r="2084" spans="1:15" ht="21" customHeight="1">
      <c r="A2084" s="9" t="s">
        <v>2408</v>
      </c>
      <c r="B2084" s="48"/>
      <c r="C2084" s="48"/>
      <c r="D2084" s="10" t="s">
        <v>263</v>
      </c>
      <c r="E2084" s="10" t="s">
        <v>2409</v>
      </c>
      <c r="F2084" s="10" t="s">
        <v>265</v>
      </c>
      <c r="G2084" s="10" t="s">
        <v>266</v>
      </c>
      <c r="H2084" s="11" t="str">
        <f>IF(AND(B2084="",C2084=""),"CUSTOM BLANK",IF(OR(B2084="",C2084=""),"ERROR - ENTER BOTH",IF(OR(B2084&lt;=0,C2084&lt;=0),"ERROR - NONPOSITIVE",IF(OR(B2084&lt;L2084,C2084&lt;L2084),"ERROR - BELOW MIN",IF(OR(AND(B2084&lt;=J2084,C2084&lt;=K2084),AND(B2084&lt;=K2084,C2084&lt;=J2084)),"VALID - CUSTOM","ERROR - EXCEEDS BASE")))))</f>
        <v>CUSTOM BLANK</v>
      </c>
      <c r="I2084" s="10" t="s">
        <v>267</v>
      </c>
      <c r="J2084" s="12">
        <f>'05-ISO Reference'!$B$27</f>
        <v>44</v>
      </c>
      <c r="K2084" s="12">
        <f>'05-ISO Reference'!$C$27</f>
        <v>62</v>
      </c>
      <c r="L2084" s="12">
        <f>'01-Process Controls'!$G$5</f>
        <v>3</v>
      </c>
      <c r="M2084" s="8"/>
      <c r="N2084" s="8"/>
    </row>
    <row r="2085" spans="1:15" ht="21" customHeight="1">
      <c r="A2085" s="9" t="s">
        <v>2410</v>
      </c>
      <c r="B2085" s="48"/>
      <c r="C2085" s="48"/>
      <c r="D2085" s="10" t="s">
        <v>263</v>
      </c>
      <c r="E2085" s="10" t="s">
        <v>2409</v>
      </c>
      <c r="F2085" s="10" t="s">
        <v>265</v>
      </c>
      <c r="G2085" s="10" t="s">
        <v>266</v>
      </c>
      <c r="H2085" s="11" t="str">
        <f>IF(AND(B2085="",C2085=""),"CUSTOM BLANK",IF(OR(B2085="",C2085=""),"ERROR - ENTER BOTH",IF(OR(B2085&lt;=0,C2085&lt;=0),"ERROR - NONPOSITIVE",IF(OR(B2085&lt;L2085,C2085&lt;L2085),"ERROR - BELOW MIN",IF(OR(AND(B2085&lt;=J2085,C2085&lt;=K2085),AND(B2085&lt;=K2085,C2085&lt;=J2085)),"VALID - CUSTOM","ERROR - EXCEEDS BASE")))))</f>
        <v>CUSTOM BLANK</v>
      </c>
      <c r="I2085" s="10" t="s">
        <v>267</v>
      </c>
      <c r="J2085" s="12">
        <f>'05-ISO Reference'!$B$27</f>
        <v>44</v>
      </c>
      <c r="K2085" s="12">
        <f>'05-ISO Reference'!$C$27</f>
        <v>62</v>
      </c>
      <c r="L2085" s="12">
        <f>'01-Process Controls'!$G$5</f>
        <v>3</v>
      </c>
      <c r="M2085" s="8"/>
      <c r="N2085" s="8"/>
    </row>
    <row r="2086" spans="1:15" ht="21" customHeight="1">
      <c r="A2086" s="9" t="s">
        <v>2411</v>
      </c>
      <c r="B2086" s="48"/>
      <c r="C2086" s="48"/>
      <c r="D2086" s="10" t="s">
        <v>263</v>
      </c>
      <c r="E2086" s="10" t="s">
        <v>2409</v>
      </c>
      <c r="F2086" s="10" t="s">
        <v>265</v>
      </c>
      <c r="G2086" s="10" t="s">
        <v>266</v>
      </c>
      <c r="H2086" s="11" t="str">
        <f>IF(AND(B2086="",C2086=""),"CUSTOM BLANK",IF(OR(B2086="",C2086=""),"ERROR - ENTER BOTH",IF(OR(B2086&lt;=0,C2086&lt;=0),"ERROR - NONPOSITIVE",IF(OR(B2086&lt;L2086,C2086&lt;L2086),"ERROR - BELOW MIN",IF(OR(AND(B2086&lt;=J2086,C2086&lt;=K2086),AND(B2086&lt;=K2086,C2086&lt;=J2086)),"VALID - CUSTOM","ERROR - EXCEEDS BASE")))))</f>
        <v>CUSTOM BLANK</v>
      </c>
      <c r="I2086" s="10" t="s">
        <v>267</v>
      </c>
      <c r="J2086" s="12">
        <f>'05-ISO Reference'!$B$27</f>
        <v>44</v>
      </c>
      <c r="K2086" s="12">
        <f>'05-ISO Reference'!$C$27</f>
        <v>62</v>
      </c>
      <c r="L2086" s="12">
        <f>'01-Process Controls'!$G$5</f>
        <v>3</v>
      </c>
      <c r="M2086" s="8"/>
      <c r="N2086" s="8"/>
    </row>
    <row r="2087" spans="1:15" ht="21" customHeight="1">
      <c r="A2087" s="9" t="s">
        <v>2412</v>
      </c>
      <c r="B2087" s="48"/>
      <c r="C2087" s="48"/>
      <c r="D2087" s="10" t="s">
        <v>263</v>
      </c>
      <c r="E2087" s="10" t="s">
        <v>2409</v>
      </c>
      <c r="F2087" s="10" t="s">
        <v>265</v>
      </c>
      <c r="G2087" s="10" t="s">
        <v>266</v>
      </c>
      <c r="H2087" s="11" t="str">
        <f>IF(AND(B2087="",C2087=""),"CUSTOM BLANK",IF(OR(B2087="",C2087=""),"ERROR - ENTER BOTH",IF(OR(B2087&lt;=0,C2087&lt;=0),"ERROR - NONPOSITIVE",IF(OR(B2087&lt;L2087,C2087&lt;L2087),"ERROR - BELOW MIN",IF(OR(AND(B2087&lt;=J2087,C2087&lt;=K2087),AND(B2087&lt;=K2087,C2087&lt;=J2087)),"VALID - CUSTOM","ERROR - EXCEEDS BASE")))))</f>
        <v>CUSTOM BLANK</v>
      </c>
      <c r="I2087" s="10" t="s">
        <v>267</v>
      </c>
      <c r="J2087" s="12">
        <f>'05-ISO Reference'!$B$27</f>
        <v>44</v>
      </c>
      <c r="K2087" s="12">
        <f>'05-ISO Reference'!$C$27</f>
        <v>62</v>
      </c>
      <c r="L2087" s="12">
        <f>'01-Process Controls'!$G$5</f>
        <v>3</v>
      </c>
      <c r="M2087" s="8"/>
      <c r="N2087" s="8"/>
    </row>
    <row r="2088" spans="1:15" ht="21" customHeight="1">
      <c r="A2088" s="9" t="s">
        <v>2413</v>
      </c>
      <c r="B2088" s="48"/>
      <c r="C2088" s="48"/>
      <c r="D2088" s="10" t="s">
        <v>263</v>
      </c>
      <c r="E2088" s="10" t="s">
        <v>2409</v>
      </c>
      <c r="F2088" s="10" t="s">
        <v>265</v>
      </c>
      <c r="G2088" s="10" t="s">
        <v>266</v>
      </c>
      <c r="H2088" s="11" t="str">
        <f>IF(AND(B2088="",C2088=""),"CUSTOM BLANK",IF(OR(B2088="",C2088=""),"ERROR - ENTER BOTH",IF(OR(B2088&lt;=0,C2088&lt;=0),"ERROR - NONPOSITIVE",IF(OR(B2088&lt;L2088,C2088&lt;L2088),"ERROR - BELOW MIN",IF(OR(AND(B2088&lt;=J2088,C2088&lt;=K2088),AND(B2088&lt;=K2088,C2088&lt;=J2088)),"VALID - CUSTOM","ERROR - EXCEEDS BASE")))))</f>
        <v>CUSTOM BLANK</v>
      </c>
      <c r="I2088" s="10" t="s">
        <v>267</v>
      </c>
      <c r="J2088" s="12">
        <f>'05-ISO Reference'!$B$27</f>
        <v>44</v>
      </c>
      <c r="K2088" s="12">
        <f>'05-ISO Reference'!$C$27</f>
        <v>62</v>
      </c>
      <c r="L2088" s="12">
        <f>'01-Process Controls'!$G$5</f>
        <v>3</v>
      </c>
      <c r="M2088" s="8"/>
      <c r="N2088" s="8"/>
    </row>
    <row r="2089" spans="1:15" ht="21" customHeight="1">
      <c r="A2089" s="9" t="s">
        <v>2414</v>
      </c>
      <c r="B2089" s="48"/>
      <c r="C2089" s="48"/>
      <c r="D2089" s="10" t="s">
        <v>263</v>
      </c>
      <c r="E2089" s="10" t="s">
        <v>2409</v>
      </c>
      <c r="F2089" s="10" t="s">
        <v>265</v>
      </c>
      <c r="G2089" s="10" t="s">
        <v>266</v>
      </c>
      <c r="H2089" s="11" t="str">
        <f>IF(AND(B2089="",C2089=""),"CUSTOM BLANK",IF(OR(B2089="",C2089=""),"ERROR - ENTER BOTH",IF(OR(B2089&lt;=0,C2089&lt;=0),"ERROR - NONPOSITIVE",IF(OR(B2089&lt;L2089,C2089&lt;L2089),"ERROR - BELOW MIN",IF(OR(AND(B2089&lt;=J2089,C2089&lt;=K2089),AND(B2089&lt;=K2089,C2089&lt;=J2089)),"VALID - CUSTOM","ERROR - EXCEEDS BASE")))))</f>
        <v>CUSTOM BLANK</v>
      </c>
      <c r="I2089" s="10" t="s">
        <v>267</v>
      </c>
      <c r="J2089" s="12">
        <f>'05-ISO Reference'!$B$27</f>
        <v>44</v>
      </c>
      <c r="K2089" s="12">
        <f>'05-ISO Reference'!$C$27</f>
        <v>62</v>
      </c>
      <c r="L2089" s="12">
        <f>'01-Process Controls'!$G$5</f>
        <v>3</v>
      </c>
      <c r="M2089" s="8"/>
      <c r="N2089" s="8"/>
    </row>
    <row r="2090" spans="1:15" ht="21" customHeight="1">
      <c r="A2090" s="9" t="s">
        <v>2415</v>
      </c>
      <c r="B2090" s="48"/>
      <c r="C2090" s="48"/>
      <c r="D2090" s="10" t="s">
        <v>263</v>
      </c>
      <c r="E2090" s="10" t="s">
        <v>2409</v>
      </c>
      <c r="F2090" s="10" t="s">
        <v>265</v>
      </c>
      <c r="G2090" s="10" t="s">
        <v>266</v>
      </c>
      <c r="H2090" s="11" t="str">
        <f>IF(AND(B2090="",C2090=""),"CUSTOM BLANK",IF(OR(B2090="",C2090=""),"ERROR - ENTER BOTH",IF(OR(B2090&lt;=0,C2090&lt;=0),"ERROR - NONPOSITIVE",IF(OR(B2090&lt;L2090,C2090&lt;L2090),"ERROR - BELOW MIN",IF(OR(AND(B2090&lt;=J2090,C2090&lt;=K2090),AND(B2090&lt;=K2090,C2090&lt;=J2090)),"VALID - CUSTOM","ERROR - EXCEEDS BASE")))))</f>
        <v>CUSTOM BLANK</v>
      </c>
      <c r="I2090" s="10" t="s">
        <v>267</v>
      </c>
      <c r="J2090" s="12">
        <f>'05-ISO Reference'!$B$27</f>
        <v>44</v>
      </c>
      <c r="K2090" s="12">
        <f>'05-ISO Reference'!$C$27</f>
        <v>62</v>
      </c>
      <c r="L2090" s="12">
        <f>'01-Process Controls'!$G$5</f>
        <v>3</v>
      </c>
      <c r="M2090" s="8"/>
      <c r="N2090" s="8"/>
    </row>
    <row r="2091" spans="1:15" ht="21" customHeight="1">
      <c r="A2091" s="9" t="s">
        <v>2416</v>
      </c>
      <c r="B2091" s="48"/>
      <c r="C2091" s="48"/>
      <c r="D2091" s="10" t="s">
        <v>263</v>
      </c>
      <c r="E2091" s="10" t="s">
        <v>2409</v>
      </c>
      <c r="F2091" s="10" t="s">
        <v>265</v>
      </c>
      <c r="G2091" s="10" t="s">
        <v>266</v>
      </c>
      <c r="H2091" s="11" t="str">
        <f>IF(AND(B2091="",C2091=""),"CUSTOM BLANK",IF(OR(B2091="",C2091=""),"ERROR - ENTER BOTH",IF(OR(B2091&lt;=0,C2091&lt;=0),"ERROR - NONPOSITIVE",IF(OR(B2091&lt;L2091,C2091&lt;L2091),"ERROR - BELOW MIN",IF(OR(AND(B2091&lt;=J2091,C2091&lt;=K2091),AND(B2091&lt;=K2091,C2091&lt;=J2091)),"VALID - CUSTOM","ERROR - EXCEEDS BASE")))))</f>
        <v>CUSTOM BLANK</v>
      </c>
      <c r="I2091" s="10" t="s">
        <v>267</v>
      </c>
      <c r="J2091" s="12">
        <f>'05-ISO Reference'!$B$27</f>
        <v>44</v>
      </c>
      <c r="K2091" s="12">
        <f>'05-ISO Reference'!$C$27</f>
        <v>62</v>
      </c>
      <c r="L2091" s="12">
        <f>'01-Process Controls'!$G$5</f>
        <v>3</v>
      </c>
      <c r="M2091" s="8"/>
      <c r="N2091" s="8"/>
    </row>
    <row r="2092" spans="1:15" ht="21" customHeight="1">
      <c r="A2092" s="9" t="s">
        <v>2417</v>
      </c>
      <c r="B2092" s="48"/>
      <c r="C2092" s="48"/>
      <c r="D2092" s="10" t="s">
        <v>263</v>
      </c>
      <c r="E2092" s="10" t="s">
        <v>2409</v>
      </c>
      <c r="F2092" s="10" t="s">
        <v>265</v>
      </c>
      <c r="G2092" s="10" t="s">
        <v>266</v>
      </c>
      <c r="H2092" s="11" t="str">
        <f>IF(AND(B2092="",C2092=""),"CUSTOM BLANK",IF(OR(B2092="",C2092=""),"ERROR - ENTER BOTH",IF(OR(B2092&lt;=0,C2092&lt;=0),"ERROR - NONPOSITIVE",IF(OR(B2092&lt;L2092,C2092&lt;L2092),"ERROR - BELOW MIN",IF(OR(AND(B2092&lt;=J2092,C2092&lt;=K2092),AND(B2092&lt;=K2092,C2092&lt;=J2092)),"VALID - CUSTOM","ERROR - EXCEEDS BASE")))))</f>
        <v>CUSTOM BLANK</v>
      </c>
      <c r="I2092" s="10" t="s">
        <v>267</v>
      </c>
      <c r="J2092" s="12">
        <f>'05-ISO Reference'!$B$27</f>
        <v>44</v>
      </c>
      <c r="K2092" s="12">
        <f>'05-ISO Reference'!$C$27</f>
        <v>62</v>
      </c>
      <c r="L2092" s="12">
        <f>'01-Process Controls'!$G$5</f>
        <v>3</v>
      </c>
      <c r="M2092" s="8"/>
      <c r="N2092" s="8"/>
    </row>
    <row r="2093" spans="1:15" ht="21" customHeight="1">
      <c r="A2093" s="9" t="s">
        <v>2418</v>
      </c>
      <c r="B2093" s="48"/>
      <c r="C2093" s="48"/>
      <c r="D2093" s="10" t="s">
        <v>263</v>
      </c>
      <c r="E2093" s="10" t="s">
        <v>2409</v>
      </c>
      <c r="F2093" s="10" t="s">
        <v>265</v>
      </c>
      <c r="G2093" s="10" t="s">
        <v>266</v>
      </c>
      <c r="H2093" s="11" t="str">
        <f>IF(AND(B2093="",C2093=""),"CUSTOM BLANK",IF(OR(B2093="",C2093=""),"ERROR - ENTER BOTH",IF(OR(B2093&lt;=0,C2093&lt;=0),"ERROR - NONPOSITIVE",IF(OR(B2093&lt;L2093,C2093&lt;L2093),"ERROR - BELOW MIN",IF(OR(AND(B2093&lt;=J2093,C2093&lt;=K2093),AND(B2093&lt;=K2093,C2093&lt;=J2093)),"VALID - CUSTOM","ERROR - EXCEEDS BASE")))))</f>
        <v>CUSTOM BLANK</v>
      </c>
      <c r="I2093" s="10" t="s">
        <v>267</v>
      </c>
      <c r="J2093" s="12">
        <f>'05-ISO Reference'!$B$27</f>
        <v>44</v>
      </c>
      <c r="K2093" s="12">
        <f>'05-ISO Reference'!$C$27</f>
        <v>62</v>
      </c>
      <c r="L2093" s="12">
        <f>'01-Process Controls'!$G$5</f>
        <v>3</v>
      </c>
      <c r="M2093" s="8"/>
      <c r="N2093" s="8"/>
    </row>
    <row r="2094" spans="1:15" ht="21" customHeight="1">
      <c r="A2094" s="9" t="s">
        <v>2419</v>
      </c>
      <c r="B2094" s="48"/>
      <c r="C2094" s="48"/>
      <c r="D2094" s="10" t="s">
        <v>263</v>
      </c>
      <c r="E2094" s="10" t="s">
        <v>2409</v>
      </c>
      <c r="F2094" s="10" t="s">
        <v>265</v>
      </c>
      <c r="G2094" s="10" t="s">
        <v>266</v>
      </c>
      <c r="H2094" s="11" t="str">
        <f>IF(AND(B2094="",C2094=""),"CUSTOM BLANK",IF(OR(B2094="",C2094=""),"ERROR - ENTER BOTH",IF(OR(B2094&lt;=0,C2094&lt;=0),"ERROR - NONPOSITIVE",IF(OR(B2094&lt;L2094,C2094&lt;L2094),"ERROR - BELOW MIN",IF(OR(AND(B2094&lt;=J2094,C2094&lt;=K2094),AND(B2094&lt;=K2094,C2094&lt;=J2094)),"VALID - CUSTOM","ERROR - EXCEEDS BASE")))))</f>
        <v>CUSTOM BLANK</v>
      </c>
      <c r="I2094" s="10" t="s">
        <v>267</v>
      </c>
      <c r="J2094" s="12">
        <f>'05-ISO Reference'!$B$27</f>
        <v>44</v>
      </c>
      <c r="K2094" s="12">
        <f>'05-ISO Reference'!$C$27</f>
        <v>62</v>
      </c>
      <c r="L2094" s="12">
        <f>'01-Process Controls'!$G$5</f>
        <v>3</v>
      </c>
      <c r="M2094" s="8"/>
      <c r="N2094" s="8"/>
    </row>
    <row r="2095" spans="1:15" ht="21" customHeight="1">
      <c r="A2095" s="9" t="s">
        <v>2420</v>
      </c>
      <c r="B2095" s="48"/>
      <c r="C2095" s="48"/>
      <c r="D2095" s="10" t="s">
        <v>263</v>
      </c>
      <c r="E2095" s="10" t="s">
        <v>2409</v>
      </c>
      <c r="F2095" s="10" t="s">
        <v>265</v>
      </c>
      <c r="G2095" s="10" t="s">
        <v>266</v>
      </c>
      <c r="H2095" s="11" t="str">
        <f>IF(AND(B2095="",C2095=""),"CUSTOM BLANK",IF(OR(B2095="",C2095=""),"ERROR - ENTER BOTH",IF(OR(B2095&lt;=0,C2095&lt;=0),"ERROR - NONPOSITIVE",IF(OR(B2095&lt;L2095,C2095&lt;L2095),"ERROR - BELOW MIN",IF(OR(AND(B2095&lt;=J2095,C2095&lt;=K2095),AND(B2095&lt;=K2095,C2095&lt;=J2095)),"VALID - CUSTOM","ERROR - EXCEEDS BASE")))))</f>
        <v>CUSTOM BLANK</v>
      </c>
      <c r="I2095" s="10" t="s">
        <v>267</v>
      </c>
      <c r="J2095" s="12">
        <f>'05-ISO Reference'!$B$27</f>
        <v>44</v>
      </c>
      <c r="K2095" s="12">
        <f>'05-ISO Reference'!$C$27</f>
        <v>62</v>
      </c>
      <c r="L2095" s="12">
        <f>'01-Process Controls'!$G$5</f>
        <v>3</v>
      </c>
      <c r="M2095" s="8"/>
      <c r="N2095" s="8"/>
    </row>
    <row r="2096" spans="1:15" ht="21" customHeight="1">
      <c r="A2096" s="9" t="s">
        <v>2421</v>
      </c>
      <c r="B2096" s="48"/>
      <c r="C2096" s="48"/>
      <c r="D2096" s="10" t="s">
        <v>263</v>
      </c>
      <c r="E2096" s="10" t="s">
        <v>2409</v>
      </c>
      <c r="F2096" s="10" t="s">
        <v>265</v>
      </c>
      <c r="G2096" s="10" t="s">
        <v>266</v>
      </c>
      <c r="H2096" s="11" t="str">
        <f>IF(AND(B2096="",C2096=""),"CUSTOM BLANK",IF(OR(B2096="",C2096=""),"ERROR - ENTER BOTH",IF(OR(B2096&lt;=0,C2096&lt;=0),"ERROR - NONPOSITIVE",IF(OR(B2096&lt;L2096,C2096&lt;L2096),"ERROR - BELOW MIN",IF(OR(AND(B2096&lt;=J2096,C2096&lt;=K2096),AND(B2096&lt;=K2096,C2096&lt;=J2096)),"VALID - CUSTOM","ERROR - EXCEEDS BASE")))))</f>
        <v>CUSTOM BLANK</v>
      </c>
      <c r="I2096" s="10" t="s">
        <v>267</v>
      </c>
      <c r="J2096" s="12">
        <f>'05-ISO Reference'!$B$27</f>
        <v>44</v>
      </c>
      <c r="K2096" s="12">
        <f>'05-ISO Reference'!$C$27</f>
        <v>62</v>
      </c>
      <c r="L2096" s="12">
        <f>'01-Process Controls'!$G$5</f>
        <v>3</v>
      </c>
      <c r="M2096" s="8"/>
      <c r="N2096" s="8"/>
    </row>
    <row r="2097" spans="1:15" ht="21" customHeight="1">
      <c r="A2097" s="9" t="s">
        <v>2422</v>
      </c>
      <c r="B2097" s="48"/>
      <c r="C2097" s="48"/>
      <c r="D2097" s="10" t="s">
        <v>263</v>
      </c>
      <c r="E2097" s="10" t="s">
        <v>2409</v>
      </c>
      <c r="F2097" s="10" t="s">
        <v>265</v>
      </c>
      <c r="G2097" s="10" t="s">
        <v>266</v>
      </c>
      <c r="H2097" s="11" t="str">
        <f>IF(AND(B2097="",C2097=""),"CUSTOM BLANK",IF(OR(B2097="",C2097=""),"ERROR - ENTER BOTH",IF(OR(B2097&lt;=0,C2097&lt;=0),"ERROR - NONPOSITIVE",IF(OR(B2097&lt;L2097,C2097&lt;L2097),"ERROR - BELOW MIN",IF(OR(AND(B2097&lt;=J2097,C2097&lt;=K2097),AND(B2097&lt;=K2097,C2097&lt;=J2097)),"VALID - CUSTOM","ERROR - EXCEEDS BASE")))))</f>
        <v>CUSTOM BLANK</v>
      </c>
      <c r="I2097" s="10" t="s">
        <v>267</v>
      </c>
      <c r="J2097" s="12">
        <f>'05-ISO Reference'!$B$27</f>
        <v>44</v>
      </c>
      <c r="K2097" s="12">
        <f>'05-ISO Reference'!$C$27</f>
        <v>62</v>
      </c>
      <c r="L2097" s="12">
        <f>'01-Process Controls'!$G$5</f>
        <v>3</v>
      </c>
      <c r="M2097" s="8"/>
      <c r="N2097" s="8"/>
    </row>
    <row r="2098" spans="1:15" ht="21" customHeight="1">
      <c r="A2098" s="9" t="s">
        <v>2423</v>
      </c>
      <c r="B2098" s="48"/>
      <c r="C2098" s="48"/>
      <c r="D2098" s="10" t="s">
        <v>263</v>
      </c>
      <c r="E2098" s="10" t="s">
        <v>2409</v>
      </c>
      <c r="F2098" s="10" t="s">
        <v>265</v>
      </c>
      <c r="G2098" s="10" t="s">
        <v>266</v>
      </c>
      <c r="H2098" s="11" t="str">
        <f>IF(AND(B2098="",C2098=""),"CUSTOM BLANK",IF(OR(B2098="",C2098=""),"ERROR - ENTER BOTH",IF(OR(B2098&lt;=0,C2098&lt;=0),"ERROR - NONPOSITIVE",IF(OR(B2098&lt;L2098,C2098&lt;L2098),"ERROR - BELOW MIN",IF(OR(AND(B2098&lt;=J2098,C2098&lt;=K2098),AND(B2098&lt;=K2098,C2098&lt;=J2098)),"VALID - CUSTOM","ERROR - EXCEEDS BASE")))))</f>
        <v>CUSTOM BLANK</v>
      </c>
      <c r="I2098" s="10" t="s">
        <v>267</v>
      </c>
      <c r="J2098" s="12">
        <f>'05-ISO Reference'!$B$27</f>
        <v>44</v>
      </c>
      <c r="K2098" s="12">
        <f>'05-ISO Reference'!$C$27</f>
        <v>62</v>
      </c>
      <c r="L2098" s="12">
        <f>'01-Process Controls'!$G$5</f>
        <v>3</v>
      </c>
      <c r="M2098" s="8"/>
      <c r="N2098" s="8"/>
    </row>
    <row r="2099" spans="1:15" ht="21" customHeight="1">
      <c r="A2099" s="44" t="s">
        <v>2424</v>
      </c>
      <c r="B2099" s="45">
        <f>IF(LEFT(H2099,5)="VALID",M2099,"")</f>
        <v>31</v>
      </c>
      <c r="C2099" s="45">
        <f>IF(LEFT(H2099,5)="VALID",N2099,"")</f>
        <v>44</v>
      </c>
      <c r="D2099" s="46" t="s">
        <v>82</v>
      </c>
      <c r="E2099" s="46" t="s">
        <v>2425</v>
      </c>
      <c r="F2099" s="46" t="s">
        <v>122</v>
      </c>
      <c r="G2099" s="46" t="s">
        <v>123</v>
      </c>
      <c r="H2099" s="47" t="str">
        <f>"VALID - BASE"</f>
        <v>VALID - BASE</v>
      </c>
      <c r="I2099" s="46" t="s">
        <v>2426</v>
      </c>
      <c r="J2099" s="12">
        <f>'05-ISO Reference'!$B$28</f>
        <v>31</v>
      </c>
      <c r="K2099" s="12">
        <f>'05-ISO Reference'!$C$28</f>
        <v>44</v>
      </c>
      <c r="L2099" s="12">
        <f>'01-Process Controls'!$G$5</f>
        <v>3</v>
      </c>
      <c r="M2099" s="12">
        <f>ROUNDDOWN(J2099,0)</f>
        <v>31</v>
      </c>
      <c r="N2099" s="12">
        <f>ROUNDDOWN(K2099,0)</f>
        <v>44</v>
      </c>
      <c r="O2099" s="9">
        <v>0</v>
      </c>
    </row>
    <row r="2100" spans="1:15" ht="21" customHeight="1">
      <c r="A2100" s="9" t="s">
        <v>2427</v>
      </c>
      <c r="B2100" s="12">
        <f>IF(LEFT(H2100,5)="VALID",M2100,"")</f>
        <v>15</v>
      </c>
      <c r="C2100" s="12">
        <f>IF(LEFT(H2100,5)="VALID",N2100,"")</f>
        <v>44</v>
      </c>
      <c r="D2100" s="10" t="s">
        <v>82</v>
      </c>
      <c r="E2100" s="10" t="s">
        <v>2425</v>
      </c>
      <c r="F2100" s="10" t="s">
        <v>126</v>
      </c>
      <c r="G2100" s="10" t="s">
        <v>127</v>
      </c>
      <c r="H2100" s="11" t="str">
        <f>IF(OR(M2100&lt;=0,N2100&lt;=0),"SKIPPED - NONPOSITIVE",IF(OR(M2100&lt;L2100,N2100&lt;L2100),"SKIPPED - BELOW MIN",IF(OR(M2100&gt;J2100,N2100&gt;K2100),"SKIPPED - EXCEEDS BASE",IF(COUNTIFS($M$2099:M2099,M2100,$N$2099:N2099,N2100)&gt;0,"SKIPPED - DUPLICATE","VALID - GENERATED"))))</f>
        <v>VALID - GENERATED</v>
      </c>
      <c r="I2100" s="10" t="s">
        <v>2426</v>
      </c>
      <c r="J2100" s="12">
        <f>'05-ISO Reference'!$B$28</f>
        <v>31</v>
      </c>
      <c r="K2100" s="12">
        <f>'05-ISO Reference'!$C$28</f>
        <v>44</v>
      </c>
      <c r="L2100" s="12">
        <f>'01-Process Controls'!$G$5</f>
        <v>3</v>
      </c>
      <c r="M2100" s="12">
        <f>ROUNDDOWN(J2100*'04-Variant Rules'!$D$6,0)</f>
        <v>15</v>
      </c>
      <c r="N2100" s="12">
        <f>ROUNDDOWN(K2100,0)</f>
        <v>44</v>
      </c>
      <c r="O2100" s="9">
        <v>1</v>
      </c>
    </row>
    <row r="2101" spans="1:15" ht="21" customHeight="1">
      <c r="A2101" s="9" t="s">
        <v>2428</v>
      </c>
      <c r="B2101" s="12">
        <f>IF(LEFT(H2101,5)="VALID",M2101,"")</f>
        <v>10</v>
      </c>
      <c r="C2101" s="12">
        <f>IF(LEFT(H2101,5)="VALID",N2101,"")</f>
        <v>44</v>
      </c>
      <c r="D2101" s="10" t="s">
        <v>82</v>
      </c>
      <c r="E2101" s="10" t="s">
        <v>2425</v>
      </c>
      <c r="F2101" s="10" t="s">
        <v>129</v>
      </c>
      <c r="G2101" s="10" t="s">
        <v>130</v>
      </c>
      <c r="H2101" s="11" t="str">
        <f>IF(OR(M2101&lt;=0,N2101&lt;=0),"SKIPPED - NONPOSITIVE",IF(OR(M2101&lt;L2101,N2101&lt;L2101),"SKIPPED - BELOW MIN",IF(OR(M2101&gt;J2101,N2101&gt;K2101),"SKIPPED - EXCEEDS BASE",IF(COUNTIFS($M$2099:M2100,M2101,$N$2099:N2100,N2101)&gt;0,"SKIPPED - DUPLICATE","VALID - GENERATED"))))</f>
        <v>VALID - GENERATED</v>
      </c>
      <c r="I2101" s="10" t="s">
        <v>2426</v>
      </c>
      <c r="J2101" s="12">
        <f>'05-ISO Reference'!$B$28</f>
        <v>31</v>
      </c>
      <c r="K2101" s="12">
        <f>'05-ISO Reference'!$C$28</f>
        <v>44</v>
      </c>
      <c r="L2101" s="12">
        <f>'01-Process Controls'!$G$5</f>
        <v>3</v>
      </c>
      <c r="M2101" s="12">
        <f>ROUNDDOWN(J2101*'04-Variant Rules'!$D$7,0)</f>
        <v>10</v>
      </c>
      <c r="N2101" s="12">
        <f>ROUNDDOWN(K2101,0)</f>
        <v>44</v>
      </c>
      <c r="O2101" s="9">
        <v>2</v>
      </c>
    </row>
    <row r="2102" spans="1:15" ht="21" customHeight="1">
      <c r="A2102" s="9" t="s">
        <v>2429</v>
      </c>
      <c r="B2102" s="12">
        <f>IF(LEFT(H2102,5)="VALID",M2102,"")</f>
        <v>7</v>
      </c>
      <c r="C2102" s="12">
        <f>IF(LEFT(H2102,5)="VALID",N2102,"")</f>
        <v>44</v>
      </c>
      <c r="D2102" s="10" t="s">
        <v>82</v>
      </c>
      <c r="E2102" s="10" t="s">
        <v>2425</v>
      </c>
      <c r="F2102" s="10" t="s">
        <v>132</v>
      </c>
      <c r="G2102" s="10" t="s">
        <v>133</v>
      </c>
      <c r="H2102" s="11" t="str">
        <f>IF(OR(M2102&lt;=0,N2102&lt;=0),"SKIPPED - NONPOSITIVE",IF(OR(M2102&lt;L2102,N2102&lt;L2102),"SKIPPED - BELOW MIN",IF(OR(M2102&gt;J2102,N2102&gt;K2102),"SKIPPED - EXCEEDS BASE",IF(COUNTIFS($M$2099:M2101,M2102,$N$2099:N2101,N2102)&gt;0,"SKIPPED - DUPLICATE","VALID - GENERATED"))))</f>
        <v>VALID - GENERATED</v>
      </c>
      <c r="I2102" s="10" t="s">
        <v>2426</v>
      </c>
      <c r="J2102" s="12">
        <f>'05-ISO Reference'!$B$28</f>
        <v>31</v>
      </c>
      <c r="K2102" s="12">
        <f>'05-ISO Reference'!$C$28</f>
        <v>44</v>
      </c>
      <c r="L2102" s="12">
        <f>'01-Process Controls'!$G$5</f>
        <v>3</v>
      </c>
      <c r="M2102" s="12">
        <f>ROUNDDOWN(J2102*'04-Variant Rules'!$D$8,0)</f>
        <v>7</v>
      </c>
      <c r="N2102" s="12">
        <f>ROUNDDOWN(K2102,0)</f>
        <v>44</v>
      </c>
      <c r="O2102" s="9">
        <v>3</v>
      </c>
    </row>
    <row r="2103" spans="1:15" ht="21" customHeight="1">
      <c r="A2103" s="9" t="s">
        <v>2430</v>
      </c>
      <c r="B2103" s="12">
        <f>IF(LEFT(H2103,5)="VALID",M2103,"")</f>
        <v>20</v>
      </c>
      <c r="C2103" s="12">
        <f>IF(LEFT(H2103,5)="VALID",N2103,"")</f>
        <v>44</v>
      </c>
      <c r="D2103" s="10" t="s">
        <v>82</v>
      </c>
      <c r="E2103" s="10" t="s">
        <v>2425</v>
      </c>
      <c r="F2103" s="10" t="s">
        <v>135</v>
      </c>
      <c r="G2103" s="10" t="s">
        <v>136</v>
      </c>
      <c r="H2103" s="11" t="str">
        <f>IF(OR(M2103&lt;=0,N2103&lt;=0),"SKIPPED - NONPOSITIVE",IF(OR(M2103&lt;L2103,N2103&lt;L2103),"SKIPPED - BELOW MIN",IF(OR(M2103&gt;J2103,N2103&gt;K2103),"SKIPPED - EXCEEDS BASE",IF(COUNTIFS($M$2099:M2102,M2103,$N$2099:N2102,N2103)&gt;0,"SKIPPED - DUPLICATE","VALID - GENERATED"))))</f>
        <v>VALID - GENERATED</v>
      </c>
      <c r="I2103" s="10" t="s">
        <v>2426</v>
      </c>
      <c r="J2103" s="12">
        <f>'05-ISO Reference'!$B$28</f>
        <v>31</v>
      </c>
      <c r="K2103" s="12">
        <f>'05-ISO Reference'!$C$28</f>
        <v>44</v>
      </c>
      <c r="L2103" s="12">
        <f>'01-Process Controls'!$G$5</f>
        <v>3</v>
      </c>
      <c r="M2103" s="12">
        <f>ROUNDDOWN(J2103*'04-Variant Rules'!$D$9,0)</f>
        <v>20</v>
      </c>
      <c r="N2103" s="12">
        <f>ROUNDDOWN(K2103,0)</f>
        <v>44</v>
      </c>
      <c r="O2103" s="9">
        <v>4</v>
      </c>
    </row>
    <row r="2104" spans="1:15" ht="21" customHeight="1">
      <c r="A2104" s="9" t="s">
        <v>2431</v>
      </c>
      <c r="B2104" s="12">
        <f>IF(LEFT(H2104,5)="VALID",M2104,"")</f>
        <v>23</v>
      </c>
      <c r="C2104" s="12">
        <f>IF(LEFT(H2104,5)="VALID",N2104,"")</f>
        <v>44</v>
      </c>
      <c r="D2104" s="10" t="s">
        <v>82</v>
      </c>
      <c r="E2104" s="10" t="s">
        <v>2425</v>
      </c>
      <c r="F2104" s="10" t="s">
        <v>138</v>
      </c>
      <c r="G2104" s="10" t="s">
        <v>139</v>
      </c>
      <c r="H2104" s="11" t="str">
        <f>IF(OR(M2104&lt;=0,N2104&lt;=0),"SKIPPED - NONPOSITIVE",IF(OR(M2104&lt;L2104,N2104&lt;L2104),"SKIPPED - BELOW MIN",IF(OR(M2104&gt;J2104,N2104&gt;K2104),"SKIPPED - EXCEEDS BASE",IF(COUNTIFS($M$2099:M2103,M2104,$N$2099:N2103,N2104)&gt;0,"SKIPPED - DUPLICATE","VALID - GENERATED"))))</f>
        <v>VALID - GENERATED</v>
      </c>
      <c r="I2104" s="10" t="s">
        <v>2426</v>
      </c>
      <c r="J2104" s="12">
        <f>'05-ISO Reference'!$B$28</f>
        <v>31</v>
      </c>
      <c r="K2104" s="12">
        <f>'05-ISO Reference'!$C$28</f>
        <v>44</v>
      </c>
      <c r="L2104" s="12">
        <f>'01-Process Controls'!$G$5</f>
        <v>3</v>
      </c>
      <c r="M2104" s="12">
        <f>ROUNDDOWN(J2104*'04-Variant Rules'!$D$10,0)</f>
        <v>23</v>
      </c>
      <c r="N2104" s="12">
        <f>ROUNDDOWN(K2104,0)</f>
        <v>44</v>
      </c>
      <c r="O2104" s="9">
        <v>5</v>
      </c>
    </row>
    <row r="2105" spans="1:15" ht="21" customHeight="1">
      <c r="A2105" s="9" t="s">
        <v>2432</v>
      </c>
      <c r="B2105" s="12">
        <f>IF(LEFT(H2105,5)="VALID",M2105,"")</f>
        <v>31</v>
      </c>
      <c r="C2105" s="12">
        <f>IF(LEFT(H2105,5)="VALID",N2105,"")</f>
        <v>22</v>
      </c>
      <c r="D2105" s="10" t="s">
        <v>82</v>
      </c>
      <c r="E2105" s="10" t="s">
        <v>2425</v>
      </c>
      <c r="F2105" s="10" t="s">
        <v>141</v>
      </c>
      <c r="G2105" s="10" t="s">
        <v>142</v>
      </c>
      <c r="H2105" s="11" t="str">
        <f>IF(OR(M2105&lt;=0,N2105&lt;=0),"SKIPPED - NONPOSITIVE",IF(OR(M2105&lt;L2105,N2105&lt;L2105),"SKIPPED - BELOW MIN",IF(OR(M2105&gt;J2105,N2105&gt;K2105),"SKIPPED - EXCEEDS BASE",IF(COUNTIFS($M$2099:M2104,M2105,$N$2099:N2104,N2105)&gt;0,"SKIPPED - DUPLICATE","VALID - GENERATED"))))</f>
        <v>VALID - GENERATED</v>
      </c>
      <c r="I2105" s="10" t="s">
        <v>2426</v>
      </c>
      <c r="J2105" s="12">
        <f>'05-ISO Reference'!$B$28</f>
        <v>31</v>
      </c>
      <c r="K2105" s="12">
        <f>'05-ISO Reference'!$C$28</f>
        <v>44</v>
      </c>
      <c r="L2105" s="12">
        <f>'01-Process Controls'!$G$5</f>
        <v>3</v>
      </c>
      <c r="M2105" s="12">
        <f>ROUNDDOWN(J2105,0)</f>
        <v>31</v>
      </c>
      <c r="N2105" s="12">
        <f>ROUNDDOWN(K2105*'04-Variant Rules'!$D$11,0)</f>
        <v>22</v>
      </c>
      <c r="O2105" s="9">
        <v>6</v>
      </c>
    </row>
    <row r="2106" spans="1:15" ht="21" customHeight="1">
      <c r="A2106" s="9" t="s">
        <v>2433</v>
      </c>
      <c r="B2106" s="12">
        <f>IF(LEFT(H2106,5)="VALID",M2106,"")</f>
        <v>31</v>
      </c>
      <c r="C2106" s="12">
        <f>IF(LEFT(H2106,5)="VALID",N2106,"")</f>
        <v>14</v>
      </c>
      <c r="D2106" s="10" t="s">
        <v>82</v>
      </c>
      <c r="E2106" s="10" t="s">
        <v>2425</v>
      </c>
      <c r="F2106" s="10" t="s">
        <v>144</v>
      </c>
      <c r="G2106" s="10" t="s">
        <v>145</v>
      </c>
      <c r="H2106" s="11" t="str">
        <f>IF(OR(M2106&lt;=0,N2106&lt;=0),"SKIPPED - NONPOSITIVE",IF(OR(M2106&lt;L2106,N2106&lt;L2106),"SKIPPED - BELOW MIN",IF(OR(M2106&gt;J2106,N2106&gt;K2106),"SKIPPED - EXCEEDS BASE",IF(COUNTIFS($M$2099:M2105,M2106,$N$2099:N2105,N2106)&gt;0,"SKIPPED - DUPLICATE","VALID - GENERATED"))))</f>
        <v>VALID - GENERATED</v>
      </c>
      <c r="I2106" s="10" t="s">
        <v>2426</v>
      </c>
      <c r="J2106" s="12">
        <f>'05-ISO Reference'!$B$28</f>
        <v>31</v>
      </c>
      <c r="K2106" s="12">
        <f>'05-ISO Reference'!$C$28</f>
        <v>44</v>
      </c>
      <c r="L2106" s="12">
        <f>'01-Process Controls'!$G$5</f>
        <v>3</v>
      </c>
      <c r="M2106" s="12">
        <f>ROUNDDOWN(J2106,0)</f>
        <v>31</v>
      </c>
      <c r="N2106" s="12">
        <f>ROUNDDOWN(K2106*'04-Variant Rules'!$D$12,0)</f>
        <v>14</v>
      </c>
      <c r="O2106" s="9">
        <v>7</v>
      </c>
    </row>
    <row r="2107" spans="1:15" ht="21" customHeight="1">
      <c r="A2107" s="9" t="s">
        <v>2434</v>
      </c>
      <c r="B2107" s="12">
        <f>IF(LEFT(H2107,5)="VALID",M2107,"")</f>
        <v>31</v>
      </c>
      <c r="C2107" s="12">
        <f>IF(LEFT(H2107,5)="VALID",N2107,"")</f>
        <v>11</v>
      </c>
      <c r="D2107" s="10" t="s">
        <v>82</v>
      </c>
      <c r="E2107" s="10" t="s">
        <v>2425</v>
      </c>
      <c r="F2107" s="10" t="s">
        <v>147</v>
      </c>
      <c r="G2107" s="10" t="s">
        <v>148</v>
      </c>
      <c r="H2107" s="11" t="str">
        <f>IF(OR(M2107&lt;=0,N2107&lt;=0),"SKIPPED - NONPOSITIVE",IF(OR(M2107&lt;L2107,N2107&lt;L2107),"SKIPPED - BELOW MIN",IF(OR(M2107&gt;J2107,N2107&gt;K2107),"SKIPPED - EXCEEDS BASE",IF(COUNTIFS($M$2099:M2106,M2107,$N$2099:N2106,N2107)&gt;0,"SKIPPED - DUPLICATE","VALID - GENERATED"))))</f>
        <v>VALID - GENERATED</v>
      </c>
      <c r="I2107" s="10" t="s">
        <v>2426</v>
      </c>
      <c r="J2107" s="12">
        <f>'05-ISO Reference'!$B$28</f>
        <v>31</v>
      </c>
      <c r="K2107" s="12">
        <f>'05-ISO Reference'!$C$28</f>
        <v>44</v>
      </c>
      <c r="L2107" s="12">
        <f>'01-Process Controls'!$G$5</f>
        <v>3</v>
      </c>
      <c r="M2107" s="12">
        <f>ROUNDDOWN(J2107,0)</f>
        <v>31</v>
      </c>
      <c r="N2107" s="12">
        <f>ROUNDDOWN(K2107*'04-Variant Rules'!$D$13,0)</f>
        <v>11</v>
      </c>
      <c r="O2107" s="9">
        <v>8</v>
      </c>
    </row>
    <row r="2108" spans="1:15" ht="21" customHeight="1">
      <c r="A2108" s="9" t="s">
        <v>2435</v>
      </c>
      <c r="B2108" s="12">
        <f>IF(LEFT(H2108,5)="VALID",M2108,"")</f>
        <v>31</v>
      </c>
      <c r="C2108" s="12">
        <f>IF(LEFT(H2108,5)="VALID",N2108,"")</f>
        <v>29</v>
      </c>
      <c r="D2108" s="10" t="s">
        <v>82</v>
      </c>
      <c r="E2108" s="10" t="s">
        <v>2425</v>
      </c>
      <c r="F2108" s="10" t="s">
        <v>150</v>
      </c>
      <c r="G2108" s="10" t="s">
        <v>151</v>
      </c>
      <c r="H2108" s="11" t="str">
        <f>IF(OR(M2108&lt;=0,N2108&lt;=0),"SKIPPED - NONPOSITIVE",IF(OR(M2108&lt;L2108,N2108&lt;L2108),"SKIPPED - BELOW MIN",IF(OR(M2108&gt;J2108,N2108&gt;K2108),"SKIPPED - EXCEEDS BASE",IF(COUNTIFS($M$2099:M2107,M2108,$N$2099:N2107,N2108)&gt;0,"SKIPPED - DUPLICATE","VALID - GENERATED"))))</f>
        <v>VALID - GENERATED</v>
      </c>
      <c r="I2108" s="10" t="s">
        <v>2426</v>
      </c>
      <c r="J2108" s="12">
        <f>'05-ISO Reference'!$B$28</f>
        <v>31</v>
      </c>
      <c r="K2108" s="12">
        <f>'05-ISO Reference'!$C$28</f>
        <v>44</v>
      </c>
      <c r="L2108" s="12">
        <f>'01-Process Controls'!$G$5</f>
        <v>3</v>
      </c>
      <c r="M2108" s="12">
        <f>ROUNDDOWN(J2108,0)</f>
        <v>31</v>
      </c>
      <c r="N2108" s="12">
        <f>ROUNDDOWN(K2108*'04-Variant Rules'!$D$14,0)</f>
        <v>29</v>
      </c>
      <c r="O2108" s="9">
        <v>9</v>
      </c>
    </row>
    <row r="2109" spans="1:15" ht="21" customHeight="1">
      <c r="A2109" s="9" t="s">
        <v>2436</v>
      </c>
      <c r="B2109" s="12">
        <f>IF(LEFT(H2109,5)="VALID",M2109,"")</f>
        <v>31</v>
      </c>
      <c r="C2109" s="12">
        <f>IF(LEFT(H2109,5)="VALID",N2109,"")</f>
        <v>33</v>
      </c>
      <c r="D2109" s="10" t="s">
        <v>82</v>
      </c>
      <c r="E2109" s="10" t="s">
        <v>2425</v>
      </c>
      <c r="F2109" s="10" t="s">
        <v>153</v>
      </c>
      <c r="G2109" s="10" t="s">
        <v>154</v>
      </c>
      <c r="H2109" s="11" t="str">
        <f>IF(OR(M2109&lt;=0,N2109&lt;=0),"SKIPPED - NONPOSITIVE",IF(OR(M2109&lt;L2109,N2109&lt;L2109),"SKIPPED - BELOW MIN",IF(OR(M2109&gt;J2109,N2109&gt;K2109),"SKIPPED - EXCEEDS BASE",IF(COUNTIFS($M$2099:M2108,M2109,$N$2099:N2108,N2109)&gt;0,"SKIPPED - DUPLICATE","VALID - GENERATED"))))</f>
        <v>VALID - GENERATED</v>
      </c>
      <c r="I2109" s="10" t="s">
        <v>2426</v>
      </c>
      <c r="J2109" s="12">
        <f>'05-ISO Reference'!$B$28</f>
        <v>31</v>
      </c>
      <c r="K2109" s="12">
        <f>'05-ISO Reference'!$C$28</f>
        <v>44</v>
      </c>
      <c r="L2109" s="12">
        <f>'01-Process Controls'!$G$5</f>
        <v>3</v>
      </c>
      <c r="M2109" s="12">
        <f>ROUNDDOWN(J2109,0)</f>
        <v>31</v>
      </c>
      <c r="N2109" s="12">
        <f>ROUNDDOWN(K2109*'04-Variant Rules'!$D$15,0)</f>
        <v>33</v>
      </c>
      <c r="O2109" s="9">
        <v>10</v>
      </c>
    </row>
    <row r="2110" spans="1:15" ht="21" customHeight="1">
      <c r="A2110" s="9" t="s">
        <v>2437</v>
      </c>
      <c r="B2110" s="12">
        <f>IF(LEFT(H2110,5)="VALID",M2110,"")</f>
        <v>15</v>
      </c>
      <c r="C2110" s="12">
        <f>IF(LEFT(H2110,5)="VALID",N2110,"")</f>
        <v>22</v>
      </c>
      <c r="D2110" s="10" t="s">
        <v>82</v>
      </c>
      <c r="E2110" s="10" t="s">
        <v>2425</v>
      </c>
      <c r="F2110" s="10" t="s">
        <v>156</v>
      </c>
      <c r="G2110" s="10" t="s">
        <v>157</v>
      </c>
      <c r="H2110" s="11" t="str">
        <f>IF(OR(M2110&lt;=0,N2110&lt;=0),"SKIPPED - NONPOSITIVE",IF(OR(M2110&lt;L2110,N2110&lt;L2110),"SKIPPED - BELOW MIN",IF(OR(M2110&gt;J2110,N2110&gt;K2110),"SKIPPED - EXCEEDS BASE",IF(COUNTIFS($M$2099:M2109,M2110,$N$2099:N2109,N2110)&gt;0,"SKIPPED - DUPLICATE","VALID - GENERATED"))))</f>
        <v>VALID - GENERATED</v>
      </c>
      <c r="I2110" s="10" t="s">
        <v>2426</v>
      </c>
      <c r="J2110" s="12">
        <f>'05-ISO Reference'!$B$28</f>
        <v>31</v>
      </c>
      <c r="K2110" s="12">
        <f>'05-ISO Reference'!$C$28</f>
        <v>44</v>
      </c>
      <c r="L2110" s="12">
        <f>'01-Process Controls'!$G$5</f>
        <v>3</v>
      </c>
      <c r="M2110" s="12">
        <f>ROUNDDOWN(J2110*'04-Variant Rules'!$D$16,0)</f>
        <v>15</v>
      </c>
      <c r="N2110" s="12">
        <f>ROUNDDOWN(K2110*'04-Variant Rules'!$E$16,0)</f>
        <v>22</v>
      </c>
      <c r="O2110" s="9">
        <v>11</v>
      </c>
    </row>
    <row r="2111" spans="1:15" ht="21" customHeight="1">
      <c r="A2111" s="9" t="s">
        <v>2438</v>
      </c>
      <c r="B2111" s="12">
        <f>IF(LEFT(H2111,5)="VALID",M2111,"")</f>
        <v>10</v>
      </c>
      <c r="C2111" s="12">
        <f>IF(LEFT(H2111,5)="VALID",N2111,"")</f>
        <v>14</v>
      </c>
      <c r="D2111" s="10" t="s">
        <v>82</v>
      </c>
      <c r="E2111" s="10" t="s">
        <v>2425</v>
      </c>
      <c r="F2111" s="10" t="s">
        <v>159</v>
      </c>
      <c r="G2111" s="10" t="s">
        <v>160</v>
      </c>
      <c r="H2111" s="11" t="str">
        <f>IF(OR(M2111&lt;=0,N2111&lt;=0),"SKIPPED - NONPOSITIVE",IF(OR(M2111&lt;L2111,N2111&lt;L2111),"SKIPPED - BELOW MIN",IF(OR(M2111&gt;J2111,N2111&gt;K2111),"SKIPPED - EXCEEDS BASE",IF(COUNTIFS($M$2099:M2110,M2111,$N$2099:N2110,N2111)&gt;0,"SKIPPED - DUPLICATE","VALID - GENERATED"))))</f>
        <v>VALID - GENERATED</v>
      </c>
      <c r="I2111" s="10" t="s">
        <v>2426</v>
      </c>
      <c r="J2111" s="12">
        <f>'05-ISO Reference'!$B$28</f>
        <v>31</v>
      </c>
      <c r="K2111" s="12">
        <f>'05-ISO Reference'!$C$28</f>
        <v>44</v>
      </c>
      <c r="L2111" s="12">
        <f>'01-Process Controls'!$G$5</f>
        <v>3</v>
      </c>
      <c r="M2111" s="12">
        <f>ROUNDDOWN(J2111*'04-Variant Rules'!$D$17,0)</f>
        <v>10</v>
      </c>
      <c r="N2111" s="12">
        <f>ROUNDDOWN(K2111*'04-Variant Rules'!$E$17,0)</f>
        <v>14</v>
      </c>
      <c r="O2111" s="9">
        <v>12</v>
      </c>
    </row>
    <row r="2112" spans="1:15" ht="21" customHeight="1">
      <c r="A2112" s="9" t="s">
        <v>2439</v>
      </c>
      <c r="B2112" s="12">
        <f>IF(LEFT(H2112,5)="VALID",M2112,"")</f>
        <v>7</v>
      </c>
      <c r="C2112" s="12">
        <f>IF(LEFT(H2112,5)="VALID",N2112,"")</f>
        <v>11</v>
      </c>
      <c r="D2112" s="10" t="s">
        <v>82</v>
      </c>
      <c r="E2112" s="10" t="s">
        <v>2425</v>
      </c>
      <c r="F2112" s="10" t="s">
        <v>162</v>
      </c>
      <c r="G2112" s="10" t="s">
        <v>163</v>
      </c>
      <c r="H2112" s="11" t="str">
        <f>IF(OR(M2112&lt;=0,N2112&lt;=0),"SKIPPED - NONPOSITIVE",IF(OR(M2112&lt;L2112,N2112&lt;L2112),"SKIPPED - BELOW MIN",IF(OR(M2112&gt;J2112,N2112&gt;K2112),"SKIPPED - EXCEEDS BASE",IF(COUNTIFS($M$2099:M2111,M2112,$N$2099:N2111,N2112)&gt;0,"SKIPPED - DUPLICATE","VALID - GENERATED"))))</f>
        <v>VALID - GENERATED</v>
      </c>
      <c r="I2112" s="10" t="s">
        <v>2426</v>
      </c>
      <c r="J2112" s="12">
        <f>'05-ISO Reference'!$B$28</f>
        <v>31</v>
      </c>
      <c r="K2112" s="12">
        <f>'05-ISO Reference'!$C$28</f>
        <v>44</v>
      </c>
      <c r="L2112" s="12">
        <f>'01-Process Controls'!$G$5</f>
        <v>3</v>
      </c>
      <c r="M2112" s="12">
        <f>ROUNDDOWN(J2112*'04-Variant Rules'!$D$18,0)</f>
        <v>7</v>
      </c>
      <c r="N2112" s="12">
        <f>ROUNDDOWN(K2112*'04-Variant Rules'!$E$18,0)</f>
        <v>11</v>
      </c>
      <c r="O2112" s="9">
        <v>13</v>
      </c>
    </row>
    <row r="2113" spans="1:15" ht="21" customHeight="1">
      <c r="A2113" s="9" t="s">
        <v>2440</v>
      </c>
      <c r="B2113" s="12">
        <f>IF(LEFT(H2113,5)="VALID",M2113,"")</f>
        <v>15</v>
      </c>
      <c r="C2113" s="12">
        <f>IF(LEFT(H2113,5)="VALID",N2113,"")</f>
        <v>14</v>
      </c>
      <c r="D2113" s="10" t="s">
        <v>82</v>
      </c>
      <c r="E2113" s="10" t="s">
        <v>2425</v>
      </c>
      <c r="F2113" s="10" t="s">
        <v>165</v>
      </c>
      <c r="G2113" s="10" t="s">
        <v>166</v>
      </c>
      <c r="H2113" s="11" t="str">
        <f>IF(OR(M2113&lt;=0,N2113&lt;=0),"SKIPPED - NONPOSITIVE",IF(OR(M2113&lt;L2113,N2113&lt;L2113),"SKIPPED - BELOW MIN",IF(OR(M2113&gt;J2113,N2113&gt;K2113),"SKIPPED - EXCEEDS BASE",IF(COUNTIFS($M$2099:M2112,M2113,$N$2099:N2112,N2113)&gt;0,"SKIPPED - DUPLICATE","VALID - GENERATED"))))</f>
        <v>VALID - GENERATED</v>
      </c>
      <c r="I2113" s="10" t="s">
        <v>2426</v>
      </c>
      <c r="J2113" s="12">
        <f>'05-ISO Reference'!$B$28</f>
        <v>31</v>
      </c>
      <c r="K2113" s="12">
        <f>'05-ISO Reference'!$C$28</f>
        <v>44</v>
      </c>
      <c r="L2113" s="12">
        <f>'01-Process Controls'!$G$5</f>
        <v>3</v>
      </c>
      <c r="M2113" s="12">
        <f>ROUNDDOWN(J2113*'04-Variant Rules'!$D$19,0)</f>
        <v>15</v>
      </c>
      <c r="N2113" s="12">
        <f>ROUNDDOWN(K2113*'04-Variant Rules'!$E$19,0)</f>
        <v>14</v>
      </c>
      <c r="O2113" s="9">
        <v>14</v>
      </c>
    </row>
    <row r="2114" spans="1:15" ht="21" customHeight="1">
      <c r="A2114" s="9" t="s">
        <v>2441</v>
      </c>
      <c r="B2114" s="12">
        <f>IF(LEFT(H2114,5)="VALID",M2114,"")</f>
        <v>10</v>
      </c>
      <c r="C2114" s="12">
        <f>IF(LEFT(H2114,5)="VALID",N2114,"")</f>
        <v>22</v>
      </c>
      <c r="D2114" s="10" t="s">
        <v>82</v>
      </c>
      <c r="E2114" s="10" t="s">
        <v>2425</v>
      </c>
      <c r="F2114" s="10" t="s">
        <v>168</v>
      </c>
      <c r="G2114" s="10" t="s">
        <v>166</v>
      </c>
      <c r="H2114" s="11" t="str">
        <f>IF(OR(M2114&lt;=0,N2114&lt;=0),"SKIPPED - NONPOSITIVE",IF(OR(M2114&lt;L2114,N2114&lt;L2114),"SKIPPED - BELOW MIN",IF(OR(M2114&gt;J2114,N2114&gt;K2114),"SKIPPED - EXCEEDS BASE",IF(COUNTIFS($M$2099:M2113,M2114,$N$2099:N2113,N2114)&gt;0,"SKIPPED - DUPLICATE","VALID - GENERATED"))))</f>
        <v>VALID - GENERATED</v>
      </c>
      <c r="I2114" s="10" t="s">
        <v>2426</v>
      </c>
      <c r="J2114" s="12">
        <f>'05-ISO Reference'!$B$28</f>
        <v>31</v>
      </c>
      <c r="K2114" s="12">
        <f>'05-ISO Reference'!$C$28</f>
        <v>44</v>
      </c>
      <c r="L2114" s="12">
        <f>'01-Process Controls'!$G$5</f>
        <v>3</v>
      </c>
      <c r="M2114" s="12">
        <f>ROUNDDOWN(J2114*'04-Variant Rules'!$D$20,0)</f>
        <v>10</v>
      </c>
      <c r="N2114" s="12">
        <f>ROUNDDOWN(K2114*'04-Variant Rules'!$E$20,0)</f>
        <v>22</v>
      </c>
      <c r="O2114" s="9">
        <v>15</v>
      </c>
    </row>
    <row r="2115" spans="1:15" ht="21" customHeight="1">
      <c r="A2115" s="9" t="s">
        <v>2442</v>
      </c>
      <c r="B2115" s="12">
        <f>IF(LEFT(H2115,5)="VALID",M2115,"")</f>
        <v>15</v>
      </c>
      <c r="C2115" s="12">
        <f>IF(LEFT(H2115,5)="VALID",N2115,"")</f>
        <v>11</v>
      </c>
      <c r="D2115" s="10" t="s">
        <v>82</v>
      </c>
      <c r="E2115" s="10" t="s">
        <v>2425</v>
      </c>
      <c r="F2115" s="10" t="s">
        <v>170</v>
      </c>
      <c r="G2115" s="10" t="s">
        <v>166</v>
      </c>
      <c r="H2115" s="11" t="str">
        <f>IF(OR(M2115&lt;=0,N2115&lt;=0),"SKIPPED - NONPOSITIVE",IF(OR(M2115&lt;L2115,N2115&lt;L2115),"SKIPPED - BELOW MIN",IF(OR(M2115&gt;J2115,N2115&gt;K2115),"SKIPPED - EXCEEDS BASE",IF(COUNTIFS($M$2099:M2114,M2115,$N$2099:N2114,N2115)&gt;0,"SKIPPED - DUPLICATE","VALID - GENERATED"))))</f>
        <v>VALID - GENERATED</v>
      </c>
      <c r="I2115" s="10" t="s">
        <v>2426</v>
      </c>
      <c r="J2115" s="12">
        <f>'05-ISO Reference'!$B$28</f>
        <v>31</v>
      </c>
      <c r="K2115" s="12">
        <f>'05-ISO Reference'!$C$28</f>
        <v>44</v>
      </c>
      <c r="L2115" s="12">
        <f>'01-Process Controls'!$G$5</f>
        <v>3</v>
      </c>
      <c r="M2115" s="12">
        <f>ROUNDDOWN(J2115*'04-Variant Rules'!$D$21,0)</f>
        <v>15</v>
      </c>
      <c r="N2115" s="12">
        <f>ROUNDDOWN(K2115*'04-Variant Rules'!$E$21,0)</f>
        <v>11</v>
      </c>
      <c r="O2115" s="9">
        <v>16</v>
      </c>
    </row>
    <row r="2116" spans="1:15" ht="21" customHeight="1">
      <c r="A2116" s="9" t="s">
        <v>2443</v>
      </c>
      <c r="B2116" s="12">
        <f>IF(LEFT(H2116,5)="VALID",M2116,"")</f>
        <v>7</v>
      </c>
      <c r="C2116" s="12">
        <f>IF(LEFT(H2116,5)="VALID",N2116,"")</f>
        <v>22</v>
      </c>
      <c r="D2116" s="10" t="s">
        <v>82</v>
      </c>
      <c r="E2116" s="10" t="s">
        <v>2425</v>
      </c>
      <c r="F2116" s="10" t="s">
        <v>172</v>
      </c>
      <c r="G2116" s="10" t="s">
        <v>166</v>
      </c>
      <c r="H2116" s="11" t="str">
        <f>IF(OR(M2116&lt;=0,N2116&lt;=0),"SKIPPED - NONPOSITIVE",IF(OR(M2116&lt;L2116,N2116&lt;L2116),"SKIPPED - BELOW MIN",IF(OR(M2116&gt;J2116,N2116&gt;K2116),"SKIPPED - EXCEEDS BASE",IF(COUNTIFS($M$2099:M2115,M2116,$N$2099:N2115,N2116)&gt;0,"SKIPPED - DUPLICATE","VALID - GENERATED"))))</f>
        <v>VALID - GENERATED</v>
      </c>
      <c r="I2116" s="10" t="s">
        <v>2426</v>
      </c>
      <c r="J2116" s="12">
        <f>'05-ISO Reference'!$B$28</f>
        <v>31</v>
      </c>
      <c r="K2116" s="12">
        <f>'05-ISO Reference'!$C$28</f>
        <v>44</v>
      </c>
      <c r="L2116" s="12">
        <f>'01-Process Controls'!$G$5</f>
        <v>3</v>
      </c>
      <c r="M2116" s="12">
        <f>ROUNDDOWN(J2116*'04-Variant Rules'!$D$22,0)</f>
        <v>7</v>
      </c>
      <c r="N2116" s="12">
        <f>ROUNDDOWN(K2116*'04-Variant Rules'!$E$22,0)</f>
        <v>22</v>
      </c>
      <c r="O2116" s="9">
        <v>17</v>
      </c>
    </row>
    <row r="2117" spans="1:15" ht="21" customHeight="1">
      <c r="A2117" s="9" t="s">
        <v>2444</v>
      </c>
      <c r="B2117" s="12">
        <f>IF(LEFT(H2117,5)="VALID",M2117,"")</f>
        <v>20</v>
      </c>
      <c r="C2117" s="12">
        <f>IF(LEFT(H2117,5)="VALID",N2117,"")</f>
        <v>22</v>
      </c>
      <c r="D2117" s="10" t="s">
        <v>82</v>
      </c>
      <c r="E2117" s="10" t="s">
        <v>2425</v>
      </c>
      <c r="F2117" s="10" t="s">
        <v>174</v>
      </c>
      <c r="G2117" s="10" t="s">
        <v>166</v>
      </c>
      <c r="H2117" s="11" t="str">
        <f>IF(OR(M2117&lt;=0,N2117&lt;=0),"SKIPPED - NONPOSITIVE",IF(OR(M2117&lt;L2117,N2117&lt;L2117),"SKIPPED - BELOW MIN",IF(OR(M2117&gt;J2117,N2117&gt;K2117),"SKIPPED - EXCEEDS BASE",IF(COUNTIFS($M$2099:M2116,M2117,$N$2099:N2116,N2117)&gt;0,"SKIPPED - DUPLICATE","VALID - GENERATED"))))</f>
        <v>VALID - GENERATED</v>
      </c>
      <c r="I2117" s="10" t="s">
        <v>2426</v>
      </c>
      <c r="J2117" s="12">
        <f>'05-ISO Reference'!$B$28</f>
        <v>31</v>
      </c>
      <c r="K2117" s="12">
        <f>'05-ISO Reference'!$C$28</f>
        <v>44</v>
      </c>
      <c r="L2117" s="12">
        <f>'01-Process Controls'!$G$5</f>
        <v>3</v>
      </c>
      <c r="M2117" s="12">
        <f>ROUNDDOWN(J2117*'04-Variant Rules'!$D$23,0)</f>
        <v>20</v>
      </c>
      <c r="N2117" s="12">
        <f>ROUNDDOWN(K2117*'04-Variant Rules'!$E$23,0)</f>
        <v>22</v>
      </c>
      <c r="O2117" s="9">
        <v>18</v>
      </c>
    </row>
    <row r="2118" spans="1:15" ht="21" customHeight="1">
      <c r="A2118" s="9" t="s">
        <v>2445</v>
      </c>
      <c r="B2118" s="12">
        <f>IF(LEFT(H2118,5)="VALID",M2118,"")</f>
        <v>15</v>
      </c>
      <c r="C2118" s="12">
        <f>IF(LEFT(H2118,5)="VALID",N2118,"")</f>
        <v>29</v>
      </c>
      <c r="D2118" s="10" t="s">
        <v>82</v>
      </c>
      <c r="E2118" s="10" t="s">
        <v>2425</v>
      </c>
      <c r="F2118" s="10" t="s">
        <v>176</v>
      </c>
      <c r="G2118" s="10" t="s">
        <v>166</v>
      </c>
      <c r="H2118" s="11" t="str">
        <f>IF(OR(M2118&lt;=0,N2118&lt;=0),"SKIPPED - NONPOSITIVE",IF(OR(M2118&lt;L2118,N2118&lt;L2118),"SKIPPED - BELOW MIN",IF(OR(M2118&gt;J2118,N2118&gt;K2118),"SKIPPED - EXCEEDS BASE",IF(COUNTIFS($M$2099:M2117,M2118,$N$2099:N2117,N2118)&gt;0,"SKIPPED - DUPLICATE","VALID - GENERATED"))))</f>
        <v>VALID - GENERATED</v>
      </c>
      <c r="I2118" s="10" t="s">
        <v>2426</v>
      </c>
      <c r="J2118" s="12">
        <f>'05-ISO Reference'!$B$28</f>
        <v>31</v>
      </c>
      <c r="K2118" s="12">
        <f>'05-ISO Reference'!$C$28</f>
        <v>44</v>
      </c>
      <c r="L2118" s="12">
        <f>'01-Process Controls'!$G$5</f>
        <v>3</v>
      </c>
      <c r="M2118" s="12">
        <f>ROUNDDOWN(J2118*'04-Variant Rules'!$D$24,0)</f>
        <v>15</v>
      </c>
      <c r="N2118" s="12">
        <f>ROUNDDOWN(K2118*'04-Variant Rules'!$E$24,0)</f>
        <v>29</v>
      </c>
      <c r="O2118" s="9">
        <v>19</v>
      </c>
    </row>
    <row r="2119" spans="1:15" ht="21" customHeight="1">
      <c r="A2119" s="9" t="s">
        <v>2446</v>
      </c>
      <c r="B2119" s="12">
        <f>IF(LEFT(H2119,5)="VALID",M2119,"")</f>
        <v>23</v>
      </c>
      <c r="C2119" s="12">
        <f>IF(LEFT(H2119,5)="VALID",N2119,"")</f>
        <v>22</v>
      </c>
      <c r="D2119" s="10" t="s">
        <v>82</v>
      </c>
      <c r="E2119" s="10" t="s">
        <v>2425</v>
      </c>
      <c r="F2119" s="10" t="s">
        <v>178</v>
      </c>
      <c r="G2119" s="10" t="s">
        <v>166</v>
      </c>
      <c r="H2119" s="11" t="str">
        <f>IF(OR(M2119&lt;=0,N2119&lt;=0),"SKIPPED - NONPOSITIVE",IF(OR(M2119&lt;L2119,N2119&lt;L2119),"SKIPPED - BELOW MIN",IF(OR(M2119&gt;J2119,N2119&gt;K2119),"SKIPPED - EXCEEDS BASE",IF(COUNTIFS($M$2099:M2118,M2119,$N$2099:N2118,N2119)&gt;0,"SKIPPED - DUPLICATE","VALID - GENERATED"))))</f>
        <v>VALID - GENERATED</v>
      </c>
      <c r="I2119" s="10" t="s">
        <v>2426</v>
      </c>
      <c r="J2119" s="12">
        <f>'05-ISO Reference'!$B$28</f>
        <v>31</v>
      </c>
      <c r="K2119" s="12">
        <f>'05-ISO Reference'!$C$28</f>
        <v>44</v>
      </c>
      <c r="L2119" s="12">
        <f>'01-Process Controls'!$G$5</f>
        <v>3</v>
      </c>
      <c r="M2119" s="12">
        <f>ROUNDDOWN(J2119*'04-Variant Rules'!$D$25,0)</f>
        <v>23</v>
      </c>
      <c r="N2119" s="12">
        <f>ROUNDDOWN(K2119*'04-Variant Rules'!$E$25,0)</f>
        <v>22</v>
      </c>
      <c r="O2119" s="9">
        <v>20</v>
      </c>
    </row>
    <row r="2120" spans="1:15" ht="21" customHeight="1">
      <c r="A2120" s="9" t="s">
        <v>2447</v>
      </c>
      <c r="B2120" s="12">
        <f>IF(LEFT(H2120,5)="VALID",M2120,"")</f>
        <v>15</v>
      </c>
      <c r="C2120" s="12">
        <f>IF(LEFT(H2120,5)="VALID",N2120,"")</f>
        <v>33</v>
      </c>
      <c r="D2120" s="10" t="s">
        <v>82</v>
      </c>
      <c r="E2120" s="10" t="s">
        <v>2425</v>
      </c>
      <c r="F2120" s="10" t="s">
        <v>180</v>
      </c>
      <c r="G2120" s="10" t="s">
        <v>166</v>
      </c>
      <c r="H2120" s="11" t="str">
        <f>IF(OR(M2120&lt;=0,N2120&lt;=0),"SKIPPED - NONPOSITIVE",IF(OR(M2120&lt;L2120,N2120&lt;L2120),"SKIPPED - BELOW MIN",IF(OR(M2120&gt;J2120,N2120&gt;K2120),"SKIPPED - EXCEEDS BASE",IF(COUNTIFS($M$2099:M2119,M2120,$N$2099:N2119,N2120)&gt;0,"SKIPPED - DUPLICATE","VALID - GENERATED"))))</f>
        <v>VALID - GENERATED</v>
      </c>
      <c r="I2120" s="10" t="s">
        <v>2426</v>
      </c>
      <c r="J2120" s="12">
        <f>'05-ISO Reference'!$B$28</f>
        <v>31</v>
      </c>
      <c r="K2120" s="12">
        <f>'05-ISO Reference'!$C$28</f>
        <v>44</v>
      </c>
      <c r="L2120" s="12">
        <f>'01-Process Controls'!$G$5</f>
        <v>3</v>
      </c>
      <c r="M2120" s="12">
        <f>ROUNDDOWN(J2120*'04-Variant Rules'!$D$26,0)</f>
        <v>15</v>
      </c>
      <c r="N2120" s="12">
        <f>ROUNDDOWN(K2120*'04-Variant Rules'!$E$26,0)</f>
        <v>33</v>
      </c>
      <c r="O2120" s="9">
        <v>21</v>
      </c>
    </row>
    <row r="2121" spans="1:15" ht="21" customHeight="1">
      <c r="A2121" s="9" t="s">
        <v>2448</v>
      </c>
      <c r="B2121" s="12">
        <f>IF(LEFT(H2121,5)="VALID",M2121,"")</f>
        <v>29</v>
      </c>
      <c r="C2121" s="12">
        <f>IF(LEFT(H2121,5)="VALID",N2121,"")</f>
        <v>41</v>
      </c>
      <c r="D2121" s="10" t="s">
        <v>82</v>
      </c>
      <c r="E2121" s="10" t="s">
        <v>2425</v>
      </c>
      <c r="F2121" s="10" t="s">
        <v>182</v>
      </c>
      <c r="G2121" s="10" t="s">
        <v>183</v>
      </c>
      <c r="H2121" s="11" t="str">
        <f>IF(OR(M2121&lt;=0,N2121&lt;=0),"SKIPPED - NONPOSITIVE",IF(OR(M2121&lt;L2121,N2121&lt;L2121),"SKIPPED - BELOW MIN",IF(OR(M2121&gt;J2121,N2121&gt;K2121),"SKIPPED - EXCEEDS BASE",IF(COUNTIFS($M$2099:M2120,M2121,$N$2099:N2120,N2121)&gt;0,"SKIPPED - DUPLICATE","VALID - GENERATED"))))</f>
        <v>VALID - GENERATED</v>
      </c>
      <c r="I2121" s="10" t="s">
        <v>2426</v>
      </c>
      <c r="J2121" s="12">
        <f>'05-ISO Reference'!$B$28</f>
        <v>31</v>
      </c>
      <c r="K2121" s="12">
        <f>'05-ISO Reference'!$C$28</f>
        <v>44</v>
      </c>
      <c r="L2121" s="12">
        <f>'01-Process Controls'!$G$5</f>
        <v>3</v>
      </c>
      <c r="M2121" s="12">
        <f>ROUNDDOWN(J2121*'04-Variant Rules'!$D$27,0)</f>
        <v>29</v>
      </c>
      <c r="N2121" s="12">
        <f>ROUNDDOWN(K2121*'04-Variant Rules'!$E$27,0)</f>
        <v>41</v>
      </c>
      <c r="O2121" s="9">
        <v>22</v>
      </c>
    </row>
    <row r="2122" spans="1:15" ht="21" customHeight="1">
      <c r="A2122" s="9" t="s">
        <v>2449</v>
      </c>
      <c r="B2122" s="12">
        <f>IF(LEFT(H2122,5)="VALID",M2122,"")</f>
        <v>27</v>
      </c>
      <c r="C2122" s="12">
        <f>IF(LEFT(H2122,5)="VALID",N2122,"")</f>
        <v>39</v>
      </c>
      <c r="D2122" s="10" t="s">
        <v>82</v>
      </c>
      <c r="E2122" s="10" t="s">
        <v>2425</v>
      </c>
      <c r="F2122" s="10" t="s">
        <v>185</v>
      </c>
      <c r="G2122" s="10" t="s">
        <v>186</v>
      </c>
      <c r="H2122" s="11" t="str">
        <f>IF(OR(M2122&lt;=0,N2122&lt;=0),"SKIPPED - NONPOSITIVE",IF(OR(M2122&lt;L2122,N2122&lt;L2122),"SKIPPED - BELOW MIN",IF(OR(M2122&gt;J2122,N2122&gt;K2122),"SKIPPED - EXCEEDS BASE",IF(COUNTIFS($M$2099:M2121,M2122,$N$2099:N2121,N2122)&gt;0,"SKIPPED - DUPLICATE","VALID - GENERATED"))))</f>
        <v>VALID - GENERATED</v>
      </c>
      <c r="I2122" s="10" t="s">
        <v>2426</v>
      </c>
      <c r="J2122" s="12">
        <f>'05-ISO Reference'!$B$28</f>
        <v>31</v>
      </c>
      <c r="K2122" s="12">
        <f>'05-ISO Reference'!$C$28</f>
        <v>44</v>
      </c>
      <c r="L2122" s="12">
        <f>'01-Process Controls'!$G$5</f>
        <v>3</v>
      </c>
      <c r="M2122" s="12">
        <f>ROUNDDOWN(J2122*'04-Variant Rules'!$D$28,0)</f>
        <v>27</v>
      </c>
      <c r="N2122" s="12">
        <f>ROUNDDOWN(K2122*'04-Variant Rules'!$E$28,0)</f>
        <v>39</v>
      </c>
      <c r="O2122" s="9">
        <v>23</v>
      </c>
    </row>
    <row r="2123" spans="1:15" ht="21" customHeight="1">
      <c r="A2123" s="9" t="s">
        <v>2450</v>
      </c>
      <c r="B2123" s="12">
        <f>IF(LEFT(H2123,5)="VALID",M2123,"")</f>
        <v>26</v>
      </c>
      <c r="C2123" s="12">
        <f>IF(LEFT(H2123,5)="VALID",N2123,"")</f>
        <v>37</v>
      </c>
      <c r="D2123" s="10" t="s">
        <v>82</v>
      </c>
      <c r="E2123" s="10" t="s">
        <v>2425</v>
      </c>
      <c r="F2123" s="10" t="s">
        <v>188</v>
      </c>
      <c r="G2123" s="10" t="s">
        <v>186</v>
      </c>
      <c r="H2123" s="11" t="str">
        <f>IF(OR(M2123&lt;=0,N2123&lt;=0),"SKIPPED - NONPOSITIVE",IF(OR(M2123&lt;L2123,N2123&lt;L2123),"SKIPPED - BELOW MIN",IF(OR(M2123&gt;J2123,N2123&gt;K2123),"SKIPPED - EXCEEDS BASE",IF(COUNTIFS($M$2099:M2122,M2123,$N$2099:N2122,N2123)&gt;0,"SKIPPED - DUPLICATE","VALID - GENERATED"))))</f>
        <v>VALID - GENERATED</v>
      </c>
      <c r="I2123" s="10" t="s">
        <v>2426</v>
      </c>
      <c r="J2123" s="12">
        <f>'05-ISO Reference'!$B$28</f>
        <v>31</v>
      </c>
      <c r="K2123" s="12">
        <f>'05-ISO Reference'!$C$28</f>
        <v>44</v>
      </c>
      <c r="L2123" s="12">
        <f>'01-Process Controls'!$G$5</f>
        <v>3</v>
      </c>
      <c r="M2123" s="12">
        <f>ROUNDDOWN(J2123*'04-Variant Rules'!$D$29,0)</f>
        <v>26</v>
      </c>
      <c r="N2123" s="12">
        <f>ROUNDDOWN(K2123*'04-Variant Rules'!$E$29,0)</f>
        <v>37</v>
      </c>
      <c r="O2123" s="9">
        <v>24</v>
      </c>
    </row>
    <row r="2124" spans="1:15" ht="21" customHeight="1">
      <c r="A2124" s="9" t="s">
        <v>2451</v>
      </c>
      <c r="B2124" s="12">
        <f>IF(LEFT(H2124,5)="VALID",M2124,"")</f>
        <v>24</v>
      </c>
      <c r="C2124" s="12">
        <f>IF(LEFT(H2124,5)="VALID",N2124,"")</f>
        <v>35</v>
      </c>
      <c r="D2124" s="10" t="s">
        <v>82</v>
      </c>
      <c r="E2124" s="10" t="s">
        <v>2425</v>
      </c>
      <c r="F2124" s="10" t="s">
        <v>190</v>
      </c>
      <c r="G2124" s="10" t="s">
        <v>186</v>
      </c>
      <c r="H2124" s="11" t="str">
        <f>IF(OR(M2124&lt;=0,N2124&lt;=0),"SKIPPED - NONPOSITIVE",IF(OR(M2124&lt;L2124,N2124&lt;L2124),"SKIPPED - BELOW MIN",IF(OR(M2124&gt;J2124,N2124&gt;K2124),"SKIPPED - EXCEEDS BASE",IF(COUNTIFS($M$2099:M2123,M2124,$N$2099:N2123,N2124)&gt;0,"SKIPPED - DUPLICATE","VALID - GENERATED"))))</f>
        <v>VALID - GENERATED</v>
      </c>
      <c r="I2124" s="10" t="s">
        <v>2426</v>
      </c>
      <c r="J2124" s="12">
        <f>'05-ISO Reference'!$B$28</f>
        <v>31</v>
      </c>
      <c r="K2124" s="12">
        <f>'05-ISO Reference'!$C$28</f>
        <v>44</v>
      </c>
      <c r="L2124" s="12">
        <f>'01-Process Controls'!$G$5</f>
        <v>3</v>
      </c>
      <c r="M2124" s="12">
        <f>ROUNDDOWN(J2124*'04-Variant Rules'!$D$30,0)</f>
        <v>24</v>
      </c>
      <c r="N2124" s="12">
        <f>ROUNDDOWN(K2124*'04-Variant Rules'!$E$30,0)</f>
        <v>35</v>
      </c>
      <c r="O2124" s="9">
        <v>25</v>
      </c>
    </row>
    <row r="2125" spans="1:15" ht="21" customHeight="1">
      <c r="A2125" s="9" t="s">
        <v>2452</v>
      </c>
      <c r="B2125" s="12">
        <f>IF(LEFT(H2125,5)="VALID",M2125,"")</f>
        <v>23</v>
      </c>
      <c r="C2125" s="12">
        <f>IF(LEFT(H2125,5)="VALID",N2125,"")</f>
        <v>33</v>
      </c>
      <c r="D2125" s="10" t="s">
        <v>82</v>
      </c>
      <c r="E2125" s="10" t="s">
        <v>2425</v>
      </c>
      <c r="F2125" s="10" t="s">
        <v>192</v>
      </c>
      <c r="G2125" s="10" t="s">
        <v>186</v>
      </c>
      <c r="H2125" s="11" t="str">
        <f>IF(OR(M2125&lt;=0,N2125&lt;=0),"SKIPPED - NONPOSITIVE",IF(OR(M2125&lt;L2125,N2125&lt;L2125),"SKIPPED - BELOW MIN",IF(OR(M2125&gt;J2125,N2125&gt;K2125),"SKIPPED - EXCEEDS BASE",IF(COUNTIFS($M$2099:M2124,M2125,$N$2099:N2124,N2125)&gt;0,"SKIPPED - DUPLICATE","VALID - GENERATED"))))</f>
        <v>VALID - GENERATED</v>
      </c>
      <c r="I2125" s="10" t="s">
        <v>2426</v>
      </c>
      <c r="J2125" s="12">
        <f>'05-ISO Reference'!$B$28</f>
        <v>31</v>
      </c>
      <c r="K2125" s="12">
        <f>'05-ISO Reference'!$C$28</f>
        <v>44</v>
      </c>
      <c r="L2125" s="12">
        <f>'01-Process Controls'!$G$5</f>
        <v>3</v>
      </c>
      <c r="M2125" s="12">
        <f>ROUNDDOWN(J2125*'04-Variant Rules'!$D$31,0)</f>
        <v>23</v>
      </c>
      <c r="N2125" s="12">
        <f>ROUNDDOWN(K2125*'04-Variant Rules'!$E$31,0)</f>
        <v>33</v>
      </c>
      <c r="O2125" s="9">
        <v>26</v>
      </c>
    </row>
    <row r="2126" spans="1:15" ht="21" customHeight="1">
      <c r="A2126" s="9" t="s">
        <v>2453</v>
      </c>
      <c r="B2126" s="12">
        <f>IF(LEFT(H2126,5)="VALID",M2126,"")</f>
        <v>21</v>
      </c>
      <c r="C2126" s="12">
        <f>IF(LEFT(H2126,5)="VALID",N2126,"")</f>
        <v>30</v>
      </c>
      <c r="D2126" s="10" t="s">
        <v>82</v>
      </c>
      <c r="E2126" s="10" t="s">
        <v>2425</v>
      </c>
      <c r="F2126" s="10" t="s">
        <v>194</v>
      </c>
      <c r="G2126" s="10" t="s">
        <v>186</v>
      </c>
      <c r="H2126" s="11" t="str">
        <f>IF(OR(M2126&lt;=0,N2126&lt;=0),"SKIPPED - NONPOSITIVE",IF(OR(M2126&lt;L2126,N2126&lt;L2126),"SKIPPED - BELOW MIN",IF(OR(M2126&gt;J2126,N2126&gt;K2126),"SKIPPED - EXCEEDS BASE",IF(COUNTIFS($M$2099:M2125,M2126,$N$2099:N2125,N2126)&gt;0,"SKIPPED - DUPLICATE","VALID - GENERATED"))))</f>
        <v>VALID - GENERATED</v>
      </c>
      <c r="I2126" s="10" t="s">
        <v>2426</v>
      </c>
      <c r="J2126" s="12">
        <f>'05-ISO Reference'!$B$28</f>
        <v>31</v>
      </c>
      <c r="K2126" s="12">
        <f>'05-ISO Reference'!$C$28</f>
        <v>44</v>
      </c>
      <c r="L2126" s="12">
        <f>'01-Process Controls'!$G$5</f>
        <v>3</v>
      </c>
      <c r="M2126" s="12">
        <f>ROUNDDOWN(J2126*'04-Variant Rules'!$D$32,0)</f>
        <v>21</v>
      </c>
      <c r="N2126" s="12">
        <f>ROUNDDOWN(K2126*'04-Variant Rules'!$E$32,0)</f>
        <v>30</v>
      </c>
      <c r="O2126" s="9">
        <v>27</v>
      </c>
    </row>
    <row r="2127" spans="1:15" ht="21" customHeight="1">
      <c r="A2127" s="9" t="s">
        <v>2454</v>
      </c>
      <c r="B2127" s="12">
        <f>IF(LEFT(H2127,5)="VALID",M2127,"")</f>
        <v>20</v>
      </c>
      <c r="C2127" s="12">
        <f>IF(LEFT(H2127,5)="VALID",N2127,"")</f>
        <v>29</v>
      </c>
      <c r="D2127" s="10" t="s">
        <v>82</v>
      </c>
      <c r="E2127" s="10" t="s">
        <v>2425</v>
      </c>
      <c r="F2127" s="10" t="s">
        <v>196</v>
      </c>
      <c r="G2127" s="10" t="s">
        <v>186</v>
      </c>
      <c r="H2127" s="11" t="str">
        <f>IF(OR(M2127&lt;=0,N2127&lt;=0),"SKIPPED - NONPOSITIVE",IF(OR(M2127&lt;L2127,N2127&lt;L2127),"SKIPPED - BELOW MIN",IF(OR(M2127&gt;J2127,N2127&gt;K2127),"SKIPPED - EXCEEDS BASE",IF(COUNTIFS($M$2099:M2126,M2127,$N$2099:N2126,N2127)&gt;0,"SKIPPED - DUPLICATE","VALID - GENERATED"))))</f>
        <v>VALID - GENERATED</v>
      </c>
      <c r="I2127" s="10" t="s">
        <v>2426</v>
      </c>
      <c r="J2127" s="12">
        <f>'05-ISO Reference'!$B$28</f>
        <v>31</v>
      </c>
      <c r="K2127" s="12">
        <f>'05-ISO Reference'!$C$28</f>
        <v>44</v>
      </c>
      <c r="L2127" s="12">
        <f>'01-Process Controls'!$G$5</f>
        <v>3</v>
      </c>
      <c r="M2127" s="12">
        <f>ROUNDDOWN(J2127*'04-Variant Rules'!$D$33,0)</f>
        <v>20</v>
      </c>
      <c r="N2127" s="12">
        <f>ROUNDDOWN(K2127*'04-Variant Rules'!$E$33,0)</f>
        <v>29</v>
      </c>
      <c r="O2127" s="9">
        <v>28</v>
      </c>
    </row>
    <row r="2128" spans="1:15" ht="21" customHeight="1">
      <c r="A2128" s="9" t="s">
        <v>2455</v>
      </c>
      <c r="B2128" s="12">
        <f>IF(LEFT(H2128,5)="VALID",M2128,"")</f>
        <v>18</v>
      </c>
      <c r="C2128" s="12">
        <f>IF(LEFT(H2128,5)="VALID",N2128,"")</f>
        <v>26</v>
      </c>
      <c r="D2128" s="10" t="s">
        <v>82</v>
      </c>
      <c r="E2128" s="10" t="s">
        <v>2425</v>
      </c>
      <c r="F2128" s="10" t="s">
        <v>198</v>
      </c>
      <c r="G2128" s="10" t="s">
        <v>186</v>
      </c>
      <c r="H2128" s="11" t="str">
        <f>IF(OR(M2128&lt;=0,N2128&lt;=0),"SKIPPED - NONPOSITIVE",IF(OR(M2128&lt;L2128,N2128&lt;L2128),"SKIPPED - BELOW MIN",IF(OR(M2128&gt;J2128,N2128&gt;K2128),"SKIPPED - EXCEEDS BASE",IF(COUNTIFS($M$2099:M2127,M2128,$N$2099:N2127,N2128)&gt;0,"SKIPPED - DUPLICATE","VALID - GENERATED"))))</f>
        <v>VALID - GENERATED</v>
      </c>
      <c r="I2128" s="10" t="s">
        <v>2426</v>
      </c>
      <c r="J2128" s="12">
        <f>'05-ISO Reference'!$B$28</f>
        <v>31</v>
      </c>
      <c r="K2128" s="12">
        <f>'05-ISO Reference'!$C$28</f>
        <v>44</v>
      </c>
      <c r="L2128" s="12">
        <f>'01-Process Controls'!$G$5</f>
        <v>3</v>
      </c>
      <c r="M2128" s="12">
        <f>ROUNDDOWN(J2128*'04-Variant Rules'!$D$34,0)</f>
        <v>18</v>
      </c>
      <c r="N2128" s="12">
        <f>ROUNDDOWN(K2128*'04-Variant Rules'!$E$34,0)</f>
        <v>26</v>
      </c>
      <c r="O2128" s="9">
        <v>29</v>
      </c>
    </row>
    <row r="2129" spans="1:15" ht="21" customHeight="1">
      <c r="A2129" s="9" t="s">
        <v>2456</v>
      </c>
      <c r="B2129" s="12">
        <f>IF(LEFT(H2129,5)="VALID",M2129,"")</f>
        <v>17</v>
      </c>
      <c r="C2129" s="12">
        <f>IF(LEFT(H2129,5)="VALID",N2129,"")</f>
        <v>24</v>
      </c>
      <c r="D2129" s="10" t="s">
        <v>82</v>
      </c>
      <c r="E2129" s="10" t="s">
        <v>2425</v>
      </c>
      <c r="F2129" s="10" t="s">
        <v>200</v>
      </c>
      <c r="G2129" s="10" t="s">
        <v>186</v>
      </c>
      <c r="H2129" s="11" t="str">
        <f>IF(OR(M2129&lt;=0,N2129&lt;=0),"SKIPPED - NONPOSITIVE",IF(OR(M2129&lt;L2129,N2129&lt;L2129),"SKIPPED - BELOW MIN",IF(OR(M2129&gt;J2129,N2129&gt;K2129),"SKIPPED - EXCEEDS BASE",IF(COUNTIFS($M$2099:M2128,M2129,$N$2099:N2128,N2129)&gt;0,"SKIPPED - DUPLICATE","VALID - GENERATED"))))</f>
        <v>VALID - GENERATED</v>
      </c>
      <c r="I2129" s="10" t="s">
        <v>2426</v>
      </c>
      <c r="J2129" s="12">
        <f>'05-ISO Reference'!$B$28</f>
        <v>31</v>
      </c>
      <c r="K2129" s="12">
        <f>'05-ISO Reference'!$C$28</f>
        <v>44</v>
      </c>
      <c r="L2129" s="12">
        <f>'01-Process Controls'!$G$5</f>
        <v>3</v>
      </c>
      <c r="M2129" s="12">
        <f>ROUNDDOWN(J2129*'04-Variant Rules'!$D$35,0)</f>
        <v>17</v>
      </c>
      <c r="N2129" s="12">
        <f>ROUNDDOWN(K2129*'04-Variant Rules'!$E$35,0)</f>
        <v>24</v>
      </c>
      <c r="O2129" s="9">
        <v>30</v>
      </c>
    </row>
    <row r="2130" spans="1:15" ht="21" customHeight="1">
      <c r="A2130" s="9" t="s">
        <v>2457</v>
      </c>
      <c r="B2130" s="12">
        <f>IF(LEFT(H2130,5)="VALID",M2130,"")</f>
        <v>13</v>
      </c>
      <c r="C2130" s="12">
        <f>IF(LEFT(H2130,5)="VALID",N2130,"")</f>
        <v>19</v>
      </c>
      <c r="D2130" s="10" t="s">
        <v>82</v>
      </c>
      <c r="E2130" s="10" t="s">
        <v>2425</v>
      </c>
      <c r="F2130" s="10" t="s">
        <v>202</v>
      </c>
      <c r="G2130" s="10" t="s">
        <v>186</v>
      </c>
      <c r="H2130" s="11" t="str">
        <f>IF(OR(M2130&lt;=0,N2130&lt;=0),"SKIPPED - NONPOSITIVE",IF(OR(M2130&lt;L2130,N2130&lt;L2130),"SKIPPED - BELOW MIN",IF(OR(M2130&gt;J2130,N2130&gt;K2130),"SKIPPED - EXCEEDS BASE",IF(COUNTIFS($M$2099:M2129,M2130,$N$2099:N2129,N2130)&gt;0,"SKIPPED - DUPLICATE","VALID - GENERATED"))))</f>
        <v>VALID - GENERATED</v>
      </c>
      <c r="I2130" s="10" t="s">
        <v>2426</v>
      </c>
      <c r="J2130" s="12">
        <f>'05-ISO Reference'!$B$28</f>
        <v>31</v>
      </c>
      <c r="K2130" s="12">
        <f>'05-ISO Reference'!$C$28</f>
        <v>44</v>
      </c>
      <c r="L2130" s="12">
        <f>'01-Process Controls'!$G$5</f>
        <v>3</v>
      </c>
      <c r="M2130" s="12">
        <f>ROUNDDOWN(J2130*'04-Variant Rules'!$D$36,0)</f>
        <v>13</v>
      </c>
      <c r="N2130" s="12">
        <f>ROUNDDOWN(K2130*'04-Variant Rules'!$E$36,0)</f>
        <v>19</v>
      </c>
      <c r="O2130" s="9">
        <v>31</v>
      </c>
    </row>
    <row r="2131" spans="1:15" ht="21" customHeight="1">
      <c r="A2131" s="9" t="s">
        <v>2458</v>
      </c>
      <c r="B2131" s="12">
        <f>IF(LEFT(H2131,5)="VALID",M2131,"")</f>
        <v>12</v>
      </c>
      <c r="C2131" s="12">
        <f>IF(LEFT(H2131,5)="VALID",N2131,"")</f>
        <v>17</v>
      </c>
      <c r="D2131" s="10" t="s">
        <v>82</v>
      </c>
      <c r="E2131" s="10" t="s">
        <v>2425</v>
      </c>
      <c r="F2131" s="10" t="s">
        <v>204</v>
      </c>
      <c r="G2131" s="10" t="s">
        <v>186</v>
      </c>
      <c r="H2131" s="11" t="str">
        <f>IF(OR(M2131&lt;=0,N2131&lt;=0),"SKIPPED - NONPOSITIVE",IF(OR(M2131&lt;L2131,N2131&lt;L2131),"SKIPPED - BELOW MIN",IF(OR(M2131&gt;J2131,N2131&gt;K2131),"SKIPPED - EXCEEDS BASE",IF(COUNTIFS($M$2099:M2130,M2131,$N$2099:N2130,N2131)&gt;0,"SKIPPED - DUPLICATE","VALID - GENERATED"))))</f>
        <v>VALID - GENERATED</v>
      </c>
      <c r="I2131" s="10" t="s">
        <v>2426</v>
      </c>
      <c r="J2131" s="12">
        <f>'05-ISO Reference'!$B$28</f>
        <v>31</v>
      </c>
      <c r="K2131" s="12">
        <f>'05-ISO Reference'!$C$28</f>
        <v>44</v>
      </c>
      <c r="L2131" s="12">
        <f>'01-Process Controls'!$G$5</f>
        <v>3</v>
      </c>
      <c r="M2131" s="12">
        <f>ROUNDDOWN(J2131*'04-Variant Rules'!$D$37,0)</f>
        <v>12</v>
      </c>
      <c r="N2131" s="12">
        <f>ROUNDDOWN(K2131*'04-Variant Rules'!$E$37,0)</f>
        <v>17</v>
      </c>
      <c r="O2131" s="9">
        <v>32</v>
      </c>
    </row>
    <row r="2132" spans="1:15" ht="21" customHeight="1">
      <c r="A2132" s="9" t="s">
        <v>2459</v>
      </c>
      <c r="B2132" s="12">
        <f>IF(LEFT(H2132,5)="VALID",M2132,"")</f>
        <v>10</v>
      </c>
      <c r="C2132" s="12">
        <f>IF(LEFT(H2132,5)="VALID",N2132,"")</f>
        <v>15</v>
      </c>
      <c r="D2132" s="10" t="s">
        <v>82</v>
      </c>
      <c r="E2132" s="10" t="s">
        <v>2425</v>
      </c>
      <c r="F2132" s="10" t="s">
        <v>206</v>
      </c>
      <c r="G2132" s="10" t="s">
        <v>186</v>
      </c>
      <c r="H2132" s="11" t="str">
        <f>IF(OR(M2132&lt;=0,N2132&lt;=0),"SKIPPED - NONPOSITIVE",IF(OR(M2132&lt;L2132,N2132&lt;L2132),"SKIPPED - BELOW MIN",IF(OR(M2132&gt;J2132,N2132&gt;K2132),"SKIPPED - EXCEEDS BASE",IF(COUNTIFS($M$2099:M2131,M2132,$N$2099:N2131,N2132)&gt;0,"SKIPPED - DUPLICATE","VALID - GENERATED"))))</f>
        <v>VALID - GENERATED</v>
      </c>
      <c r="I2132" s="10" t="s">
        <v>2426</v>
      </c>
      <c r="J2132" s="12">
        <f>'05-ISO Reference'!$B$28</f>
        <v>31</v>
      </c>
      <c r="K2132" s="12">
        <f>'05-ISO Reference'!$C$28</f>
        <v>44</v>
      </c>
      <c r="L2132" s="12">
        <f>'01-Process Controls'!$G$5</f>
        <v>3</v>
      </c>
      <c r="M2132" s="12">
        <f>ROUNDDOWN(J2132*'04-Variant Rules'!$D$38,0)</f>
        <v>10</v>
      </c>
      <c r="N2132" s="12">
        <f>ROUNDDOWN(K2132*'04-Variant Rules'!$E$38,0)</f>
        <v>15</v>
      </c>
      <c r="O2132" s="9">
        <v>33</v>
      </c>
    </row>
    <row r="2133" spans="1:15" ht="21" customHeight="1">
      <c r="A2133" s="9" t="s">
        <v>2460</v>
      </c>
      <c r="B2133" s="12">
        <f>IF(LEFT(H2133,5)="VALID",M2133,"")</f>
        <v>9</v>
      </c>
      <c r="C2133" s="12">
        <f>IF(LEFT(H2133,5)="VALID",N2133,"")</f>
        <v>13</v>
      </c>
      <c r="D2133" s="10" t="s">
        <v>82</v>
      </c>
      <c r="E2133" s="10" t="s">
        <v>2425</v>
      </c>
      <c r="F2133" s="10" t="s">
        <v>208</v>
      </c>
      <c r="G2133" s="10" t="s">
        <v>186</v>
      </c>
      <c r="H2133" s="11" t="str">
        <f>IF(OR(M2133&lt;=0,N2133&lt;=0),"SKIPPED - NONPOSITIVE",IF(OR(M2133&lt;L2133,N2133&lt;L2133),"SKIPPED - BELOW MIN",IF(OR(M2133&gt;J2133,N2133&gt;K2133),"SKIPPED - EXCEEDS BASE",IF(COUNTIFS($M$2099:M2132,M2133,$N$2099:N2132,N2133)&gt;0,"SKIPPED - DUPLICATE","VALID - GENERATED"))))</f>
        <v>VALID - GENERATED</v>
      </c>
      <c r="I2133" s="10" t="s">
        <v>2426</v>
      </c>
      <c r="J2133" s="12">
        <f>'05-ISO Reference'!$B$28</f>
        <v>31</v>
      </c>
      <c r="K2133" s="12">
        <f>'05-ISO Reference'!$C$28</f>
        <v>44</v>
      </c>
      <c r="L2133" s="12">
        <f>'01-Process Controls'!$G$5</f>
        <v>3</v>
      </c>
      <c r="M2133" s="12">
        <f>ROUNDDOWN(J2133*'04-Variant Rules'!$D$39,0)</f>
        <v>9</v>
      </c>
      <c r="N2133" s="12">
        <f>ROUNDDOWN(K2133*'04-Variant Rules'!$E$39,0)</f>
        <v>13</v>
      </c>
      <c r="O2133" s="9">
        <v>34</v>
      </c>
    </row>
    <row r="2134" spans="1:15" ht="21" customHeight="1">
      <c r="A2134" s="9" t="s">
        <v>2461</v>
      </c>
      <c r="B2134" s="12">
        <f>IF(LEFT(H2134,5)="VALID",M2134,"")</f>
        <v>6</v>
      </c>
      <c r="C2134" s="12">
        <f>IF(LEFT(H2134,5)="VALID",N2134,"")</f>
        <v>8</v>
      </c>
      <c r="D2134" s="10" t="s">
        <v>82</v>
      </c>
      <c r="E2134" s="10" t="s">
        <v>2425</v>
      </c>
      <c r="F2134" s="10" t="s">
        <v>210</v>
      </c>
      <c r="G2134" s="10" t="s">
        <v>186</v>
      </c>
      <c r="H2134" s="11" t="str">
        <f>IF(OR(M2134&lt;=0,N2134&lt;=0),"SKIPPED - NONPOSITIVE",IF(OR(M2134&lt;L2134,N2134&lt;L2134),"SKIPPED - BELOW MIN",IF(OR(M2134&gt;J2134,N2134&gt;K2134),"SKIPPED - EXCEEDS BASE",IF(COUNTIFS($M$2099:M2133,M2134,$N$2099:N2133,N2134)&gt;0,"SKIPPED - DUPLICATE","VALID - GENERATED"))))</f>
        <v>VALID - GENERATED</v>
      </c>
      <c r="I2134" s="10" t="s">
        <v>2426</v>
      </c>
      <c r="J2134" s="12">
        <f>'05-ISO Reference'!$B$28</f>
        <v>31</v>
      </c>
      <c r="K2134" s="12">
        <f>'05-ISO Reference'!$C$28</f>
        <v>44</v>
      </c>
      <c r="L2134" s="12">
        <f>'01-Process Controls'!$G$5</f>
        <v>3</v>
      </c>
      <c r="M2134" s="12">
        <f>ROUNDDOWN(J2134*'04-Variant Rules'!$D$40,0)</f>
        <v>6</v>
      </c>
      <c r="N2134" s="12">
        <f>ROUNDDOWN(K2134*'04-Variant Rules'!$E$40,0)</f>
        <v>8</v>
      </c>
      <c r="O2134" s="9">
        <v>35</v>
      </c>
    </row>
    <row r="2135" spans="1:15" ht="21" customHeight="1">
      <c r="A2135" s="9" t="s">
        <v>2462</v>
      </c>
      <c r="B2135" s="12">
        <f>IF(LEFT(H2135,5)="VALID",M2135,"")</f>
        <v>4</v>
      </c>
      <c r="C2135" s="12">
        <f>IF(LEFT(H2135,5)="VALID",N2135,"")</f>
        <v>6</v>
      </c>
      <c r="D2135" s="10" t="s">
        <v>82</v>
      </c>
      <c r="E2135" s="10" t="s">
        <v>2425</v>
      </c>
      <c r="F2135" s="10" t="s">
        <v>212</v>
      </c>
      <c r="G2135" s="10" t="s">
        <v>213</v>
      </c>
      <c r="H2135" s="11" t="str">
        <f>IF(OR(M2135&lt;=0,N2135&lt;=0),"SKIPPED - NONPOSITIVE",IF(OR(M2135&lt;L2135,N2135&lt;L2135),"SKIPPED - BELOW MIN",IF(OR(M2135&gt;J2135,N2135&gt;K2135),"SKIPPED - EXCEEDS BASE",IF(COUNTIFS($M$2099:M2134,M2135,$N$2099:N2134,N2135)&gt;0,"SKIPPED - DUPLICATE","VALID - GENERATED"))))</f>
        <v>VALID - GENERATED</v>
      </c>
      <c r="I2135" s="10" t="s">
        <v>2426</v>
      </c>
      <c r="J2135" s="12">
        <f>'05-ISO Reference'!$B$28</f>
        <v>31</v>
      </c>
      <c r="K2135" s="12">
        <f>'05-ISO Reference'!$C$28</f>
        <v>44</v>
      </c>
      <c r="L2135" s="12">
        <f>'01-Process Controls'!$G$5</f>
        <v>3</v>
      </c>
      <c r="M2135" s="12">
        <f>ROUNDDOWN(J2135*'04-Variant Rules'!$D$41,0)</f>
        <v>4</v>
      </c>
      <c r="N2135" s="12">
        <f>ROUNDDOWN(K2135*'04-Variant Rules'!$E$41,0)</f>
        <v>6</v>
      </c>
      <c r="O2135" s="9">
        <v>36</v>
      </c>
    </row>
    <row r="2136" spans="1:15" ht="21" customHeight="1">
      <c r="A2136" s="9" t="s">
        <v>2463</v>
      </c>
      <c r="B2136" s="12">
        <f>IF(LEFT(H2136,5)="VALID",M2136,"")</f>
        <v>31</v>
      </c>
      <c r="C2136" s="12">
        <f>IF(LEFT(H2136,5)="VALID",N2136,"")</f>
        <v>31</v>
      </c>
      <c r="D2136" s="10" t="s">
        <v>82</v>
      </c>
      <c r="E2136" s="10" t="s">
        <v>2425</v>
      </c>
      <c r="F2136" s="10" t="s">
        <v>215</v>
      </c>
      <c r="G2136" s="10" t="s">
        <v>216</v>
      </c>
      <c r="H2136" s="11" t="str">
        <f>IF(OR(M2136&lt;=0,N2136&lt;=0),"SKIPPED - NONPOSITIVE",IF(OR(M2136&lt;L2136,N2136&lt;L2136),"SKIPPED - BELOW MIN",IF(OR(M2136&gt;J2136,N2136&gt;K2136),"SKIPPED - EXCEEDS BASE",IF(COUNTIFS($M$2099:M2135,M2136,$N$2099:N2135,N2136)&gt;0,"SKIPPED - DUPLICATE","VALID - GENERATED"))))</f>
        <v>VALID - GENERATED</v>
      </c>
      <c r="I2136" s="10" t="s">
        <v>2426</v>
      </c>
      <c r="J2136" s="12">
        <f>'05-ISO Reference'!$B$28</f>
        <v>31</v>
      </c>
      <c r="K2136" s="12">
        <f>'05-ISO Reference'!$C$28</f>
        <v>44</v>
      </c>
      <c r="L2136" s="12">
        <f>'01-Process Controls'!$G$5</f>
        <v>3</v>
      </c>
      <c r="M2136" s="12">
        <f>ROUNDDOWN(MIN(J2136,K2136)*'04-Variant Rules'!$D$42,0)</f>
        <v>31</v>
      </c>
      <c r="N2136" s="12">
        <f>ROUNDDOWN(MIN(J2136,K2136)*'04-Variant Rules'!$D$42,0)</f>
        <v>31</v>
      </c>
      <c r="O2136" s="9">
        <v>37</v>
      </c>
    </row>
    <row r="2137" spans="1:15" ht="21" customHeight="1">
      <c r="A2137" s="9" t="s">
        <v>2464</v>
      </c>
      <c r="B2137" s="12">
        <f>IF(LEFT(H2137,5)="VALID",M2137,"")</f>
        <v>27</v>
      </c>
      <c r="C2137" s="12">
        <f>IF(LEFT(H2137,5)="VALID",N2137,"")</f>
        <v>27</v>
      </c>
      <c r="D2137" s="10" t="s">
        <v>82</v>
      </c>
      <c r="E2137" s="10" t="s">
        <v>2425</v>
      </c>
      <c r="F2137" s="10" t="s">
        <v>218</v>
      </c>
      <c r="G2137" s="10" t="s">
        <v>219</v>
      </c>
      <c r="H2137" s="11" t="str">
        <f>IF(OR(M2137&lt;=0,N2137&lt;=0),"SKIPPED - NONPOSITIVE",IF(OR(M2137&lt;L2137,N2137&lt;L2137),"SKIPPED - BELOW MIN",IF(OR(M2137&gt;J2137,N2137&gt;K2137),"SKIPPED - EXCEEDS BASE",IF(COUNTIFS($M$2099:M2136,M2137,$N$2099:N2136,N2137)&gt;0,"SKIPPED - DUPLICATE","VALID - GENERATED"))))</f>
        <v>VALID - GENERATED</v>
      </c>
      <c r="I2137" s="10" t="s">
        <v>2426</v>
      </c>
      <c r="J2137" s="12">
        <f>'05-ISO Reference'!$B$28</f>
        <v>31</v>
      </c>
      <c r="K2137" s="12">
        <f>'05-ISO Reference'!$C$28</f>
        <v>44</v>
      </c>
      <c r="L2137" s="12">
        <f>'01-Process Controls'!$G$5</f>
        <v>3</v>
      </c>
      <c r="M2137" s="12">
        <f>ROUNDDOWN(MIN(J2137,K2137)*'04-Variant Rules'!$D$43,0)</f>
        <v>27</v>
      </c>
      <c r="N2137" s="12">
        <f>ROUNDDOWN(MIN(J2137,K2137)*'04-Variant Rules'!$D$43,0)</f>
        <v>27</v>
      </c>
      <c r="O2137" s="9">
        <v>38</v>
      </c>
    </row>
    <row r="2138" spans="1:15" ht="21" customHeight="1">
      <c r="A2138" s="9" t="s">
        <v>2465</v>
      </c>
      <c r="B2138" s="12">
        <f>IF(LEFT(H2138,5)="VALID",M2138,"")</f>
        <v>24</v>
      </c>
      <c r="C2138" s="12">
        <f>IF(LEFT(H2138,5)="VALID",N2138,"")</f>
        <v>24</v>
      </c>
      <c r="D2138" s="10" t="s">
        <v>82</v>
      </c>
      <c r="E2138" s="10" t="s">
        <v>2425</v>
      </c>
      <c r="F2138" s="10" t="s">
        <v>221</v>
      </c>
      <c r="G2138" s="10" t="s">
        <v>219</v>
      </c>
      <c r="H2138" s="11" t="str">
        <f>IF(OR(M2138&lt;=0,N2138&lt;=0),"SKIPPED - NONPOSITIVE",IF(OR(M2138&lt;L2138,N2138&lt;L2138),"SKIPPED - BELOW MIN",IF(OR(M2138&gt;J2138,N2138&gt;K2138),"SKIPPED - EXCEEDS BASE",IF(COUNTIFS($M$2099:M2137,M2138,$N$2099:N2137,N2138)&gt;0,"SKIPPED - DUPLICATE","VALID - GENERATED"))))</f>
        <v>VALID - GENERATED</v>
      </c>
      <c r="I2138" s="10" t="s">
        <v>2426</v>
      </c>
      <c r="J2138" s="12">
        <f>'05-ISO Reference'!$B$28</f>
        <v>31</v>
      </c>
      <c r="K2138" s="12">
        <f>'05-ISO Reference'!$C$28</f>
        <v>44</v>
      </c>
      <c r="L2138" s="12">
        <f>'01-Process Controls'!$G$5</f>
        <v>3</v>
      </c>
      <c r="M2138" s="12">
        <f>ROUNDDOWN(MIN(J2138,K2138)*'04-Variant Rules'!$D$44,0)</f>
        <v>24</v>
      </c>
      <c r="N2138" s="12">
        <f>ROUNDDOWN(MIN(J2138,K2138)*'04-Variant Rules'!$D$44,0)</f>
        <v>24</v>
      </c>
      <c r="O2138" s="9">
        <v>39</v>
      </c>
    </row>
    <row r="2139" spans="1:15" ht="21" customHeight="1">
      <c r="A2139" s="9" t="s">
        <v>2466</v>
      </c>
      <c r="B2139" s="12">
        <f>IF(LEFT(H2139,5)="VALID",M2139,"")</f>
        <v>23</v>
      </c>
      <c r="C2139" s="12">
        <f>IF(LEFT(H2139,5)="VALID",N2139,"")</f>
        <v>23</v>
      </c>
      <c r="D2139" s="10" t="s">
        <v>82</v>
      </c>
      <c r="E2139" s="10" t="s">
        <v>2425</v>
      </c>
      <c r="F2139" s="10" t="s">
        <v>223</v>
      </c>
      <c r="G2139" s="10" t="s">
        <v>219</v>
      </c>
      <c r="H2139" s="11" t="str">
        <f>IF(OR(M2139&lt;=0,N2139&lt;=0),"SKIPPED - NONPOSITIVE",IF(OR(M2139&lt;L2139,N2139&lt;L2139),"SKIPPED - BELOW MIN",IF(OR(M2139&gt;J2139,N2139&gt;K2139),"SKIPPED - EXCEEDS BASE",IF(COUNTIFS($M$2099:M2138,M2139,$N$2099:N2138,N2139)&gt;0,"SKIPPED - DUPLICATE","VALID - GENERATED"))))</f>
        <v>VALID - GENERATED</v>
      </c>
      <c r="I2139" s="10" t="s">
        <v>2426</v>
      </c>
      <c r="J2139" s="12">
        <f>'05-ISO Reference'!$B$28</f>
        <v>31</v>
      </c>
      <c r="K2139" s="12">
        <f>'05-ISO Reference'!$C$28</f>
        <v>44</v>
      </c>
      <c r="L2139" s="12">
        <f>'01-Process Controls'!$G$5</f>
        <v>3</v>
      </c>
      <c r="M2139" s="12">
        <f>ROUNDDOWN(MIN(J2139,K2139)*'04-Variant Rules'!$D$45,0)</f>
        <v>23</v>
      </c>
      <c r="N2139" s="12">
        <f>ROUNDDOWN(MIN(J2139,K2139)*'04-Variant Rules'!$D$45,0)</f>
        <v>23</v>
      </c>
      <c r="O2139" s="9">
        <v>40</v>
      </c>
    </row>
    <row r="2140" spans="1:15" ht="21" customHeight="1">
      <c r="A2140" s="9" t="s">
        <v>2467</v>
      </c>
      <c r="B2140" s="12">
        <f>IF(LEFT(H2140,5)="VALID",M2140,"")</f>
        <v>20</v>
      </c>
      <c r="C2140" s="12">
        <f>IF(LEFT(H2140,5)="VALID",N2140,"")</f>
        <v>20</v>
      </c>
      <c r="D2140" s="10" t="s">
        <v>82</v>
      </c>
      <c r="E2140" s="10" t="s">
        <v>2425</v>
      </c>
      <c r="F2140" s="10" t="s">
        <v>225</v>
      </c>
      <c r="G2140" s="10" t="s">
        <v>219</v>
      </c>
      <c r="H2140" s="11" t="str">
        <f>IF(OR(M2140&lt;=0,N2140&lt;=0),"SKIPPED - NONPOSITIVE",IF(OR(M2140&lt;L2140,N2140&lt;L2140),"SKIPPED - BELOW MIN",IF(OR(M2140&gt;J2140,N2140&gt;K2140),"SKIPPED - EXCEEDS BASE",IF(COUNTIFS($M$2099:M2139,M2140,$N$2099:N2139,N2140)&gt;0,"SKIPPED - DUPLICATE","VALID - GENERATED"))))</f>
        <v>VALID - GENERATED</v>
      </c>
      <c r="I2140" s="10" t="s">
        <v>2426</v>
      </c>
      <c r="J2140" s="12">
        <f>'05-ISO Reference'!$B$28</f>
        <v>31</v>
      </c>
      <c r="K2140" s="12">
        <f>'05-ISO Reference'!$C$28</f>
        <v>44</v>
      </c>
      <c r="L2140" s="12">
        <f>'01-Process Controls'!$G$5</f>
        <v>3</v>
      </c>
      <c r="M2140" s="12">
        <f>ROUNDDOWN(MIN(J2140,K2140)*'04-Variant Rules'!$D$46,0)</f>
        <v>20</v>
      </c>
      <c r="N2140" s="12">
        <f>ROUNDDOWN(MIN(J2140,K2140)*'04-Variant Rules'!$D$46,0)</f>
        <v>20</v>
      </c>
      <c r="O2140" s="9">
        <v>41</v>
      </c>
    </row>
    <row r="2141" spans="1:15" ht="21" customHeight="1">
      <c r="A2141" s="9" t="s">
        <v>2468</v>
      </c>
      <c r="B2141" s="12">
        <f>IF(LEFT(H2141,5)="VALID",M2141,"")</f>
        <v>18</v>
      </c>
      <c r="C2141" s="12">
        <f>IF(LEFT(H2141,5)="VALID",N2141,"")</f>
        <v>18</v>
      </c>
      <c r="D2141" s="10" t="s">
        <v>82</v>
      </c>
      <c r="E2141" s="10" t="s">
        <v>2425</v>
      </c>
      <c r="F2141" s="10" t="s">
        <v>227</v>
      </c>
      <c r="G2141" s="10" t="s">
        <v>219</v>
      </c>
      <c r="H2141" s="11" t="str">
        <f>IF(OR(M2141&lt;=0,N2141&lt;=0),"SKIPPED - NONPOSITIVE",IF(OR(M2141&lt;L2141,N2141&lt;L2141),"SKIPPED - BELOW MIN",IF(OR(M2141&gt;J2141,N2141&gt;K2141),"SKIPPED - EXCEEDS BASE",IF(COUNTIFS($M$2099:M2140,M2141,$N$2099:N2140,N2141)&gt;0,"SKIPPED - DUPLICATE","VALID - GENERATED"))))</f>
        <v>VALID - GENERATED</v>
      </c>
      <c r="I2141" s="10" t="s">
        <v>2426</v>
      </c>
      <c r="J2141" s="12">
        <f>'05-ISO Reference'!$B$28</f>
        <v>31</v>
      </c>
      <c r="K2141" s="12">
        <f>'05-ISO Reference'!$C$28</f>
        <v>44</v>
      </c>
      <c r="L2141" s="12">
        <f>'01-Process Controls'!$G$5</f>
        <v>3</v>
      </c>
      <c r="M2141" s="12">
        <f>ROUNDDOWN(MIN(J2141,K2141)*'04-Variant Rules'!$D$47,0)</f>
        <v>18</v>
      </c>
      <c r="N2141" s="12">
        <f>ROUNDDOWN(MIN(J2141,K2141)*'04-Variant Rules'!$D$47,0)</f>
        <v>18</v>
      </c>
      <c r="O2141" s="9">
        <v>42</v>
      </c>
    </row>
    <row r="2142" spans="1:15" ht="21" customHeight="1">
      <c r="A2142" s="9" t="s">
        <v>2469</v>
      </c>
      <c r="B2142" s="12">
        <f>IF(LEFT(H2142,5)="VALID",M2142,"")</f>
        <v>15</v>
      </c>
      <c r="C2142" s="12">
        <f>IF(LEFT(H2142,5)="VALID",N2142,"")</f>
        <v>15</v>
      </c>
      <c r="D2142" s="10" t="s">
        <v>82</v>
      </c>
      <c r="E2142" s="10" t="s">
        <v>2425</v>
      </c>
      <c r="F2142" s="10" t="s">
        <v>229</v>
      </c>
      <c r="G2142" s="10" t="s">
        <v>219</v>
      </c>
      <c r="H2142" s="11" t="str">
        <f>IF(OR(M2142&lt;=0,N2142&lt;=0),"SKIPPED - NONPOSITIVE",IF(OR(M2142&lt;L2142,N2142&lt;L2142),"SKIPPED - BELOW MIN",IF(OR(M2142&gt;J2142,N2142&gt;K2142),"SKIPPED - EXCEEDS BASE",IF(COUNTIFS($M$2099:M2141,M2142,$N$2099:N2141,N2142)&gt;0,"SKIPPED - DUPLICATE","VALID - GENERATED"))))</f>
        <v>VALID - GENERATED</v>
      </c>
      <c r="I2142" s="10" t="s">
        <v>2426</v>
      </c>
      <c r="J2142" s="12">
        <f>'05-ISO Reference'!$B$28</f>
        <v>31</v>
      </c>
      <c r="K2142" s="12">
        <f>'05-ISO Reference'!$C$28</f>
        <v>44</v>
      </c>
      <c r="L2142" s="12">
        <f>'01-Process Controls'!$G$5</f>
        <v>3</v>
      </c>
      <c r="M2142" s="12">
        <f>ROUNDDOWN(MIN(J2142,K2142)*'04-Variant Rules'!$D$48,0)</f>
        <v>15</v>
      </c>
      <c r="N2142" s="12">
        <f>ROUNDDOWN(MIN(J2142,K2142)*'04-Variant Rules'!$D$48,0)</f>
        <v>15</v>
      </c>
      <c r="O2142" s="9">
        <v>43</v>
      </c>
    </row>
    <row r="2143" spans="1:15" ht="21" customHeight="1">
      <c r="A2143" s="9" t="s">
        <v>2470</v>
      </c>
      <c r="B2143" s="12">
        <f>IF(LEFT(H2143,5)="VALID",M2143,"")</f>
        <v>12</v>
      </c>
      <c r="C2143" s="12">
        <f>IF(LEFT(H2143,5)="VALID",N2143,"")</f>
        <v>12</v>
      </c>
      <c r="D2143" s="10" t="s">
        <v>82</v>
      </c>
      <c r="E2143" s="10" t="s">
        <v>2425</v>
      </c>
      <c r="F2143" s="10" t="s">
        <v>231</v>
      </c>
      <c r="G2143" s="10" t="s">
        <v>219</v>
      </c>
      <c r="H2143" s="11" t="str">
        <f>IF(OR(M2143&lt;=0,N2143&lt;=0),"SKIPPED - NONPOSITIVE",IF(OR(M2143&lt;L2143,N2143&lt;L2143),"SKIPPED - BELOW MIN",IF(OR(M2143&gt;J2143,N2143&gt;K2143),"SKIPPED - EXCEEDS BASE",IF(COUNTIFS($M$2099:M2142,M2143,$N$2099:N2142,N2143)&gt;0,"SKIPPED - DUPLICATE","VALID - GENERATED"))))</f>
        <v>VALID - GENERATED</v>
      </c>
      <c r="I2143" s="10" t="s">
        <v>2426</v>
      </c>
      <c r="J2143" s="12">
        <f>'05-ISO Reference'!$B$28</f>
        <v>31</v>
      </c>
      <c r="K2143" s="12">
        <f>'05-ISO Reference'!$C$28</f>
        <v>44</v>
      </c>
      <c r="L2143" s="12">
        <f>'01-Process Controls'!$G$5</f>
        <v>3</v>
      </c>
      <c r="M2143" s="12">
        <f>ROUNDDOWN(MIN(J2143,K2143)*'04-Variant Rules'!$D$49,0)</f>
        <v>12</v>
      </c>
      <c r="N2143" s="12">
        <f>ROUNDDOWN(MIN(J2143,K2143)*'04-Variant Rules'!$D$49,0)</f>
        <v>12</v>
      </c>
      <c r="O2143" s="9">
        <v>44</v>
      </c>
    </row>
    <row r="2144" spans="1:15" ht="21" customHeight="1">
      <c r="A2144" s="9" t="s">
        <v>2471</v>
      </c>
      <c r="B2144" s="12">
        <f>IF(LEFT(H2144,5)="VALID",M2144,"")</f>
        <v>10</v>
      </c>
      <c r="C2144" s="12">
        <f>IF(LEFT(H2144,5)="VALID",N2144,"")</f>
        <v>10</v>
      </c>
      <c r="D2144" s="10" t="s">
        <v>82</v>
      </c>
      <c r="E2144" s="10" t="s">
        <v>2425</v>
      </c>
      <c r="F2144" s="10" t="s">
        <v>233</v>
      </c>
      <c r="G2144" s="10" t="s">
        <v>219</v>
      </c>
      <c r="H2144" s="11" t="str">
        <f>IF(OR(M2144&lt;=0,N2144&lt;=0),"SKIPPED - NONPOSITIVE",IF(OR(M2144&lt;L2144,N2144&lt;L2144),"SKIPPED - BELOW MIN",IF(OR(M2144&gt;J2144,N2144&gt;K2144),"SKIPPED - EXCEEDS BASE",IF(COUNTIFS($M$2099:M2143,M2144,$N$2099:N2143,N2144)&gt;0,"SKIPPED - DUPLICATE","VALID - GENERATED"))))</f>
        <v>VALID - GENERATED</v>
      </c>
      <c r="I2144" s="10" t="s">
        <v>2426</v>
      </c>
      <c r="J2144" s="12">
        <f>'05-ISO Reference'!$B$28</f>
        <v>31</v>
      </c>
      <c r="K2144" s="12">
        <f>'05-ISO Reference'!$C$28</f>
        <v>44</v>
      </c>
      <c r="L2144" s="12">
        <f>'01-Process Controls'!$G$5</f>
        <v>3</v>
      </c>
      <c r="M2144" s="12">
        <f>ROUNDDOWN(MIN(J2144,K2144)*'04-Variant Rules'!$D$50,0)</f>
        <v>10</v>
      </c>
      <c r="N2144" s="12">
        <f>ROUNDDOWN(MIN(J2144,K2144)*'04-Variant Rules'!$D$50,0)</f>
        <v>10</v>
      </c>
      <c r="O2144" s="9">
        <v>45</v>
      </c>
    </row>
    <row r="2145" spans="1:15" ht="21" customHeight="1">
      <c r="A2145" s="9" t="s">
        <v>2472</v>
      </c>
      <c r="B2145" s="12">
        <f>IF(LEFT(H2145,5)="VALID",M2145,"")</f>
        <v>7</v>
      </c>
      <c r="C2145" s="12">
        <f>IF(LEFT(H2145,5)="VALID",N2145,"")</f>
        <v>7</v>
      </c>
      <c r="D2145" s="10" t="s">
        <v>82</v>
      </c>
      <c r="E2145" s="10" t="s">
        <v>2425</v>
      </c>
      <c r="F2145" s="10" t="s">
        <v>235</v>
      </c>
      <c r="G2145" s="10" t="s">
        <v>219</v>
      </c>
      <c r="H2145" s="11" t="str">
        <f>IF(OR(M2145&lt;=0,N2145&lt;=0),"SKIPPED - NONPOSITIVE",IF(OR(M2145&lt;L2145,N2145&lt;L2145),"SKIPPED - BELOW MIN",IF(OR(M2145&gt;J2145,N2145&gt;K2145),"SKIPPED - EXCEEDS BASE",IF(COUNTIFS($M$2099:M2144,M2145,$N$2099:N2144,N2145)&gt;0,"SKIPPED - DUPLICATE","VALID - GENERATED"))))</f>
        <v>VALID - GENERATED</v>
      </c>
      <c r="I2145" s="10" t="s">
        <v>2426</v>
      </c>
      <c r="J2145" s="12">
        <f>'05-ISO Reference'!$B$28</f>
        <v>31</v>
      </c>
      <c r="K2145" s="12">
        <f>'05-ISO Reference'!$C$28</f>
        <v>44</v>
      </c>
      <c r="L2145" s="12">
        <f>'01-Process Controls'!$G$5</f>
        <v>3</v>
      </c>
      <c r="M2145" s="12">
        <f>ROUNDDOWN(MIN(J2145,K2145)*'04-Variant Rules'!$D$51,0)</f>
        <v>7</v>
      </c>
      <c r="N2145" s="12">
        <f>ROUNDDOWN(MIN(J2145,K2145)*'04-Variant Rules'!$D$51,0)</f>
        <v>7</v>
      </c>
      <c r="O2145" s="9">
        <v>46</v>
      </c>
    </row>
    <row r="2146" spans="1:15" ht="21" customHeight="1">
      <c r="A2146" s="9" t="s">
        <v>2473</v>
      </c>
      <c r="B2146" s="12">
        <f>IF(LEFT(H2146,5)="VALID",M2146,"")</f>
        <v>6</v>
      </c>
      <c r="C2146" s="12">
        <f>IF(LEFT(H2146,5)="VALID",N2146,"")</f>
        <v>6</v>
      </c>
      <c r="D2146" s="10" t="s">
        <v>82</v>
      </c>
      <c r="E2146" s="10" t="s">
        <v>2425</v>
      </c>
      <c r="F2146" s="10" t="s">
        <v>237</v>
      </c>
      <c r="G2146" s="10" t="s">
        <v>219</v>
      </c>
      <c r="H2146" s="11" t="str">
        <f>IF(OR(M2146&lt;=0,N2146&lt;=0),"SKIPPED - NONPOSITIVE",IF(OR(M2146&lt;L2146,N2146&lt;L2146),"SKIPPED - BELOW MIN",IF(OR(M2146&gt;J2146,N2146&gt;K2146),"SKIPPED - EXCEEDS BASE",IF(COUNTIFS($M$2099:M2145,M2146,$N$2099:N2145,N2146)&gt;0,"SKIPPED - DUPLICATE","VALID - GENERATED"))))</f>
        <v>VALID - GENERATED</v>
      </c>
      <c r="I2146" s="10" t="s">
        <v>2426</v>
      </c>
      <c r="J2146" s="12">
        <f>'05-ISO Reference'!$B$28</f>
        <v>31</v>
      </c>
      <c r="K2146" s="12">
        <f>'05-ISO Reference'!$C$28</f>
        <v>44</v>
      </c>
      <c r="L2146" s="12">
        <f>'01-Process Controls'!$G$5</f>
        <v>3</v>
      </c>
      <c r="M2146" s="12">
        <f>ROUNDDOWN(MIN(J2146,K2146)*'04-Variant Rules'!$D$52,0)</f>
        <v>6</v>
      </c>
      <c r="N2146" s="12">
        <f>ROUNDDOWN(MIN(J2146,K2146)*'04-Variant Rules'!$D$52,0)</f>
        <v>6</v>
      </c>
      <c r="O2146" s="9">
        <v>47</v>
      </c>
    </row>
    <row r="2147" spans="1:15" ht="21" customHeight="1">
      <c r="A2147" s="9" t="s">
        <v>2474</v>
      </c>
      <c r="B2147" s="12">
        <f>IF(LEFT(H2147,5)="VALID",M2147,"")</f>
        <v>31</v>
      </c>
      <c r="C2147" s="12">
        <f>IF(LEFT(H2147,5)="VALID",N2147,"")</f>
        <v>23</v>
      </c>
      <c r="D2147" s="10" t="s">
        <v>82</v>
      </c>
      <c r="E2147" s="10" t="s">
        <v>2425</v>
      </c>
      <c r="F2147" s="10" t="s">
        <v>239</v>
      </c>
      <c r="G2147" s="10" t="s">
        <v>240</v>
      </c>
      <c r="H2147" s="11" t="str">
        <f>IF(OR(M2147&lt;=0,N2147&lt;=0),"SKIPPED - NONPOSITIVE",IF(OR(M2147&lt;L2147,N2147&lt;L2147),"SKIPPED - BELOW MIN",IF(OR(M2147&gt;J2147,N2147&gt;K2147),"SKIPPED - EXCEEDS BASE",IF(COUNTIFS($M$2099:M2146,M2147,$N$2099:N2146,N2147)&gt;0,"SKIPPED - DUPLICATE","VALID - GENERATED"))))</f>
        <v>VALID - GENERATED</v>
      </c>
      <c r="I2147" s="10" t="s">
        <v>2426</v>
      </c>
      <c r="J2147" s="12">
        <f>'05-ISO Reference'!$B$28</f>
        <v>31</v>
      </c>
      <c r="K2147" s="12">
        <f>'05-ISO Reference'!$C$28</f>
        <v>44</v>
      </c>
      <c r="L2147" s="12">
        <f>'01-Process Controls'!$G$5</f>
        <v>3</v>
      </c>
      <c r="M2147" s="12">
        <f>ROUNDDOWN(MIN(J2147,K2147*'04-Variant Rules'!$D$53),0)</f>
        <v>31</v>
      </c>
      <c r="N2147" s="12">
        <f>ROUNDDOWN(M2147/'04-Variant Rules'!$D$53,0)</f>
        <v>23</v>
      </c>
      <c r="O2147" s="9">
        <v>48</v>
      </c>
    </row>
    <row r="2148" spans="1:15" ht="21" customHeight="1">
      <c r="A2148" s="9" t="s">
        <v>2475</v>
      </c>
      <c r="B2148" s="12">
        <f>IF(LEFT(H2148,5)="VALID",M2148,"")</f>
        <v>31</v>
      </c>
      <c r="C2148" s="12">
        <f>IF(LEFT(H2148,5)="VALID",N2148,"")</f>
        <v>41</v>
      </c>
      <c r="D2148" s="10" t="s">
        <v>82</v>
      </c>
      <c r="E2148" s="10" t="s">
        <v>2425</v>
      </c>
      <c r="F2148" s="10" t="s">
        <v>242</v>
      </c>
      <c r="G2148" s="10" t="s">
        <v>243</v>
      </c>
      <c r="H2148" s="11" t="str">
        <f>IF(OR(M2148&lt;=0,N2148&lt;=0),"SKIPPED - NONPOSITIVE",IF(OR(M2148&lt;L2148,N2148&lt;L2148),"SKIPPED - BELOW MIN",IF(OR(M2148&gt;J2148,N2148&gt;K2148),"SKIPPED - EXCEEDS BASE",IF(COUNTIFS($M$2099:M2147,M2148,$N$2099:N2147,N2148)&gt;0,"SKIPPED - DUPLICATE","VALID - GENERATED"))))</f>
        <v>VALID - GENERATED</v>
      </c>
      <c r="I2148" s="10" t="s">
        <v>2426</v>
      </c>
      <c r="J2148" s="12">
        <f>'05-ISO Reference'!$B$28</f>
        <v>31</v>
      </c>
      <c r="K2148" s="12">
        <f>'05-ISO Reference'!$C$28</f>
        <v>44</v>
      </c>
      <c r="L2148" s="12">
        <f>'01-Process Controls'!$G$5</f>
        <v>3</v>
      </c>
      <c r="M2148" s="12">
        <f>ROUNDDOWN(MIN(J2148,K2148*'04-Variant Rules'!$D$54),0)</f>
        <v>31</v>
      </c>
      <c r="N2148" s="12">
        <f>ROUNDDOWN(M2148/'04-Variant Rules'!$D$54,0)</f>
        <v>41</v>
      </c>
      <c r="O2148" s="9">
        <v>49</v>
      </c>
    </row>
    <row r="2149" spans="1:15" ht="21" customHeight="1">
      <c r="A2149" s="9" t="s">
        <v>2476</v>
      </c>
      <c r="B2149" s="12">
        <f>IF(LEFT(H2149,5)="VALID",M2149,"")</f>
        <v>31</v>
      </c>
      <c r="C2149" s="12">
        <f>IF(LEFT(H2149,5)="VALID",N2149,"")</f>
        <v>20</v>
      </c>
      <c r="D2149" s="10" t="s">
        <v>82</v>
      </c>
      <c r="E2149" s="10" t="s">
        <v>2425</v>
      </c>
      <c r="F2149" s="10" t="s">
        <v>245</v>
      </c>
      <c r="G2149" s="10" t="s">
        <v>246</v>
      </c>
      <c r="H2149" s="11" t="str">
        <f>IF(OR(M2149&lt;=0,N2149&lt;=0),"SKIPPED - NONPOSITIVE",IF(OR(M2149&lt;L2149,N2149&lt;L2149),"SKIPPED - BELOW MIN",IF(OR(M2149&gt;J2149,N2149&gt;K2149),"SKIPPED - EXCEEDS BASE",IF(COUNTIFS($M$2099:M2148,M2149,$N$2099:N2148,N2149)&gt;0,"SKIPPED - DUPLICATE","VALID - GENERATED"))))</f>
        <v>VALID - GENERATED</v>
      </c>
      <c r="I2149" s="10" t="s">
        <v>2426</v>
      </c>
      <c r="J2149" s="12">
        <f>'05-ISO Reference'!$B$28</f>
        <v>31</v>
      </c>
      <c r="K2149" s="12">
        <f>'05-ISO Reference'!$C$28</f>
        <v>44</v>
      </c>
      <c r="L2149" s="12">
        <f>'01-Process Controls'!$G$5</f>
        <v>3</v>
      </c>
      <c r="M2149" s="12">
        <f>ROUNDDOWN(MIN(J2149,K2149*'04-Variant Rules'!$D$55),0)</f>
        <v>31</v>
      </c>
      <c r="N2149" s="12">
        <f>ROUNDDOWN(M2149/'04-Variant Rules'!$D$55,0)</f>
        <v>20</v>
      </c>
      <c r="O2149" s="9">
        <v>50</v>
      </c>
    </row>
    <row r="2150" spans="1:15" ht="21" customHeight="1">
      <c r="A2150" s="9" t="s">
        <v>2477</v>
      </c>
      <c r="B2150" s="12">
        <f>IF(LEFT(H2150,5)="VALID",M2150,"")</f>
        <v>29</v>
      </c>
      <c r="C2150" s="12">
        <f>IF(LEFT(H2150,5)="VALID",N2150,"")</f>
        <v>43</v>
      </c>
      <c r="D2150" s="10" t="s">
        <v>82</v>
      </c>
      <c r="E2150" s="10" t="s">
        <v>2425</v>
      </c>
      <c r="F2150" s="10" t="s">
        <v>248</v>
      </c>
      <c r="G2150" s="10" t="s">
        <v>249</v>
      </c>
      <c r="H2150" s="11" t="str">
        <f>IF(OR(M2150&lt;=0,N2150&lt;=0),"SKIPPED - NONPOSITIVE",IF(OR(M2150&lt;L2150,N2150&lt;L2150),"SKIPPED - BELOW MIN",IF(OR(M2150&gt;J2150,N2150&gt;K2150),"SKIPPED - EXCEEDS BASE",IF(COUNTIFS($M$2099:M2149,M2150,$N$2099:N2149,N2150)&gt;0,"SKIPPED - DUPLICATE","VALID - GENERATED"))))</f>
        <v>VALID - GENERATED</v>
      </c>
      <c r="I2150" s="10" t="s">
        <v>2426</v>
      </c>
      <c r="J2150" s="12">
        <f>'05-ISO Reference'!$B$28</f>
        <v>31</v>
      </c>
      <c r="K2150" s="12">
        <f>'05-ISO Reference'!$C$28</f>
        <v>44</v>
      </c>
      <c r="L2150" s="12">
        <f>'01-Process Controls'!$G$5</f>
        <v>3</v>
      </c>
      <c r="M2150" s="12">
        <f>ROUNDDOWN(MIN(J2150,K2150*'04-Variant Rules'!$D$56),0)</f>
        <v>29</v>
      </c>
      <c r="N2150" s="12">
        <f>ROUNDDOWN(M2150/'04-Variant Rules'!$D$56,0)</f>
        <v>43</v>
      </c>
      <c r="O2150" s="9">
        <v>51</v>
      </c>
    </row>
    <row r="2151" spans="1:15" ht="21" customHeight="1">
      <c r="A2151" s="9" t="s">
        <v>2478</v>
      </c>
      <c r="B2151" s="12">
        <f>IF(LEFT(H2151,5)="VALID",M2151,"")</f>
        <v>31</v>
      </c>
      <c r="C2151" s="12">
        <f>IF(LEFT(H2151,5)="VALID",N2151,"")</f>
        <v>17</v>
      </c>
      <c r="D2151" s="10" t="s">
        <v>82</v>
      </c>
      <c r="E2151" s="10" t="s">
        <v>2425</v>
      </c>
      <c r="F2151" s="10" t="s">
        <v>251</v>
      </c>
      <c r="G2151" s="10" t="s">
        <v>252</v>
      </c>
      <c r="H2151" s="11" t="str">
        <f>IF(OR(M2151&lt;=0,N2151&lt;=0),"SKIPPED - NONPOSITIVE",IF(OR(M2151&lt;L2151,N2151&lt;L2151),"SKIPPED - BELOW MIN",IF(OR(M2151&gt;J2151,N2151&gt;K2151),"SKIPPED - EXCEEDS BASE",IF(COUNTIFS($M$2099:M2150,M2151,$N$2099:N2150,N2151)&gt;0,"SKIPPED - DUPLICATE","VALID - GENERATED"))))</f>
        <v>VALID - GENERATED</v>
      </c>
      <c r="I2151" s="10" t="s">
        <v>2426</v>
      </c>
      <c r="J2151" s="12">
        <f>'05-ISO Reference'!$B$28</f>
        <v>31</v>
      </c>
      <c r="K2151" s="12">
        <f>'05-ISO Reference'!$C$28</f>
        <v>44</v>
      </c>
      <c r="L2151" s="12">
        <f>'01-Process Controls'!$G$5</f>
        <v>3</v>
      </c>
      <c r="M2151" s="12">
        <f>ROUNDDOWN(MIN(J2151,K2151*'04-Variant Rules'!$D$57),0)</f>
        <v>31</v>
      </c>
      <c r="N2151" s="12">
        <f>ROUNDDOWN(M2151/'04-Variant Rules'!$D$57,0)</f>
        <v>17</v>
      </c>
      <c r="O2151" s="9">
        <v>52</v>
      </c>
    </row>
    <row r="2152" spans="1:15" ht="21" customHeight="1">
      <c r="A2152" s="9" t="s">
        <v>2479</v>
      </c>
      <c r="B2152" s="12">
        <f>IF(LEFT(H2152,5)="VALID",M2152,"")</f>
        <v>24</v>
      </c>
      <c r="C2152" s="12">
        <f>IF(LEFT(H2152,5)="VALID",N2152,"")</f>
        <v>42</v>
      </c>
      <c r="D2152" s="10" t="s">
        <v>82</v>
      </c>
      <c r="E2152" s="10" t="s">
        <v>2425</v>
      </c>
      <c r="F2152" s="10" t="s">
        <v>254</v>
      </c>
      <c r="G2152" s="10" t="s">
        <v>255</v>
      </c>
      <c r="H2152" s="11" t="str">
        <f>IF(OR(M2152&lt;=0,N2152&lt;=0),"SKIPPED - NONPOSITIVE",IF(OR(M2152&lt;L2152,N2152&lt;L2152),"SKIPPED - BELOW MIN",IF(OR(M2152&gt;J2152,N2152&gt;K2152),"SKIPPED - EXCEEDS BASE",IF(COUNTIFS($M$2099:M2151,M2152,$N$2099:N2151,N2152)&gt;0,"SKIPPED - DUPLICATE","VALID - GENERATED"))))</f>
        <v>VALID - GENERATED</v>
      </c>
      <c r="I2152" s="10" t="s">
        <v>2426</v>
      </c>
      <c r="J2152" s="12">
        <f>'05-ISO Reference'!$B$28</f>
        <v>31</v>
      </c>
      <c r="K2152" s="12">
        <f>'05-ISO Reference'!$C$28</f>
        <v>44</v>
      </c>
      <c r="L2152" s="12">
        <f>'01-Process Controls'!$G$5</f>
        <v>3</v>
      </c>
      <c r="M2152" s="12">
        <f>ROUNDDOWN(MIN(J2152,K2152*'04-Variant Rules'!$D$58),0)</f>
        <v>24</v>
      </c>
      <c r="N2152" s="12">
        <f>ROUNDDOWN(M2152/'04-Variant Rules'!$D$58,0)</f>
        <v>42</v>
      </c>
      <c r="O2152" s="9">
        <v>53</v>
      </c>
    </row>
    <row r="2153" spans="1:15" ht="21" customHeight="1">
      <c r="A2153" s="9" t="s">
        <v>2480</v>
      </c>
      <c r="B2153" s="12">
        <f>IF(LEFT(H2153,5)="VALID",M2153,"")</f>
        <v>31</v>
      </c>
      <c r="C2153" s="12">
        <f>IF(LEFT(H2153,5)="VALID",N2153,"")</f>
        <v>15</v>
      </c>
      <c r="D2153" s="10" t="s">
        <v>82</v>
      </c>
      <c r="E2153" s="10" t="s">
        <v>2425</v>
      </c>
      <c r="F2153" s="10" t="s">
        <v>257</v>
      </c>
      <c r="G2153" s="10" t="s">
        <v>258</v>
      </c>
      <c r="H2153" s="11" t="str">
        <f>IF(OR(M2153&lt;=0,N2153&lt;=0),"SKIPPED - NONPOSITIVE",IF(OR(M2153&lt;L2153,N2153&lt;L2153),"SKIPPED - BELOW MIN",IF(OR(M2153&gt;J2153,N2153&gt;K2153),"SKIPPED - EXCEEDS BASE",IF(COUNTIFS($M$2099:M2152,M2153,$N$2099:N2152,N2153)&gt;0,"SKIPPED - DUPLICATE","VALID - GENERATED"))))</f>
        <v>VALID - GENERATED</v>
      </c>
      <c r="I2153" s="10" t="s">
        <v>2426</v>
      </c>
      <c r="J2153" s="12">
        <f>'05-ISO Reference'!$B$28</f>
        <v>31</v>
      </c>
      <c r="K2153" s="12">
        <f>'05-ISO Reference'!$C$28</f>
        <v>44</v>
      </c>
      <c r="L2153" s="12">
        <f>'01-Process Controls'!$G$5</f>
        <v>3</v>
      </c>
      <c r="M2153" s="12">
        <f>ROUNDDOWN(MIN(J2153,K2153*'04-Variant Rules'!$D$59),0)</f>
        <v>31</v>
      </c>
      <c r="N2153" s="12">
        <f>ROUNDDOWN(M2153/'04-Variant Rules'!$D$59,0)</f>
        <v>15</v>
      </c>
      <c r="O2153" s="9">
        <v>54</v>
      </c>
    </row>
    <row r="2154" spans="1:15" ht="21" customHeight="1">
      <c r="A2154" s="9" t="s">
        <v>2481</v>
      </c>
      <c r="B2154" s="12">
        <f>IF(LEFT(H2154,5)="VALID",M2154,"")</f>
        <v>22</v>
      </c>
      <c r="C2154" s="12">
        <f>IF(LEFT(H2154,5)="VALID",N2154,"")</f>
        <v>44</v>
      </c>
      <c r="D2154" s="10" t="s">
        <v>82</v>
      </c>
      <c r="E2154" s="10" t="s">
        <v>2425</v>
      </c>
      <c r="F2154" s="10" t="s">
        <v>260</v>
      </c>
      <c r="G2154" s="10" t="s">
        <v>261</v>
      </c>
      <c r="H2154" s="11" t="str">
        <f>IF(OR(M2154&lt;=0,N2154&lt;=0),"SKIPPED - NONPOSITIVE",IF(OR(M2154&lt;L2154,N2154&lt;L2154),"SKIPPED - BELOW MIN",IF(OR(M2154&gt;J2154,N2154&gt;K2154),"SKIPPED - EXCEEDS BASE",IF(COUNTIFS($M$2099:M2153,M2154,$N$2099:N2153,N2154)&gt;0,"SKIPPED - DUPLICATE","VALID - GENERATED"))))</f>
        <v>VALID - GENERATED</v>
      </c>
      <c r="I2154" s="10" t="s">
        <v>2426</v>
      </c>
      <c r="J2154" s="12">
        <f>'05-ISO Reference'!$B$28</f>
        <v>31</v>
      </c>
      <c r="K2154" s="12">
        <f>'05-ISO Reference'!$C$28</f>
        <v>44</v>
      </c>
      <c r="L2154" s="12">
        <f>'01-Process Controls'!$G$5</f>
        <v>3</v>
      </c>
      <c r="M2154" s="12">
        <f>ROUNDDOWN(MIN(J2154,K2154*'04-Variant Rules'!$D$60),0)</f>
        <v>22</v>
      </c>
      <c r="N2154" s="12">
        <f>ROUNDDOWN(M2154/'04-Variant Rules'!$D$60,0)</f>
        <v>44</v>
      </c>
      <c r="O2154" s="9">
        <v>55</v>
      </c>
    </row>
    <row r="2155" spans="1:15" ht="21" customHeight="1">
      <c r="A2155" s="9" t="s">
        <v>2482</v>
      </c>
      <c r="B2155" s="48"/>
      <c r="C2155" s="48"/>
      <c r="D2155" s="10" t="s">
        <v>263</v>
      </c>
      <c r="E2155" s="10" t="s">
        <v>2483</v>
      </c>
      <c r="F2155" s="10" t="s">
        <v>265</v>
      </c>
      <c r="G2155" s="10" t="s">
        <v>266</v>
      </c>
      <c r="H2155" s="11" t="str">
        <f>IF(AND(B2155="",C2155=""),"CUSTOM BLANK",IF(OR(B2155="",C2155=""),"ERROR - ENTER BOTH",IF(OR(B2155&lt;=0,C2155&lt;=0),"ERROR - NONPOSITIVE",IF(OR(B2155&lt;L2155,C2155&lt;L2155),"ERROR - BELOW MIN",IF(OR(AND(B2155&lt;=J2155,C2155&lt;=K2155),AND(B2155&lt;=K2155,C2155&lt;=J2155)),"VALID - CUSTOM","ERROR - EXCEEDS BASE")))))</f>
        <v>CUSTOM BLANK</v>
      </c>
      <c r="I2155" s="10" t="s">
        <v>267</v>
      </c>
      <c r="J2155" s="12">
        <f>'05-ISO Reference'!$B$28</f>
        <v>31</v>
      </c>
      <c r="K2155" s="12">
        <f>'05-ISO Reference'!$C$28</f>
        <v>44</v>
      </c>
      <c r="L2155" s="12">
        <f>'01-Process Controls'!$G$5</f>
        <v>3</v>
      </c>
      <c r="M2155" s="8"/>
      <c r="N2155" s="8"/>
    </row>
    <row r="2156" spans="1:15" ht="21" customHeight="1">
      <c r="A2156" s="9" t="s">
        <v>2484</v>
      </c>
      <c r="B2156" s="48"/>
      <c r="C2156" s="48"/>
      <c r="D2156" s="10" t="s">
        <v>263</v>
      </c>
      <c r="E2156" s="10" t="s">
        <v>2483</v>
      </c>
      <c r="F2156" s="10" t="s">
        <v>265</v>
      </c>
      <c r="G2156" s="10" t="s">
        <v>266</v>
      </c>
      <c r="H2156" s="11" t="str">
        <f>IF(AND(B2156="",C2156=""),"CUSTOM BLANK",IF(OR(B2156="",C2156=""),"ERROR - ENTER BOTH",IF(OR(B2156&lt;=0,C2156&lt;=0),"ERROR - NONPOSITIVE",IF(OR(B2156&lt;L2156,C2156&lt;L2156),"ERROR - BELOW MIN",IF(OR(AND(B2156&lt;=J2156,C2156&lt;=K2156),AND(B2156&lt;=K2156,C2156&lt;=J2156)),"VALID - CUSTOM","ERROR - EXCEEDS BASE")))))</f>
        <v>CUSTOM BLANK</v>
      </c>
      <c r="I2156" s="10" t="s">
        <v>267</v>
      </c>
      <c r="J2156" s="12">
        <f>'05-ISO Reference'!$B$28</f>
        <v>31</v>
      </c>
      <c r="K2156" s="12">
        <f>'05-ISO Reference'!$C$28</f>
        <v>44</v>
      </c>
      <c r="L2156" s="12">
        <f>'01-Process Controls'!$G$5</f>
        <v>3</v>
      </c>
      <c r="M2156" s="8"/>
      <c r="N2156" s="8"/>
    </row>
    <row r="2157" spans="1:15" ht="21" customHeight="1">
      <c r="A2157" s="9" t="s">
        <v>2485</v>
      </c>
      <c r="B2157" s="48"/>
      <c r="C2157" s="48"/>
      <c r="D2157" s="10" t="s">
        <v>263</v>
      </c>
      <c r="E2157" s="10" t="s">
        <v>2483</v>
      </c>
      <c r="F2157" s="10" t="s">
        <v>265</v>
      </c>
      <c r="G2157" s="10" t="s">
        <v>266</v>
      </c>
      <c r="H2157" s="11" t="str">
        <f>IF(AND(B2157="",C2157=""),"CUSTOM BLANK",IF(OR(B2157="",C2157=""),"ERROR - ENTER BOTH",IF(OR(B2157&lt;=0,C2157&lt;=0),"ERROR - NONPOSITIVE",IF(OR(B2157&lt;L2157,C2157&lt;L2157),"ERROR - BELOW MIN",IF(OR(AND(B2157&lt;=J2157,C2157&lt;=K2157),AND(B2157&lt;=K2157,C2157&lt;=J2157)),"VALID - CUSTOM","ERROR - EXCEEDS BASE")))))</f>
        <v>CUSTOM BLANK</v>
      </c>
      <c r="I2157" s="10" t="s">
        <v>267</v>
      </c>
      <c r="J2157" s="12">
        <f>'05-ISO Reference'!$B$28</f>
        <v>31</v>
      </c>
      <c r="K2157" s="12">
        <f>'05-ISO Reference'!$C$28</f>
        <v>44</v>
      </c>
      <c r="L2157" s="12">
        <f>'01-Process Controls'!$G$5</f>
        <v>3</v>
      </c>
      <c r="M2157" s="8"/>
      <c r="N2157" s="8"/>
    </row>
    <row r="2158" spans="1:15" ht="21" customHeight="1">
      <c r="A2158" s="9" t="s">
        <v>2486</v>
      </c>
      <c r="B2158" s="48"/>
      <c r="C2158" s="48"/>
      <c r="D2158" s="10" t="s">
        <v>263</v>
      </c>
      <c r="E2158" s="10" t="s">
        <v>2483</v>
      </c>
      <c r="F2158" s="10" t="s">
        <v>265</v>
      </c>
      <c r="G2158" s="10" t="s">
        <v>266</v>
      </c>
      <c r="H2158" s="11" t="str">
        <f>IF(AND(B2158="",C2158=""),"CUSTOM BLANK",IF(OR(B2158="",C2158=""),"ERROR - ENTER BOTH",IF(OR(B2158&lt;=0,C2158&lt;=0),"ERROR - NONPOSITIVE",IF(OR(B2158&lt;L2158,C2158&lt;L2158),"ERROR - BELOW MIN",IF(OR(AND(B2158&lt;=J2158,C2158&lt;=K2158),AND(B2158&lt;=K2158,C2158&lt;=J2158)),"VALID - CUSTOM","ERROR - EXCEEDS BASE")))))</f>
        <v>CUSTOM BLANK</v>
      </c>
      <c r="I2158" s="10" t="s">
        <v>267</v>
      </c>
      <c r="J2158" s="12">
        <f>'05-ISO Reference'!$B$28</f>
        <v>31</v>
      </c>
      <c r="K2158" s="12">
        <f>'05-ISO Reference'!$C$28</f>
        <v>44</v>
      </c>
      <c r="L2158" s="12">
        <f>'01-Process Controls'!$G$5</f>
        <v>3</v>
      </c>
      <c r="M2158" s="8"/>
      <c r="N2158" s="8"/>
    </row>
    <row r="2159" spans="1:15" ht="21" customHeight="1">
      <c r="A2159" s="9" t="s">
        <v>2487</v>
      </c>
      <c r="B2159" s="48"/>
      <c r="C2159" s="48"/>
      <c r="D2159" s="10" t="s">
        <v>263</v>
      </c>
      <c r="E2159" s="10" t="s">
        <v>2483</v>
      </c>
      <c r="F2159" s="10" t="s">
        <v>265</v>
      </c>
      <c r="G2159" s="10" t="s">
        <v>266</v>
      </c>
      <c r="H2159" s="11" t="str">
        <f>IF(AND(B2159="",C2159=""),"CUSTOM BLANK",IF(OR(B2159="",C2159=""),"ERROR - ENTER BOTH",IF(OR(B2159&lt;=0,C2159&lt;=0),"ERROR - NONPOSITIVE",IF(OR(B2159&lt;L2159,C2159&lt;L2159),"ERROR - BELOW MIN",IF(OR(AND(B2159&lt;=J2159,C2159&lt;=K2159),AND(B2159&lt;=K2159,C2159&lt;=J2159)),"VALID - CUSTOM","ERROR - EXCEEDS BASE")))))</f>
        <v>CUSTOM BLANK</v>
      </c>
      <c r="I2159" s="10" t="s">
        <v>267</v>
      </c>
      <c r="J2159" s="12">
        <f>'05-ISO Reference'!$B$28</f>
        <v>31</v>
      </c>
      <c r="K2159" s="12">
        <f>'05-ISO Reference'!$C$28</f>
        <v>44</v>
      </c>
      <c r="L2159" s="12">
        <f>'01-Process Controls'!$G$5</f>
        <v>3</v>
      </c>
      <c r="M2159" s="8"/>
      <c r="N2159" s="8"/>
    </row>
    <row r="2160" spans="1:15" ht="21" customHeight="1">
      <c r="A2160" s="9" t="s">
        <v>2488</v>
      </c>
      <c r="B2160" s="48"/>
      <c r="C2160" s="48"/>
      <c r="D2160" s="10" t="s">
        <v>263</v>
      </c>
      <c r="E2160" s="10" t="s">
        <v>2483</v>
      </c>
      <c r="F2160" s="10" t="s">
        <v>265</v>
      </c>
      <c r="G2160" s="10" t="s">
        <v>266</v>
      </c>
      <c r="H2160" s="11" t="str">
        <f>IF(AND(B2160="",C2160=""),"CUSTOM BLANK",IF(OR(B2160="",C2160=""),"ERROR - ENTER BOTH",IF(OR(B2160&lt;=0,C2160&lt;=0),"ERROR - NONPOSITIVE",IF(OR(B2160&lt;L2160,C2160&lt;L2160),"ERROR - BELOW MIN",IF(OR(AND(B2160&lt;=J2160,C2160&lt;=K2160),AND(B2160&lt;=K2160,C2160&lt;=J2160)),"VALID - CUSTOM","ERROR - EXCEEDS BASE")))))</f>
        <v>CUSTOM BLANK</v>
      </c>
      <c r="I2160" s="10" t="s">
        <v>267</v>
      </c>
      <c r="J2160" s="12">
        <f>'05-ISO Reference'!$B$28</f>
        <v>31</v>
      </c>
      <c r="K2160" s="12">
        <f>'05-ISO Reference'!$C$28</f>
        <v>44</v>
      </c>
      <c r="L2160" s="12">
        <f>'01-Process Controls'!$G$5</f>
        <v>3</v>
      </c>
      <c r="M2160" s="8"/>
      <c r="N2160" s="8"/>
    </row>
    <row r="2161" spans="1:14" ht="21" customHeight="1">
      <c r="A2161" s="9" t="s">
        <v>2489</v>
      </c>
      <c r="B2161" s="48"/>
      <c r="C2161" s="48"/>
      <c r="D2161" s="10" t="s">
        <v>263</v>
      </c>
      <c r="E2161" s="10" t="s">
        <v>2483</v>
      </c>
      <c r="F2161" s="10" t="s">
        <v>265</v>
      </c>
      <c r="G2161" s="10" t="s">
        <v>266</v>
      </c>
      <c r="H2161" s="11" t="str">
        <f>IF(AND(B2161="",C2161=""),"CUSTOM BLANK",IF(OR(B2161="",C2161=""),"ERROR - ENTER BOTH",IF(OR(B2161&lt;=0,C2161&lt;=0),"ERROR - NONPOSITIVE",IF(OR(B2161&lt;L2161,C2161&lt;L2161),"ERROR - BELOW MIN",IF(OR(AND(B2161&lt;=J2161,C2161&lt;=K2161),AND(B2161&lt;=K2161,C2161&lt;=J2161)),"VALID - CUSTOM","ERROR - EXCEEDS BASE")))))</f>
        <v>CUSTOM BLANK</v>
      </c>
      <c r="I2161" s="10" t="s">
        <v>267</v>
      </c>
      <c r="J2161" s="12">
        <f>'05-ISO Reference'!$B$28</f>
        <v>31</v>
      </c>
      <c r="K2161" s="12">
        <f>'05-ISO Reference'!$C$28</f>
        <v>44</v>
      </c>
      <c r="L2161" s="12">
        <f>'01-Process Controls'!$G$5</f>
        <v>3</v>
      </c>
      <c r="M2161" s="8"/>
      <c r="N2161" s="8"/>
    </row>
    <row r="2162" spans="1:14" ht="21" customHeight="1">
      <c r="A2162" s="9" t="s">
        <v>2490</v>
      </c>
      <c r="B2162" s="48"/>
      <c r="C2162" s="48"/>
      <c r="D2162" s="10" t="s">
        <v>263</v>
      </c>
      <c r="E2162" s="10" t="s">
        <v>2483</v>
      </c>
      <c r="F2162" s="10" t="s">
        <v>265</v>
      </c>
      <c r="G2162" s="10" t="s">
        <v>266</v>
      </c>
      <c r="H2162" s="11" t="str">
        <f>IF(AND(B2162="",C2162=""),"CUSTOM BLANK",IF(OR(B2162="",C2162=""),"ERROR - ENTER BOTH",IF(OR(B2162&lt;=0,C2162&lt;=0),"ERROR - NONPOSITIVE",IF(OR(B2162&lt;L2162,C2162&lt;L2162),"ERROR - BELOW MIN",IF(OR(AND(B2162&lt;=J2162,C2162&lt;=K2162),AND(B2162&lt;=K2162,C2162&lt;=J2162)),"VALID - CUSTOM","ERROR - EXCEEDS BASE")))))</f>
        <v>CUSTOM BLANK</v>
      </c>
      <c r="I2162" s="10" t="s">
        <v>267</v>
      </c>
      <c r="J2162" s="12">
        <f>'05-ISO Reference'!$B$28</f>
        <v>31</v>
      </c>
      <c r="K2162" s="12">
        <f>'05-ISO Reference'!$C$28</f>
        <v>44</v>
      </c>
      <c r="L2162" s="12">
        <f>'01-Process Controls'!$G$5</f>
        <v>3</v>
      </c>
      <c r="M2162" s="8"/>
      <c r="N2162" s="8"/>
    </row>
    <row r="2163" spans="1:14" ht="21" customHeight="1">
      <c r="A2163" s="9" t="s">
        <v>2491</v>
      </c>
      <c r="B2163" s="48"/>
      <c r="C2163" s="48"/>
      <c r="D2163" s="10" t="s">
        <v>263</v>
      </c>
      <c r="E2163" s="10" t="s">
        <v>2483</v>
      </c>
      <c r="F2163" s="10" t="s">
        <v>265</v>
      </c>
      <c r="G2163" s="10" t="s">
        <v>266</v>
      </c>
      <c r="H2163" s="11" t="str">
        <f>IF(AND(B2163="",C2163=""),"CUSTOM BLANK",IF(OR(B2163="",C2163=""),"ERROR - ENTER BOTH",IF(OR(B2163&lt;=0,C2163&lt;=0),"ERROR - NONPOSITIVE",IF(OR(B2163&lt;L2163,C2163&lt;L2163),"ERROR - BELOW MIN",IF(OR(AND(B2163&lt;=J2163,C2163&lt;=K2163),AND(B2163&lt;=K2163,C2163&lt;=J2163)),"VALID - CUSTOM","ERROR - EXCEEDS BASE")))))</f>
        <v>CUSTOM BLANK</v>
      </c>
      <c r="I2163" s="10" t="s">
        <v>267</v>
      </c>
      <c r="J2163" s="12">
        <f>'05-ISO Reference'!$B$28</f>
        <v>31</v>
      </c>
      <c r="K2163" s="12">
        <f>'05-ISO Reference'!$C$28</f>
        <v>44</v>
      </c>
      <c r="L2163" s="12">
        <f>'01-Process Controls'!$G$5</f>
        <v>3</v>
      </c>
      <c r="M2163" s="8"/>
      <c r="N2163" s="8"/>
    </row>
    <row r="2164" spans="1:14" ht="21" customHeight="1">
      <c r="A2164" s="9" t="s">
        <v>2492</v>
      </c>
      <c r="B2164" s="48"/>
      <c r="C2164" s="48"/>
      <c r="D2164" s="10" t="s">
        <v>263</v>
      </c>
      <c r="E2164" s="10" t="s">
        <v>2483</v>
      </c>
      <c r="F2164" s="10" t="s">
        <v>265</v>
      </c>
      <c r="G2164" s="10" t="s">
        <v>266</v>
      </c>
      <c r="H2164" s="11" t="str">
        <f>IF(AND(B2164="",C2164=""),"CUSTOM BLANK",IF(OR(B2164="",C2164=""),"ERROR - ENTER BOTH",IF(OR(B2164&lt;=0,C2164&lt;=0),"ERROR - NONPOSITIVE",IF(OR(B2164&lt;L2164,C2164&lt;L2164),"ERROR - BELOW MIN",IF(OR(AND(B2164&lt;=J2164,C2164&lt;=K2164),AND(B2164&lt;=K2164,C2164&lt;=J2164)),"VALID - CUSTOM","ERROR - EXCEEDS BASE")))))</f>
        <v>CUSTOM BLANK</v>
      </c>
      <c r="I2164" s="10" t="s">
        <v>267</v>
      </c>
      <c r="J2164" s="12">
        <f>'05-ISO Reference'!$B$28</f>
        <v>31</v>
      </c>
      <c r="K2164" s="12">
        <f>'05-ISO Reference'!$C$28</f>
        <v>44</v>
      </c>
      <c r="L2164" s="12">
        <f>'01-Process Controls'!$G$5</f>
        <v>3</v>
      </c>
      <c r="M2164" s="8"/>
      <c r="N2164" s="8"/>
    </row>
    <row r="2165" spans="1:14" ht="21" customHeight="1">
      <c r="A2165" s="9" t="s">
        <v>2493</v>
      </c>
      <c r="B2165" s="48"/>
      <c r="C2165" s="48"/>
      <c r="D2165" s="10" t="s">
        <v>263</v>
      </c>
      <c r="E2165" s="10" t="s">
        <v>2483</v>
      </c>
      <c r="F2165" s="10" t="s">
        <v>265</v>
      </c>
      <c r="G2165" s="10" t="s">
        <v>266</v>
      </c>
      <c r="H2165" s="11" t="str">
        <f>IF(AND(B2165="",C2165=""),"CUSTOM BLANK",IF(OR(B2165="",C2165=""),"ERROR - ENTER BOTH",IF(OR(B2165&lt;=0,C2165&lt;=0),"ERROR - NONPOSITIVE",IF(OR(B2165&lt;L2165,C2165&lt;L2165),"ERROR - BELOW MIN",IF(OR(AND(B2165&lt;=J2165,C2165&lt;=K2165),AND(B2165&lt;=K2165,C2165&lt;=J2165)),"VALID - CUSTOM","ERROR - EXCEEDS BASE")))))</f>
        <v>CUSTOM BLANK</v>
      </c>
      <c r="I2165" s="10" t="s">
        <v>267</v>
      </c>
      <c r="J2165" s="12">
        <f>'05-ISO Reference'!$B$28</f>
        <v>31</v>
      </c>
      <c r="K2165" s="12">
        <f>'05-ISO Reference'!$C$28</f>
        <v>44</v>
      </c>
      <c r="L2165" s="12">
        <f>'01-Process Controls'!$G$5</f>
        <v>3</v>
      </c>
      <c r="M2165" s="8"/>
      <c r="N2165" s="8"/>
    </row>
    <row r="2166" spans="1:14" ht="21" customHeight="1">
      <c r="A2166" s="9" t="s">
        <v>2494</v>
      </c>
      <c r="B2166" s="48"/>
      <c r="C2166" s="48"/>
      <c r="D2166" s="10" t="s">
        <v>263</v>
      </c>
      <c r="E2166" s="10" t="s">
        <v>2483</v>
      </c>
      <c r="F2166" s="10" t="s">
        <v>265</v>
      </c>
      <c r="G2166" s="10" t="s">
        <v>266</v>
      </c>
      <c r="H2166" s="11" t="str">
        <f>IF(AND(B2166="",C2166=""),"CUSTOM BLANK",IF(OR(B2166="",C2166=""),"ERROR - ENTER BOTH",IF(OR(B2166&lt;=0,C2166&lt;=0),"ERROR - NONPOSITIVE",IF(OR(B2166&lt;L2166,C2166&lt;L2166),"ERROR - BELOW MIN",IF(OR(AND(B2166&lt;=J2166,C2166&lt;=K2166),AND(B2166&lt;=K2166,C2166&lt;=J2166)),"VALID - CUSTOM","ERROR - EXCEEDS BASE")))))</f>
        <v>CUSTOM BLANK</v>
      </c>
      <c r="I2166" s="10" t="s">
        <v>267</v>
      </c>
      <c r="J2166" s="12">
        <f>'05-ISO Reference'!$B$28</f>
        <v>31</v>
      </c>
      <c r="K2166" s="12">
        <f>'05-ISO Reference'!$C$28</f>
        <v>44</v>
      </c>
      <c r="L2166" s="12">
        <f>'01-Process Controls'!$G$5</f>
        <v>3</v>
      </c>
      <c r="M2166" s="8"/>
      <c r="N2166" s="8"/>
    </row>
    <row r="2167" spans="1:14" ht="21" customHeight="1">
      <c r="A2167" s="9" t="s">
        <v>2495</v>
      </c>
      <c r="B2167" s="48"/>
      <c r="C2167" s="48"/>
      <c r="D2167" s="10" t="s">
        <v>263</v>
      </c>
      <c r="E2167" s="10" t="s">
        <v>2483</v>
      </c>
      <c r="F2167" s="10" t="s">
        <v>265</v>
      </c>
      <c r="G2167" s="10" t="s">
        <v>266</v>
      </c>
      <c r="H2167" s="11" t="str">
        <f>IF(AND(B2167="",C2167=""),"CUSTOM BLANK",IF(OR(B2167="",C2167=""),"ERROR - ENTER BOTH",IF(OR(B2167&lt;=0,C2167&lt;=0),"ERROR - NONPOSITIVE",IF(OR(B2167&lt;L2167,C2167&lt;L2167),"ERROR - BELOW MIN",IF(OR(AND(B2167&lt;=J2167,C2167&lt;=K2167),AND(B2167&lt;=K2167,C2167&lt;=J2167)),"VALID - CUSTOM","ERROR - EXCEEDS BASE")))))</f>
        <v>CUSTOM BLANK</v>
      </c>
      <c r="I2167" s="10" t="s">
        <v>267</v>
      </c>
      <c r="J2167" s="12">
        <f>'05-ISO Reference'!$B$28</f>
        <v>31</v>
      </c>
      <c r="K2167" s="12">
        <f>'05-ISO Reference'!$C$28</f>
        <v>44</v>
      </c>
      <c r="L2167" s="12">
        <f>'01-Process Controls'!$G$5</f>
        <v>3</v>
      </c>
      <c r="M2167" s="8"/>
      <c r="N2167" s="8"/>
    </row>
    <row r="2168" spans="1:14" ht="21" customHeight="1">
      <c r="A2168" s="9" t="s">
        <v>2496</v>
      </c>
      <c r="B2168" s="48"/>
      <c r="C2168" s="48"/>
      <c r="D2168" s="10" t="s">
        <v>263</v>
      </c>
      <c r="E2168" s="10" t="s">
        <v>2483</v>
      </c>
      <c r="F2168" s="10" t="s">
        <v>265</v>
      </c>
      <c r="G2168" s="10" t="s">
        <v>266</v>
      </c>
      <c r="H2168" s="11" t="str">
        <f>IF(AND(B2168="",C2168=""),"CUSTOM BLANK",IF(OR(B2168="",C2168=""),"ERROR - ENTER BOTH",IF(OR(B2168&lt;=0,C2168&lt;=0),"ERROR - NONPOSITIVE",IF(OR(B2168&lt;L2168,C2168&lt;L2168),"ERROR - BELOW MIN",IF(OR(AND(B2168&lt;=J2168,C2168&lt;=K2168),AND(B2168&lt;=K2168,C2168&lt;=J2168)),"VALID - CUSTOM","ERROR - EXCEEDS BASE")))))</f>
        <v>CUSTOM BLANK</v>
      </c>
      <c r="I2168" s="10" t="s">
        <v>267</v>
      </c>
      <c r="J2168" s="12">
        <f>'05-ISO Reference'!$B$28</f>
        <v>31</v>
      </c>
      <c r="K2168" s="12">
        <f>'05-ISO Reference'!$C$28</f>
        <v>44</v>
      </c>
      <c r="L2168" s="12">
        <f>'01-Process Controls'!$G$5</f>
        <v>3</v>
      </c>
      <c r="M2168" s="8"/>
      <c r="N2168" s="8"/>
    </row>
    <row r="2169" spans="1:14" ht="21" customHeight="1">
      <c r="A2169" s="9" t="s">
        <v>2497</v>
      </c>
      <c r="B2169" s="48"/>
      <c r="C2169" s="48"/>
      <c r="D2169" s="10" t="s">
        <v>263</v>
      </c>
      <c r="E2169" s="10" t="s">
        <v>2483</v>
      </c>
      <c r="F2169" s="10" t="s">
        <v>265</v>
      </c>
      <c r="G2169" s="10" t="s">
        <v>266</v>
      </c>
      <c r="H2169" s="11" t="str">
        <f>IF(AND(B2169="",C2169=""),"CUSTOM BLANK",IF(OR(B2169="",C2169=""),"ERROR - ENTER BOTH",IF(OR(B2169&lt;=0,C2169&lt;=0),"ERROR - NONPOSITIVE",IF(OR(B2169&lt;L2169,C2169&lt;L2169),"ERROR - BELOW MIN",IF(OR(AND(B2169&lt;=J2169,C2169&lt;=K2169),AND(B2169&lt;=K2169,C2169&lt;=J2169)),"VALID - CUSTOM","ERROR - EXCEEDS BASE")))))</f>
        <v>CUSTOM BLANK</v>
      </c>
      <c r="I2169" s="10" t="s">
        <v>267</v>
      </c>
      <c r="J2169" s="12">
        <f>'05-ISO Reference'!$B$28</f>
        <v>31</v>
      </c>
      <c r="K2169" s="12">
        <f>'05-ISO Reference'!$C$28</f>
        <v>44</v>
      </c>
      <c r="L2169" s="12">
        <f>'01-Process Controls'!$G$5</f>
        <v>3</v>
      </c>
      <c r="M2169" s="8"/>
      <c r="N2169" s="8"/>
    </row>
  </sheetData>
  <conditionalFormatting sqref="B1389:C2169 B2:C1373">
    <cfRule type="cellIs" dxfId="19" priority="1" operator="lessThanOrEqual">
      <formula>0</formula>
    </cfRule>
  </conditionalFormatting>
  <conditionalFormatting sqref="H1389:H2169 H2:H1373">
    <cfRule type="expression" dxfId="18" priority="2">
      <formula>ISNUMBER(SEARCH("ERROR",H2))</formula>
    </cfRule>
    <cfRule type="expression" dxfId="17" priority="3">
      <formula>ISNUMBER(SEARCH("NOMINAL EDGE",H2))</formula>
    </cfRule>
    <cfRule type="expression" dxfId="16" priority="4">
      <formula>LEFT(H2,5)="VALID"</formula>
    </cfRule>
    <cfRule type="expression" dxfId="15" priority="5">
      <formula>LEFT(H2,7)="CUSTOM "</formula>
    </cfRule>
    <cfRule type="expression" dxfId="14" priority="6">
      <formula>LEFT(H2,7)="SKIPPED"</formula>
    </cfRule>
  </conditionalFormatting>
  <dataValidations count="1">
    <dataValidation type="whole" operator="greaterThan" allowBlank="1" showInputMessage="1" showErrorMessage="1" errorTitle="Whole millimetres required" error="Enter a positive whole-millimetre value." promptTitle="Whole millimetres" prompt="Enter a positive size in whole millimetres." sqref="B58:C72 B129:C143 B200:C214 B271:C285 B342:C356 B413:C427 B484:C498 B555:C569 B626:C640 B697:C711 B768:C782 B839:C853 B910:C924 B1012:C1026 B1063:C1127 B1164:C1373 B1445:C1459 B1516:C1530 B1587:C1601 B1658:C1672 B1729:C1743 B1800:C1814 B1871:C1885 B1942:C1956 B2013:C2027 B2084:C2098 B2155:C2169" xr:uid="{00000000-0002-0000-0200-000000000000}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AN238"/>
  <sheetViews>
    <sheetView showGridLines="0" workbookViewId="0"/>
  </sheetViews>
  <sheetFormatPr defaultRowHeight="15"/>
  <cols>
    <col min="1" max="1" width="16" customWidth="1"/>
    <col min="2" max="2" width="14" customWidth="1"/>
    <col min="3" max="3" width="32" customWidth="1"/>
    <col min="4" max="4" width="26" customWidth="1"/>
    <col min="5" max="6" width="14" customWidth="1"/>
    <col min="7" max="7" width="24" customWidth="1"/>
    <col min="8" max="8" width="62" customWidth="1"/>
    <col min="9" max="9" width="45" customWidth="1"/>
    <col min="10" max="10" width="26" customWidth="1"/>
    <col min="11" max="11" width="28" customWidth="1"/>
    <col min="12" max="12" width="12" customWidth="1"/>
    <col min="13" max="14" width="15" customWidth="1"/>
    <col min="15" max="16" width="14" customWidth="1"/>
    <col min="17" max="17" width="24" customWidth="1"/>
    <col min="18" max="18" width="32" customWidth="1"/>
    <col min="19" max="40" width="11" hidden="1" customWidth="1"/>
  </cols>
  <sheetData>
    <row r="1" spans="1:18" ht="26.1" customHeight="1">
      <c r="A1" s="74" t="s">
        <v>2498</v>
      </c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</row>
    <row r="2" spans="1:18" ht="44.1" customHeight="1">
      <c r="A2" s="73" t="s">
        <v>2499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</row>
    <row r="3" spans="1:18" ht="33.950000000000003" customHeight="1">
      <c r="A3" s="76" t="s">
        <v>2500</v>
      </c>
      <c r="B3" s="80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</row>
    <row r="4" spans="1:18" ht="24" customHeight="1">
      <c r="A4" s="39" t="s">
        <v>2501</v>
      </c>
      <c r="B4" s="39" t="s">
        <v>69</v>
      </c>
      <c r="C4" s="39" t="s">
        <v>2502</v>
      </c>
      <c r="D4" s="39" t="s">
        <v>2503</v>
      </c>
      <c r="E4" s="39" t="s">
        <v>101</v>
      </c>
      <c r="F4" s="39" t="s">
        <v>102</v>
      </c>
      <c r="G4" s="39" t="s">
        <v>2504</v>
      </c>
      <c r="H4" s="39" t="s">
        <v>107</v>
      </c>
      <c r="I4" s="39" t="s">
        <v>2505</v>
      </c>
      <c r="J4" s="39" t="s">
        <v>106</v>
      </c>
      <c r="K4" s="39" t="s">
        <v>2506</v>
      </c>
    </row>
    <row r="5" spans="1:18" hidden="1">
      <c r="A5" s="55"/>
      <c r="B5" s="55"/>
      <c r="C5" s="55"/>
      <c r="D5" s="55"/>
      <c r="E5" s="55"/>
      <c r="F5" s="55"/>
      <c r="G5" s="55"/>
      <c r="H5" s="55"/>
      <c r="I5" s="56"/>
      <c r="J5" s="55"/>
      <c r="K5" s="55"/>
    </row>
    <row r="6" spans="1:18" hidden="1">
      <c r="A6" s="55"/>
      <c r="B6" s="55"/>
      <c r="C6" s="55"/>
      <c r="D6" s="55"/>
      <c r="E6" s="55"/>
      <c r="F6" s="55"/>
      <c r="G6" s="55"/>
      <c r="H6" s="55"/>
      <c r="I6" s="56"/>
      <c r="J6" s="55"/>
      <c r="K6" s="55"/>
    </row>
    <row r="7" spans="1:18" hidden="1">
      <c r="A7" s="40"/>
      <c r="B7" s="40"/>
      <c r="C7" s="40"/>
      <c r="D7" s="40"/>
      <c r="E7" s="42"/>
      <c r="F7" s="42"/>
      <c r="G7" s="40"/>
      <c r="H7" s="40"/>
      <c r="I7" s="43"/>
      <c r="J7" s="40"/>
      <c r="K7" s="57"/>
    </row>
    <row r="8" spans="1:18" hidden="1">
      <c r="A8" s="40"/>
      <c r="B8" s="40"/>
      <c r="C8" s="40"/>
      <c r="D8" s="40"/>
      <c r="E8" s="42"/>
      <c r="F8" s="42"/>
      <c r="G8" s="40"/>
      <c r="H8" s="40"/>
      <c r="I8" s="43"/>
      <c r="J8" s="40"/>
      <c r="K8" s="57"/>
    </row>
    <row r="9" spans="1:18" hidden="1">
      <c r="A9" s="40"/>
      <c r="B9" s="40"/>
      <c r="C9" s="40"/>
      <c r="D9" s="40"/>
      <c r="E9" s="42"/>
      <c r="F9" s="42"/>
      <c r="G9" s="40"/>
      <c r="H9" s="40"/>
      <c r="I9" s="43"/>
      <c r="J9" s="40"/>
      <c r="K9" s="57"/>
    </row>
    <row r="10" spans="1:18" hidden="1">
      <c r="A10" s="40"/>
      <c r="B10" s="40"/>
      <c r="C10" s="40"/>
      <c r="D10" s="40"/>
      <c r="E10" s="42"/>
      <c r="F10" s="42"/>
      <c r="G10" s="40"/>
      <c r="H10" s="40"/>
      <c r="I10" s="43"/>
      <c r="J10" s="40"/>
      <c r="K10" s="57"/>
    </row>
    <row r="11" spans="1:18" hidden="1">
      <c r="A11" s="40"/>
      <c r="B11" s="40"/>
      <c r="C11" s="40"/>
      <c r="D11" s="40"/>
      <c r="E11" s="42"/>
      <c r="F11" s="42"/>
      <c r="G11" s="40"/>
      <c r="H11" s="40"/>
      <c r="I11" s="43"/>
      <c r="J11" s="40"/>
      <c r="K11" s="57"/>
    </row>
    <row r="12" spans="1:18" hidden="1">
      <c r="A12" s="40"/>
      <c r="B12" s="40"/>
      <c r="C12" s="40"/>
      <c r="D12" s="40"/>
      <c r="E12" s="42"/>
      <c r="F12" s="42"/>
      <c r="G12" s="40"/>
      <c r="H12" s="40"/>
      <c r="I12" s="43"/>
      <c r="J12" s="40"/>
      <c r="K12" s="57"/>
    </row>
    <row r="13" spans="1:18" hidden="1">
      <c r="A13" s="40"/>
      <c r="B13" s="40"/>
      <c r="C13" s="40"/>
      <c r="D13" s="40"/>
      <c r="E13" s="42"/>
      <c r="F13" s="42"/>
      <c r="G13" s="40"/>
      <c r="H13" s="40"/>
      <c r="I13" s="43"/>
      <c r="J13" s="40"/>
      <c r="K13" s="57"/>
    </row>
    <row r="14" spans="1:18" hidden="1">
      <c r="A14" s="40"/>
      <c r="B14" s="40"/>
      <c r="C14" s="40"/>
      <c r="D14" s="40"/>
      <c r="E14" s="42"/>
      <c r="F14" s="42"/>
      <c r="G14" s="40"/>
      <c r="H14" s="40"/>
      <c r="I14" s="43"/>
      <c r="J14" s="40"/>
      <c r="K14" s="57"/>
    </row>
    <row r="15" spans="1:18" hidden="1">
      <c r="A15" s="40"/>
      <c r="B15" s="40"/>
      <c r="C15" s="40"/>
      <c r="D15" s="40"/>
      <c r="E15" s="42"/>
      <c r="F15" s="42"/>
      <c r="G15" s="40"/>
      <c r="H15" s="40"/>
      <c r="I15" s="43"/>
      <c r="J15" s="40"/>
      <c r="K15" s="57"/>
    </row>
    <row r="16" spans="1:18" hidden="1">
      <c r="A16" s="40"/>
      <c r="B16" s="40"/>
      <c r="C16" s="40"/>
      <c r="D16" s="40"/>
      <c r="E16" s="42"/>
      <c r="F16" s="42"/>
      <c r="G16" s="40"/>
      <c r="H16" s="40"/>
      <c r="I16" s="43"/>
      <c r="J16" s="40"/>
      <c r="K16" s="57"/>
    </row>
    <row r="17" spans="1:11" hidden="1">
      <c r="A17" s="40"/>
      <c r="B17" s="40"/>
      <c r="C17" s="40"/>
      <c r="D17" s="40"/>
      <c r="E17" s="42"/>
      <c r="F17" s="42"/>
      <c r="G17" s="40"/>
      <c r="H17" s="40"/>
      <c r="I17" s="43"/>
      <c r="J17" s="40"/>
      <c r="K17" s="57"/>
    </row>
    <row r="18" spans="1:11" hidden="1">
      <c r="A18" s="40"/>
      <c r="B18" s="40"/>
      <c r="C18" s="40"/>
      <c r="D18" s="40"/>
      <c r="E18" s="42"/>
      <c r="F18" s="42"/>
      <c r="G18" s="40"/>
      <c r="H18" s="40"/>
      <c r="I18" s="43"/>
      <c r="J18" s="40"/>
      <c r="K18" s="57"/>
    </row>
    <row r="19" spans="1:11" hidden="1">
      <c r="A19" s="40"/>
      <c r="B19" s="40"/>
      <c r="C19" s="40"/>
      <c r="D19" s="40"/>
      <c r="E19" s="42"/>
      <c r="F19" s="42"/>
      <c r="G19" s="40"/>
      <c r="H19" s="40"/>
      <c r="I19" s="43"/>
      <c r="J19" s="40"/>
      <c r="K19" s="57"/>
    </row>
    <row r="20" spans="1:11" hidden="1">
      <c r="A20" s="40"/>
      <c r="B20" s="40"/>
      <c r="C20" s="40"/>
      <c r="D20" s="40"/>
      <c r="E20" s="42"/>
      <c r="F20" s="42"/>
      <c r="G20" s="40"/>
      <c r="H20" s="40"/>
      <c r="I20" s="43"/>
      <c r="J20" s="40"/>
      <c r="K20" s="57"/>
    </row>
    <row r="21" spans="1:11" hidden="1">
      <c r="A21" s="40"/>
      <c r="B21" s="40"/>
      <c r="C21" s="40"/>
      <c r="D21" s="40"/>
      <c r="E21" s="42"/>
      <c r="F21" s="42"/>
      <c r="G21" s="40"/>
      <c r="H21" s="40"/>
      <c r="I21" s="43"/>
      <c r="J21" s="40"/>
      <c r="K21" s="57"/>
    </row>
    <row r="22" spans="1:11" hidden="1">
      <c r="A22" s="40"/>
      <c r="B22" s="40"/>
      <c r="C22" s="40"/>
      <c r="D22" s="40"/>
      <c r="E22" s="42"/>
      <c r="F22" s="42"/>
      <c r="G22" s="40"/>
      <c r="H22" s="40"/>
      <c r="I22" s="43"/>
      <c r="J22" s="40"/>
      <c r="K22" s="57"/>
    </row>
    <row r="23" spans="1:11" hidden="1">
      <c r="A23" s="40"/>
      <c r="B23" s="40"/>
      <c r="C23" s="40"/>
      <c r="D23" s="40"/>
      <c r="E23" s="42"/>
      <c r="F23" s="42"/>
      <c r="G23" s="40"/>
      <c r="H23" s="40"/>
      <c r="I23" s="43"/>
      <c r="J23" s="40"/>
      <c r="K23" s="57"/>
    </row>
    <row r="24" spans="1:11" hidden="1">
      <c r="A24" s="40"/>
      <c r="B24" s="40"/>
      <c r="C24" s="40"/>
      <c r="D24" s="40"/>
      <c r="E24" s="42"/>
      <c r="F24" s="42"/>
      <c r="G24" s="40"/>
      <c r="H24" s="40"/>
      <c r="I24" s="43"/>
      <c r="J24" s="40"/>
      <c r="K24" s="57"/>
    </row>
    <row r="25" spans="1:11" hidden="1">
      <c r="A25" s="40"/>
      <c r="B25" s="40"/>
      <c r="C25" s="40"/>
      <c r="D25" s="40"/>
      <c r="E25" s="42"/>
      <c r="F25" s="42"/>
      <c r="G25" s="40"/>
      <c r="H25" s="40"/>
      <c r="I25" s="43"/>
      <c r="J25" s="40"/>
      <c r="K25" s="57"/>
    </row>
    <row r="26" spans="1:11" hidden="1">
      <c r="A26" s="40"/>
      <c r="B26" s="40"/>
      <c r="C26" s="40"/>
      <c r="D26" s="40"/>
      <c r="E26" s="42"/>
      <c r="F26" s="42"/>
      <c r="G26" s="40"/>
      <c r="H26" s="40"/>
      <c r="I26" s="40"/>
      <c r="J26" s="40"/>
      <c r="K26" s="57"/>
    </row>
    <row r="27" spans="1:11" hidden="1">
      <c r="A27" s="40"/>
      <c r="B27" s="40"/>
      <c r="C27" s="40"/>
      <c r="D27" s="40"/>
      <c r="E27" s="42"/>
      <c r="F27" s="42"/>
      <c r="G27" s="40"/>
      <c r="H27" s="40"/>
      <c r="I27" s="40"/>
      <c r="J27" s="40"/>
      <c r="K27" s="57"/>
    </row>
    <row r="28" spans="1:11" hidden="1">
      <c r="A28" s="40"/>
      <c r="B28" s="40"/>
      <c r="C28" s="40"/>
      <c r="D28" s="40"/>
      <c r="E28" s="42"/>
      <c r="F28" s="42"/>
      <c r="G28" s="40"/>
      <c r="H28" s="40"/>
      <c r="I28" s="40"/>
      <c r="J28" s="40"/>
      <c r="K28" s="57"/>
    </row>
    <row r="29" spans="1:11" hidden="1">
      <c r="A29" s="40"/>
      <c r="B29" s="40"/>
      <c r="C29" s="40"/>
      <c r="D29" s="40"/>
      <c r="E29" s="42"/>
      <c r="F29" s="42"/>
      <c r="G29" s="40"/>
      <c r="H29" s="40"/>
      <c r="I29" s="40"/>
      <c r="J29" s="40"/>
      <c r="K29" s="57"/>
    </row>
    <row r="30" spans="1:11" hidden="1">
      <c r="A30" s="40"/>
      <c r="B30" s="40"/>
      <c r="C30" s="40"/>
      <c r="D30" s="40"/>
      <c r="E30" s="42"/>
      <c r="F30" s="42"/>
      <c r="G30" s="40"/>
      <c r="H30" s="40"/>
      <c r="I30" s="40"/>
      <c r="J30" s="40"/>
      <c r="K30" s="57"/>
    </row>
    <row r="31" spans="1:11" hidden="1">
      <c r="A31" s="40"/>
      <c r="B31" s="40"/>
      <c r="C31" s="40"/>
      <c r="D31" s="40"/>
      <c r="E31" s="42"/>
      <c r="F31" s="42"/>
      <c r="G31" s="40"/>
      <c r="H31" s="40"/>
      <c r="I31" s="40"/>
      <c r="J31" s="40"/>
      <c r="K31" s="57"/>
    </row>
    <row r="32" spans="1:11" hidden="1">
      <c r="A32" s="40"/>
      <c r="B32" s="40"/>
      <c r="C32" s="40"/>
      <c r="D32" s="40"/>
      <c r="E32" s="42"/>
      <c r="F32" s="42"/>
      <c r="G32" s="40"/>
      <c r="H32" s="40"/>
      <c r="I32" s="40"/>
      <c r="J32" s="40"/>
      <c r="K32" s="57"/>
    </row>
    <row r="33" spans="1:11" hidden="1">
      <c r="A33" s="40"/>
      <c r="B33" s="40"/>
      <c r="C33" s="40"/>
      <c r="D33" s="40"/>
      <c r="E33" s="42"/>
      <c r="F33" s="42"/>
      <c r="G33" s="40"/>
      <c r="H33" s="40"/>
      <c r="I33" s="40"/>
      <c r="J33" s="40"/>
      <c r="K33" s="57"/>
    </row>
    <row r="34" spans="1:11" hidden="1">
      <c r="A34" s="40"/>
      <c r="B34" s="40"/>
      <c r="C34" s="40"/>
      <c r="D34" s="40"/>
      <c r="E34" s="42"/>
      <c r="F34" s="42"/>
      <c r="G34" s="40"/>
      <c r="H34" s="40"/>
      <c r="I34" s="43"/>
      <c r="J34" s="40"/>
      <c r="K34" s="57"/>
    </row>
    <row r="35" spans="1:11" hidden="1">
      <c r="A35" s="40"/>
      <c r="B35" s="40"/>
      <c r="C35" s="40"/>
      <c r="D35" s="40"/>
      <c r="E35" s="42"/>
      <c r="F35" s="42"/>
      <c r="G35" s="40"/>
      <c r="H35" s="40"/>
      <c r="I35" s="43"/>
      <c r="J35" s="40"/>
      <c r="K35" s="57"/>
    </row>
    <row r="36" spans="1:11" hidden="1">
      <c r="A36" s="40"/>
      <c r="B36" s="40"/>
      <c r="C36" s="40"/>
      <c r="D36" s="40"/>
      <c r="E36" s="40"/>
      <c r="F36" s="40"/>
      <c r="G36" s="40"/>
      <c r="H36" s="40"/>
      <c r="I36" s="40"/>
      <c r="J36" s="40"/>
      <c r="K36" s="57"/>
    </row>
    <row r="37" spans="1:11" hidden="1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57"/>
    </row>
    <row r="38" spans="1:11" hidden="1">
      <c r="A38" s="40"/>
      <c r="B38" s="40"/>
      <c r="C38" s="40"/>
      <c r="D38" s="40"/>
      <c r="E38" s="40"/>
      <c r="F38" s="40"/>
      <c r="G38" s="40"/>
      <c r="H38" s="40"/>
      <c r="I38" s="40"/>
      <c r="J38" s="40"/>
      <c r="K38" s="57"/>
    </row>
    <row r="39" spans="1:11" hidden="1">
      <c r="A39" s="40"/>
      <c r="B39" s="40"/>
      <c r="C39" s="40"/>
      <c r="D39" s="40"/>
      <c r="E39" s="40"/>
      <c r="F39" s="42"/>
      <c r="G39" s="40"/>
      <c r="H39" s="40"/>
      <c r="I39" s="40"/>
      <c r="J39" s="40"/>
      <c r="K39" s="57"/>
    </row>
    <row r="40" spans="1:11" hidden="1">
      <c r="A40" s="40"/>
      <c r="B40" s="40"/>
      <c r="C40" s="40"/>
      <c r="D40" s="40"/>
      <c r="E40" s="40"/>
      <c r="F40" s="42"/>
      <c r="G40" s="40"/>
      <c r="H40" s="40"/>
      <c r="I40" s="40"/>
      <c r="J40" s="40"/>
      <c r="K40" s="57"/>
    </row>
    <row r="41" spans="1:11">
      <c r="A41" s="55" t="s">
        <v>30</v>
      </c>
      <c r="B41" s="55" t="s">
        <v>30</v>
      </c>
      <c r="C41" s="55" t="s">
        <v>1170</v>
      </c>
      <c r="D41" s="55" t="s">
        <v>1172</v>
      </c>
      <c r="E41" s="58">
        <f>ROUNDDOWN('01-Process Controls'!$D$7,0)</f>
        <v>600</v>
      </c>
      <c r="F41" s="58">
        <f>ROUNDDOWN('01-Process Controls'!$E$7,0)</f>
        <v>900</v>
      </c>
      <c r="G41" s="55" t="s">
        <v>1171</v>
      </c>
      <c r="H41" s="55" t="s">
        <v>1173</v>
      </c>
      <c r="I41" s="56" t="s">
        <v>35</v>
      </c>
      <c r="J41" s="55" t="str">
        <f>IF(OR(E41&lt;=0,F41&lt;=0),"ERROR - NONPOSITIVE",IF(OR(E41&lt;'01-Process Controls'!$G$7,F41&lt;'01-Process Controls'!$G$7),"ERROR - BELOW MIN",IF(OR(AND(E41&lt;='01-Process Controls'!$D$7-2*'01-Process Controls'!$H$7,F41&lt;='01-Process Controls'!$E$7-2*'01-Process Controls'!$H$7),AND(E41&lt;='01-Process Controls'!$E$7-2*'01-Process Controls'!$H$7,F41&lt;='01-Process Controls'!$D$7-2*'01-Process Controls'!$H$7)),"VALID - SAFE",IF(OR(AND(E41&lt;='01-Process Controls'!$D$7,F41&lt;='01-Process Controls'!$E$7),AND(E41&lt;='01-Process Controls'!$E$7,F41&lt;='01-Process Controls'!$D$7)),"VALID - NOMINAL EDGE","ERROR - EXCEEDS BED"))))</f>
        <v>VALID - NOMINAL EDGE</v>
      </c>
      <c r="K41" s="55" t="s">
        <v>2507</v>
      </c>
    </row>
    <row r="42" spans="1:11">
      <c r="A42" s="55" t="s">
        <v>1174</v>
      </c>
      <c r="B42" s="55" t="s">
        <v>30</v>
      </c>
      <c r="C42" s="55" t="s">
        <v>1175</v>
      </c>
      <c r="D42" s="55" t="s">
        <v>1172</v>
      </c>
      <c r="E42" s="58">
        <f>ROUNDDOWN(MAX(1,'01-Process Controls'!$D$7-2*'01-Process Controls'!$H$7),0)</f>
        <v>580</v>
      </c>
      <c r="F42" s="58">
        <f>ROUNDDOWN(MAX(1,'01-Process Controls'!$E$7-2*'01-Process Controls'!$H$7),0)</f>
        <v>880</v>
      </c>
      <c r="G42" s="55" t="s">
        <v>1171</v>
      </c>
      <c r="H42" s="55" t="s">
        <v>1176</v>
      </c>
      <c r="I42" s="56" t="s">
        <v>66</v>
      </c>
      <c r="J42" s="55" t="str">
        <f>IF(OR(E42&lt;=0,F42&lt;=0),"ERROR - NONPOSITIVE",IF(OR(E42&lt;'01-Process Controls'!$G$7,F42&lt;'01-Process Controls'!$G$7),"ERROR - BELOW MIN",IF(OR(AND(E42&lt;='01-Process Controls'!$D$7-2*'01-Process Controls'!$H$7,F42&lt;='01-Process Controls'!$E$7-2*'01-Process Controls'!$H$7),AND(E42&lt;='01-Process Controls'!$E$7-2*'01-Process Controls'!$H$7,F42&lt;='01-Process Controls'!$D$7-2*'01-Process Controls'!$H$7)),"VALID - SAFE",IF(OR(AND(E42&lt;='01-Process Controls'!$D$7,F42&lt;='01-Process Controls'!$E$7),AND(E42&lt;='01-Process Controls'!$E$7,F42&lt;='01-Process Controls'!$D$7)),"VALID - NOMINAL EDGE","ERROR - EXCEEDS BED"))))</f>
        <v>VALID - SAFE</v>
      </c>
      <c r="K42" s="55" t="s">
        <v>2507</v>
      </c>
    </row>
    <row r="43" spans="1:11">
      <c r="A43" s="40" t="s">
        <v>1177</v>
      </c>
      <c r="B43" s="40" t="s">
        <v>30</v>
      </c>
      <c r="C43" s="40" t="s">
        <v>1178</v>
      </c>
      <c r="D43" s="40" t="s">
        <v>1179</v>
      </c>
      <c r="E43" s="59">
        <f>ROUNDDOWN('01-Process Controls'!$D$7,0)</f>
        <v>600</v>
      </c>
      <c r="F43" s="59">
        <f>ROUNDDOWN(ROUND('01-Process Controls'!$E$7/2,2),0)</f>
        <v>450</v>
      </c>
      <c r="G43" s="40" t="s">
        <v>1171</v>
      </c>
      <c r="H43" s="40" t="s">
        <v>1180</v>
      </c>
      <c r="I43" s="40" t="s">
        <v>87</v>
      </c>
      <c r="J43" s="40" t="str">
        <f>IF(OR(E43&lt;=0,F43&lt;=0),"ERROR - NONPOSITIVE",IF(OR(E43&lt;'01-Process Controls'!$G$7,F43&lt;'01-Process Controls'!$G$7),"ERROR - BELOW MIN",IF(OR(AND(E43&lt;='01-Process Controls'!$D$7-2*'01-Process Controls'!$H$7,F43&lt;='01-Process Controls'!$E$7-2*'01-Process Controls'!$H$7),AND(E43&lt;='01-Process Controls'!$E$7-2*'01-Process Controls'!$H$7,F43&lt;='01-Process Controls'!$D$7-2*'01-Process Controls'!$H$7)),"VALID - SAFE",IF(OR(AND(E43&lt;='01-Process Controls'!$D$7,F43&lt;='01-Process Controls'!$E$7),AND(E43&lt;='01-Process Controls'!$E$7,F43&lt;='01-Process Controls'!$D$7)),"VALID - NOMINAL EDGE","ERROR - EXCEEDS BED"))))</f>
        <v>VALID - SAFE</v>
      </c>
      <c r="K43" s="57" t="s">
        <v>2507</v>
      </c>
    </row>
    <row r="44" spans="1:11">
      <c r="A44" s="40" t="s">
        <v>1181</v>
      </c>
      <c r="B44" s="40" t="s">
        <v>30</v>
      </c>
      <c r="C44" s="40" t="s">
        <v>356</v>
      </c>
      <c r="D44" s="40" t="s">
        <v>1183</v>
      </c>
      <c r="E44" s="41">
        <v>420</v>
      </c>
      <c r="F44" s="41">
        <v>594</v>
      </c>
      <c r="G44" s="40" t="s">
        <v>1182</v>
      </c>
      <c r="H44" s="40" t="s">
        <v>1184</v>
      </c>
      <c r="I44" s="43" t="s">
        <v>24</v>
      </c>
      <c r="J44" s="40" t="str">
        <f>IF(OR(E44&lt;=0,F44&lt;=0),"ERROR - NONPOSITIVE",IF(OR(E44&lt;'01-Process Controls'!$G$7,F44&lt;'01-Process Controls'!$G$7),"ERROR - BELOW MIN",IF(OR(AND(E44&lt;='01-Process Controls'!$D$7-2*'01-Process Controls'!$H$7,F44&lt;='01-Process Controls'!$E$7-2*'01-Process Controls'!$H$7),AND(E44&lt;='01-Process Controls'!$E$7-2*'01-Process Controls'!$H$7,F44&lt;='01-Process Controls'!$D$7-2*'01-Process Controls'!$H$7)),"VALID - SAFE",IF(OR(AND(E44&lt;='01-Process Controls'!$D$7,F44&lt;='01-Process Controls'!$E$7),AND(E44&lt;='01-Process Controls'!$E$7,F44&lt;='01-Process Controls'!$D$7)),"VALID - NOMINAL EDGE","ERROR - EXCEEDS BED"))))</f>
        <v>VALID - SAFE</v>
      </c>
      <c r="K44" s="57" t="s">
        <v>2507</v>
      </c>
    </row>
    <row r="45" spans="1:11">
      <c r="A45" s="40" t="s">
        <v>1185</v>
      </c>
      <c r="B45" s="40" t="s">
        <v>30</v>
      </c>
      <c r="C45" s="40" t="s">
        <v>356</v>
      </c>
      <c r="D45" s="40" t="s">
        <v>1186</v>
      </c>
      <c r="E45" s="41">
        <v>594</v>
      </c>
      <c r="F45" s="41">
        <v>420</v>
      </c>
      <c r="G45" s="40" t="s">
        <v>1182</v>
      </c>
      <c r="H45" s="40" t="s">
        <v>1184</v>
      </c>
      <c r="I45" s="43" t="s">
        <v>24</v>
      </c>
      <c r="J45" s="40" t="str">
        <f>IF(OR(E45&lt;=0,F45&lt;=0),"ERROR - NONPOSITIVE",IF(OR(E45&lt;'01-Process Controls'!$G$7,F45&lt;'01-Process Controls'!$G$7),"ERROR - BELOW MIN",IF(OR(AND(E45&lt;='01-Process Controls'!$D$7-2*'01-Process Controls'!$H$7,F45&lt;='01-Process Controls'!$E$7-2*'01-Process Controls'!$H$7),AND(E45&lt;='01-Process Controls'!$E$7-2*'01-Process Controls'!$H$7,F45&lt;='01-Process Controls'!$D$7-2*'01-Process Controls'!$H$7)),"VALID - SAFE",IF(OR(AND(E45&lt;='01-Process Controls'!$D$7,F45&lt;='01-Process Controls'!$E$7),AND(E45&lt;='01-Process Controls'!$E$7,F45&lt;='01-Process Controls'!$D$7)),"VALID - NOMINAL EDGE","ERROR - EXCEEDS BED"))))</f>
        <v>VALID - SAFE</v>
      </c>
      <c r="K45" s="57" t="s">
        <v>2507</v>
      </c>
    </row>
    <row r="46" spans="1:11">
      <c r="A46" s="40" t="s">
        <v>1187</v>
      </c>
      <c r="B46" s="40" t="s">
        <v>30</v>
      </c>
      <c r="C46" s="40" t="s">
        <v>430</v>
      </c>
      <c r="D46" s="40" t="s">
        <v>1183</v>
      </c>
      <c r="E46" s="41">
        <v>297</v>
      </c>
      <c r="F46" s="41">
        <v>420</v>
      </c>
      <c r="G46" s="40" t="s">
        <v>1182</v>
      </c>
      <c r="H46" s="40" t="s">
        <v>87</v>
      </c>
      <c r="I46" s="43" t="s">
        <v>24</v>
      </c>
      <c r="J46" s="40" t="str">
        <f>IF(OR(E46&lt;=0,F46&lt;=0),"ERROR - NONPOSITIVE",IF(OR(E46&lt;'01-Process Controls'!$G$7,F46&lt;'01-Process Controls'!$G$7),"ERROR - BELOW MIN",IF(OR(AND(E46&lt;='01-Process Controls'!$D$7-2*'01-Process Controls'!$H$7,F46&lt;='01-Process Controls'!$E$7-2*'01-Process Controls'!$H$7),AND(E46&lt;='01-Process Controls'!$E$7-2*'01-Process Controls'!$H$7,F46&lt;='01-Process Controls'!$D$7-2*'01-Process Controls'!$H$7)),"VALID - SAFE",IF(OR(AND(E46&lt;='01-Process Controls'!$D$7,F46&lt;='01-Process Controls'!$E$7),AND(E46&lt;='01-Process Controls'!$E$7,F46&lt;='01-Process Controls'!$D$7)),"VALID - NOMINAL EDGE","ERROR - EXCEEDS BED"))))</f>
        <v>VALID - SAFE</v>
      </c>
      <c r="K46" s="57" t="s">
        <v>2507</v>
      </c>
    </row>
    <row r="47" spans="1:11">
      <c r="A47" s="40" t="s">
        <v>1188</v>
      </c>
      <c r="B47" s="40" t="s">
        <v>30</v>
      </c>
      <c r="C47" s="40" t="s">
        <v>504</v>
      </c>
      <c r="D47" s="40" t="s">
        <v>1183</v>
      </c>
      <c r="E47" s="41">
        <v>210</v>
      </c>
      <c r="F47" s="41">
        <v>297</v>
      </c>
      <c r="G47" s="40" t="s">
        <v>1182</v>
      </c>
      <c r="H47" s="40" t="s">
        <v>87</v>
      </c>
      <c r="I47" s="43" t="s">
        <v>24</v>
      </c>
      <c r="J47" s="40" t="str">
        <f>IF(OR(E47&lt;=0,F47&lt;=0),"ERROR - NONPOSITIVE",IF(OR(E47&lt;'01-Process Controls'!$G$7,F47&lt;'01-Process Controls'!$G$7),"ERROR - BELOW MIN",IF(OR(AND(E47&lt;='01-Process Controls'!$D$7-2*'01-Process Controls'!$H$7,F47&lt;='01-Process Controls'!$E$7-2*'01-Process Controls'!$H$7),AND(E47&lt;='01-Process Controls'!$E$7-2*'01-Process Controls'!$H$7,F47&lt;='01-Process Controls'!$D$7-2*'01-Process Controls'!$H$7)),"VALID - SAFE",IF(OR(AND(E47&lt;='01-Process Controls'!$D$7,F47&lt;='01-Process Controls'!$E$7),AND(E47&lt;='01-Process Controls'!$E$7,F47&lt;='01-Process Controls'!$D$7)),"VALID - NOMINAL EDGE","ERROR - EXCEEDS BED"))))</f>
        <v>VALID - SAFE</v>
      </c>
      <c r="K47" s="57" t="s">
        <v>2507</v>
      </c>
    </row>
    <row r="48" spans="1:11">
      <c r="A48" s="40" t="s">
        <v>1189</v>
      </c>
      <c r="B48" s="40" t="s">
        <v>30</v>
      </c>
      <c r="C48" s="40" t="s">
        <v>578</v>
      </c>
      <c r="D48" s="40" t="s">
        <v>1183</v>
      </c>
      <c r="E48" s="41">
        <v>148</v>
      </c>
      <c r="F48" s="41">
        <v>210</v>
      </c>
      <c r="G48" s="40" t="s">
        <v>1182</v>
      </c>
      <c r="H48" s="40" t="s">
        <v>87</v>
      </c>
      <c r="I48" s="43" t="s">
        <v>24</v>
      </c>
      <c r="J48" s="40" t="str">
        <f>IF(OR(E48&lt;=0,F48&lt;=0),"ERROR - NONPOSITIVE",IF(OR(E48&lt;'01-Process Controls'!$G$7,F48&lt;'01-Process Controls'!$G$7),"ERROR - BELOW MIN",IF(OR(AND(E48&lt;='01-Process Controls'!$D$7-2*'01-Process Controls'!$H$7,F48&lt;='01-Process Controls'!$E$7-2*'01-Process Controls'!$H$7),AND(E48&lt;='01-Process Controls'!$E$7-2*'01-Process Controls'!$H$7,F48&lt;='01-Process Controls'!$D$7-2*'01-Process Controls'!$H$7)),"VALID - SAFE",IF(OR(AND(E48&lt;='01-Process Controls'!$D$7,F48&lt;='01-Process Controls'!$E$7),AND(E48&lt;='01-Process Controls'!$E$7,F48&lt;='01-Process Controls'!$D$7)),"VALID - NOMINAL EDGE","ERROR - EXCEEDS BED"))))</f>
        <v>VALID - SAFE</v>
      </c>
      <c r="K48" s="57" t="s">
        <v>2507</v>
      </c>
    </row>
    <row r="49" spans="1:11">
      <c r="A49" s="40" t="s">
        <v>1190</v>
      </c>
      <c r="B49" s="40" t="s">
        <v>30</v>
      </c>
      <c r="C49" s="40" t="s">
        <v>1191</v>
      </c>
      <c r="D49" s="40" t="s">
        <v>1193</v>
      </c>
      <c r="E49" s="41">
        <v>300</v>
      </c>
      <c r="F49" s="41">
        <v>300</v>
      </c>
      <c r="G49" s="40" t="s">
        <v>1192</v>
      </c>
      <c r="H49" s="40" t="s">
        <v>1194</v>
      </c>
      <c r="I49" s="40" t="s">
        <v>87</v>
      </c>
      <c r="J49" s="40" t="str">
        <f>IF(OR(E49&lt;=0,F49&lt;=0),"ERROR - NONPOSITIVE",IF(OR(E49&lt;'01-Process Controls'!$G$7,F49&lt;'01-Process Controls'!$G$7),"ERROR - BELOW MIN",IF(OR(AND(E49&lt;='01-Process Controls'!$D$7-2*'01-Process Controls'!$H$7,F49&lt;='01-Process Controls'!$E$7-2*'01-Process Controls'!$H$7),AND(E49&lt;='01-Process Controls'!$E$7-2*'01-Process Controls'!$H$7,F49&lt;='01-Process Controls'!$D$7-2*'01-Process Controls'!$H$7)),"VALID - SAFE",IF(OR(AND(E49&lt;='01-Process Controls'!$D$7,F49&lt;='01-Process Controls'!$E$7),AND(E49&lt;='01-Process Controls'!$E$7,F49&lt;='01-Process Controls'!$D$7)),"VALID - NOMINAL EDGE","ERROR - EXCEEDS BED"))))</f>
        <v>VALID - SAFE</v>
      </c>
      <c r="K49" s="57" t="s">
        <v>2507</v>
      </c>
    </row>
    <row r="50" spans="1:11">
      <c r="A50" s="40" t="s">
        <v>1195</v>
      </c>
      <c r="B50" s="40" t="s">
        <v>30</v>
      </c>
      <c r="C50" s="40" t="s">
        <v>1191</v>
      </c>
      <c r="D50" s="40" t="s">
        <v>1193</v>
      </c>
      <c r="E50" s="41">
        <v>250</v>
      </c>
      <c r="F50" s="41">
        <v>250</v>
      </c>
      <c r="G50" s="40" t="s">
        <v>1192</v>
      </c>
      <c r="H50" s="40" t="s">
        <v>1194</v>
      </c>
      <c r="I50" s="40" t="s">
        <v>87</v>
      </c>
      <c r="J50" s="40" t="str">
        <f>IF(OR(E50&lt;=0,F50&lt;=0),"ERROR - NONPOSITIVE",IF(OR(E50&lt;'01-Process Controls'!$G$7,F50&lt;'01-Process Controls'!$G$7),"ERROR - BELOW MIN",IF(OR(AND(E50&lt;='01-Process Controls'!$D$7-2*'01-Process Controls'!$H$7,F50&lt;='01-Process Controls'!$E$7-2*'01-Process Controls'!$H$7),AND(E50&lt;='01-Process Controls'!$E$7-2*'01-Process Controls'!$H$7,F50&lt;='01-Process Controls'!$D$7-2*'01-Process Controls'!$H$7)),"VALID - SAFE",IF(OR(AND(E50&lt;='01-Process Controls'!$D$7,F50&lt;='01-Process Controls'!$E$7),AND(E50&lt;='01-Process Controls'!$E$7,F50&lt;='01-Process Controls'!$D$7)),"VALID - NOMINAL EDGE","ERROR - EXCEEDS BED"))))</f>
        <v>VALID - SAFE</v>
      </c>
      <c r="K50" s="57" t="s">
        <v>2507</v>
      </c>
    </row>
    <row r="51" spans="1:11">
      <c r="A51" s="40" t="s">
        <v>1196</v>
      </c>
      <c r="B51" s="40" t="s">
        <v>30</v>
      </c>
      <c r="C51" s="40" t="s">
        <v>1191</v>
      </c>
      <c r="D51" s="40" t="s">
        <v>1193</v>
      </c>
      <c r="E51" s="41">
        <v>200</v>
      </c>
      <c r="F51" s="41">
        <v>200</v>
      </c>
      <c r="G51" s="40" t="s">
        <v>1192</v>
      </c>
      <c r="H51" s="40" t="s">
        <v>1194</v>
      </c>
      <c r="I51" s="40" t="s">
        <v>87</v>
      </c>
      <c r="J51" s="40" t="str">
        <f>IF(OR(E51&lt;=0,F51&lt;=0),"ERROR - NONPOSITIVE",IF(OR(E51&lt;'01-Process Controls'!$G$7,F51&lt;'01-Process Controls'!$G$7),"ERROR - BELOW MIN",IF(OR(AND(E51&lt;='01-Process Controls'!$D$7-2*'01-Process Controls'!$H$7,F51&lt;='01-Process Controls'!$E$7-2*'01-Process Controls'!$H$7),AND(E51&lt;='01-Process Controls'!$E$7-2*'01-Process Controls'!$H$7,F51&lt;='01-Process Controls'!$D$7-2*'01-Process Controls'!$H$7)),"VALID - SAFE",IF(OR(AND(E51&lt;='01-Process Controls'!$D$7,F51&lt;='01-Process Controls'!$E$7),AND(E51&lt;='01-Process Controls'!$E$7,F51&lt;='01-Process Controls'!$D$7)),"VALID - NOMINAL EDGE","ERROR - EXCEEDS BED"))))</f>
        <v>VALID - SAFE</v>
      </c>
      <c r="K51" s="57" t="s">
        <v>2507</v>
      </c>
    </row>
    <row r="52" spans="1:11">
      <c r="A52" s="40" t="s">
        <v>1197</v>
      </c>
      <c r="B52" s="40" t="s">
        <v>30</v>
      </c>
      <c r="C52" s="40" t="s">
        <v>1191</v>
      </c>
      <c r="D52" s="40" t="s">
        <v>1193</v>
      </c>
      <c r="E52" s="41">
        <v>150</v>
      </c>
      <c r="F52" s="41">
        <v>150</v>
      </c>
      <c r="G52" s="40" t="s">
        <v>1192</v>
      </c>
      <c r="H52" s="40" t="s">
        <v>1194</v>
      </c>
      <c r="I52" s="40" t="s">
        <v>87</v>
      </c>
      <c r="J52" s="40" t="str">
        <f>IF(OR(E52&lt;=0,F52&lt;=0),"ERROR - NONPOSITIVE",IF(OR(E52&lt;'01-Process Controls'!$G$7,F52&lt;'01-Process Controls'!$G$7),"ERROR - BELOW MIN",IF(OR(AND(E52&lt;='01-Process Controls'!$D$7-2*'01-Process Controls'!$H$7,F52&lt;='01-Process Controls'!$E$7-2*'01-Process Controls'!$H$7),AND(E52&lt;='01-Process Controls'!$E$7-2*'01-Process Controls'!$H$7,F52&lt;='01-Process Controls'!$D$7-2*'01-Process Controls'!$H$7)),"VALID - SAFE",IF(OR(AND(E52&lt;='01-Process Controls'!$D$7,F52&lt;='01-Process Controls'!$E$7),AND(E52&lt;='01-Process Controls'!$E$7,F52&lt;='01-Process Controls'!$D$7)),"VALID - NOMINAL EDGE","ERROR - EXCEEDS BED"))))</f>
        <v>VALID - SAFE</v>
      </c>
      <c r="K52" s="57" t="s">
        <v>2507</v>
      </c>
    </row>
    <row r="53" spans="1:11">
      <c r="A53" s="40" t="s">
        <v>1198</v>
      </c>
      <c r="B53" s="40" t="s">
        <v>30</v>
      </c>
      <c r="C53" s="40" t="s">
        <v>1191</v>
      </c>
      <c r="D53" s="40" t="s">
        <v>1193</v>
      </c>
      <c r="E53" s="41">
        <v>120</v>
      </c>
      <c r="F53" s="41">
        <v>120</v>
      </c>
      <c r="G53" s="40" t="s">
        <v>1192</v>
      </c>
      <c r="H53" s="40" t="s">
        <v>1194</v>
      </c>
      <c r="I53" s="40" t="s">
        <v>87</v>
      </c>
      <c r="J53" s="40" t="str">
        <f>IF(OR(E53&lt;=0,F53&lt;=0),"ERROR - NONPOSITIVE",IF(OR(E53&lt;'01-Process Controls'!$G$7,F53&lt;'01-Process Controls'!$G$7),"ERROR - BELOW MIN",IF(OR(AND(E53&lt;='01-Process Controls'!$D$7-2*'01-Process Controls'!$H$7,F53&lt;='01-Process Controls'!$E$7-2*'01-Process Controls'!$H$7),AND(E53&lt;='01-Process Controls'!$E$7-2*'01-Process Controls'!$H$7,F53&lt;='01-Process Controls'!$D$7-2*'01-Process Controls'!$H$7)),"VALID - SAFE",IF(OR(AND(E53&lt;='01-Process Controls'!$D$7,F53&lt;='01-Process Controls'!$E$7),AND(E53&lt;='01-Process Controls'!$E$7,F53&lt;='01-Process Controls'!$D$7)),"VALID - NOMINAL EDGE","ERROR - EXCEEDS BED"))))</f>
        <v>VALID - SAFE</v>
      </c>
      <c r="K53" s="57" t="s">
        <v>2507</v>
      </c>
    </row>
    <row r="54" spans="1:11">
      <c r="A54" s="40" t="s">
        <v>1199</v>
      </c>
      <c r="B54" s="40" t="s">
        <v>30</v>
      </c>
      <c r="C54" s="40" t="s">
        <v>1200</v>
      </c>
      <c r="D54" s="40" t="s">
        <v>1193</v>
      </c>
      <c r="E54" s="41">
        <v>50</v>
      </c>
      <c r="F54" s="41">
        <v>50</v>
      </c>
      <c r="G54" s="40" t="s">
        <v>1192</v>
      </c>
      <c r="H54" s="40" t="s">
        <v>1201</v>
      </c>
      <c r="I54" s="40" t="s">
        <v>87</v>
      </c>
      <c r="J54" s="40" t="str">
        <f>IF(OR(E54&lt;=0,F54&lt;=0),"ERROR - NONPOSITIVE",IF(OR(E54&lt;'01-Process Controls'!$G$7,F54&lt;'01-Process Controls'!$G$7),"ERROR - BELOW MIN",IF(OR(AND(E54&lt;='01-Process Controls'!$D$7-2*'01-Process Controls'!$H$7,F54&lt;='01-Process Controls'!$E$7-2*'01-Process Controls'!$H$7),AND(E54&lt;='01-Process Controls'!$E$7-2*'01-Process Controls'!$H$7,F54&lt;='01-Process Controls'!$D$7-2*'01-Process Controls'!$H$7)),"VALID - SAFE",IF(OR(AND(E54&lt;='01-Process Controls'!$D$7,F54&lt;='01-Process Controls'!$E$7),AND(E54&lt;='01-Process Controls'!$E$7,F54&lt;='01-Process Controls'!$D$7)),"VALID - NOMINAL EDGE","ERROR - EXCEEDS BED"))))</f>
        <v>VALID - SAFE</v>
      </c>
      <c r="K54" s="57" t="s">
        <v>2507</v>
      </c>
    </row>
    <row r="55" spans="1:11">
      <c r="A55" s="40" t="s">
        <v>1202</v>
      </c>
      <c r="B55" s="40" t="s">
        <v>30</v>
      </c>
      <c r="C55" s="40" t="s">
        <v>1203</v>
      </c>
      <c r="D55" s="40" t="s">
        <v>1186</v>
      </c>
      <c r="E55" s="41">
        <v>100</v>
      </c>
      <c r="F55" s="41">
        <v>75</v>
      </c>
      <c r="G55" s="40" t="s">
        <v>1204</v>
      </c>
      <c r="H55" s="40" t="s">
        <v>1205</v>
      </c>
      <c r="I55" s="40" t="s">
        <v>87</v>
      </c>
      <c r="J55" s="40" t="str">
        <f>IF(OR(E55&lt;=0,F55&lt;=0),"ERROR - NONPOSITIVE",IF(OR(E55&lt;'01-Process Controls'!$G$7,F55&lt;'01-Process Controls'!$G$7),"ERROR - BELOW MIN",IF(OR(AND(E55&lt;='01-Process Controls'!$D$7-2*'01-Process Controls'!$H$7,F55&lt;='01-Process Controls'!$E$7-2*'01-Process Controls'!$H$7),AND(E55&lt;='01-Process Controls'!$E$7-2*'01-Process Controls'!$H$7,F55&lt;='01-Process Controls'!$D$7-2*'01-Process Controls'!$H$7)),"VALID - SAFE",IF(OR(AND(E55&lt;='01-Process Controls'!$D$7,F55&lt;='01-Process Controls'!$E$7),AND(E55&lt;='01-Process Controls'!$E$7,F55&lt;='01-Process Controls'!$D$7)),"VALID - NOMINAL EDGE","ERROR - EXCEEDS BED"))))</f>
        <v>VALID - SAFE</v>
      </c>
      <c r="K55" s="57" t="s">
        <v>2507</v>
      </c>
    </row>
    <row r="56" spans="1:11">
      <c r="A56" s="40" t="s">
        <v>1206</v>
      </c>
      <c r="B56" s="40" t="s">
        <v>30</v>
      </c>
      <c r="C56" s="40" t="s">
        <v>1203</v>
      </c>
      <c r="D56" s="40" t="s">
        <v>1186</v>
      </c>
      <c r="E56" s="41">
        <v>150</v>
      </c>
      <c r="F56" s="41">
        <v>100</v>
      </c>
      <c r="G56" s="40" t="s">
        <v>1204</v>
      </c>
      <c r="H56" s="40" t="s">
        <v>1205</v>
      </c>
      <c r="I56" s="40" t="s">
        <v>87</v>
      </c>
      <c r="J56" s="40" t="str">
        <f>IF(OR(E56&lt;=0,F56&lt;=0),"ERROR - NONPOSITIVE",IF(OR(E56&lt;'01-Process Controls'!$G$7,F56&lt;'01-Process Controls'!$G$7),"ERROR - BELOW MIN",IF(OR(AND(E56&lt;='01-Process Controls'!$D$7-2*'01-Process Controls'!$H$7,F56&lt;='01-Process Controls'!$E$7-2*'01-Process Controls'!$H$7),AND(E56&lt;='01-Process Controls'!$E$7-2*'01-Process Controls'!$H$7,F56&lt;='01-Process Controls'!$D$7-2*'01-Process Controls'!$H$7)),"VALID - SAFE",IF(OR(AND(E56&lt;='01-Process Controls'!$D$7,F56&lt;='01-Process Controls'!$E$7),AND(E56&lt;='01-Process Controls'!$E$7,F56&lt;='01-Process Controls'!$D$7)),"VALID - NOMINAL EDGE","ERROR - EXCEEDS BED"))))</f>
        <v>VALID - SAFE</v>
      </c>
      <c r="K56" s="57" t="s">
        <v>2507</v>
      </c>
    </row>
    <row r="57" spans="1:11">
      <c r="A57" s="40" t="s">
        <v>1207</v>
      </c>
      <c r="B57" s="40" t="s">
        <v>30</v>
      </c>
      <c r="C57" s="40" t="s">
        <v>1203</v>
      </c>
      <c r="D57" s="40" t="s">
        <v>1186</v>
      </c>
      <c r="E57" s="41">
        <v>200</v>
      </c>
      <c r="F57" s="41">
        <v>150</v>
      </c>
      <c r="G57" s="40" t="s">
        <v>1204</v>
      </c>
      <c r="H57" s="40" t="s">
        <v>1205</v>
      </c>
      <c r="I57" s="40" t="s">
        <v>87</v>
      </c>
      <c r="J57" s="40" t="str">
        <f>IF(OR(E57&lt;=0,F57&lt;=0),"ERROR - NONPOSITIVE",IF(OR(E57&lt;'01-Process Controls'!$G$7,F57&lt;'01-Process Controls'!$G$7),"ERROR - BELOW MIN",IF(OR(AND(E57&lt;='01-Process Controls'!$D$7-2*'01-Process Controls'!$H$7,F57&lt;='01-Process Controls'!$E$7-2*'01-Process Controls'!$H$7),AND(E57&lt;='01-Process Controls'!$E$7-2*'01-Process Controls'!$H$7,F57&lt;='01-Process Controls'!$D$7-2*'01-Process Controls'!$H$7)),"VALID - SAFE",IF(OR(AND(E57&lt;='01-Process Controls'!$D$7,F57&lt;='01-Process Controls'!$E$7),AND(E57&lt;='01-Process Controls'!$E$7,F57&lt;='01-Process Controls'!$D$7)),"VALID - NOMINAL EDGE","ERROR - EXCEEDS BED"))))</f>
        <v>VALID - SAFE</v>
      </c>
      <c r="K57" s="57" t="s">
        <v>2507</v>
      </c>
    </row>
    <row r="58" spans="1:11">
      <c r="A58" s="40" t="s">
        <v>1208</v>
      </c>
      <c r="B58" s="40" t="s">
        <v>30</v>
      </c>
      <c r="C58" s="40" t="s">
        <v>1209</v>
      </c>
      <c r="D58" s="40" t="s">
        <v>1186</v>
      </c>
      <c r="E58" s="41">
        <v>300</v>
      </c>
      <c r="F58" s="41">
        <v>200</v>
      </c>
      <c r="G58" s="40" t="s">
        <v>1204</v>
      </c>
      <c r="H58" s="40" t="s">
        <v>1205</v>
      </c>
      <c r="I58" s="40" t="s">
        <v>87</v>
      </c>
      <c r="J58" s="40" t="str">
        <f>IF(OR(E58&lt;=0,F58&lt;=0),"ERROR - NONPOSITIVE",IF(OR(E58&lt;'01-Process Controls'!$G$7,F58&lt;'01-Process Controls'!$G$7),"ERROR - BELOW MIN",IF(OR(AND(E58&lt;='01-Process Controls'!$D$7-2*'01-Process Controls'!$H$7,F58&lt;='01-Process Controls'!$E$7-2*'01-Process Controls'!$H$7),AND(E58&lt;='01-Process Controls'!$E$7-2*'01-Process Controls'!$H$7,F58&lt;='01-Process Controls'!$D$7-2*'01-Process Controls'!$H$7)),"VALID - SAFE",IF(OR(AND(E58&lt;='01-Process Controls'!$D$7,F58&lt;='01-Process Controls'!$E$7),AND(E58&lt;='01-Process Controls'!$E$7,F58&lt;='01-Process Controls'!$D$7)),"VALID - NOMINAL EDGE","ERROR - EXCEEDS BED"))))</f>
        <v>VALID - SAFE</v>
      </c>
      <c r="K58" s="57" t="s">
        <v>2507</v>
      </c>
    </row>
    <row r="59" spans="1:11">
      <c r="A59" s="40" t="s">
        <v>1210</v>
      </c>
      <c r="B59" s="40" t="s">
        <v>30</v>
      </c>
      <c r="C59" s="40" t="s">
        <v>1211</v>
      </c>
      <c r="D59" s="40" t="s">
        <v>1186</v>
      </c>
      <c r="E59" s="41">
        <v>400</v>
      </c>
      <c r="F59" s="41">
        <v>300</v>
      </c>
      <c r="G59" s="40" t="s">
        <v>1192</v>
      </c>
      <c r="H59" s="40" t="s">
        <v>1212</v>
      </c>
      <c r="I59" s="40" t="s">
        <v>87</v>
      </c>
      <c r="J59" s="40" t="str">
        <f>IF(OR(E59&lt;=0,F59&lt;=0),"ERROR - NONPOSITIVE",IF(OR(E59&lt;'01-Process Controls'!$G$7,F59&lt;'01-Process Controls'!$G$7),"ERROR - BELOW MIN",IF(OR(AND(E59&lt;='01-Process Controls'!$D$7-2*'01-Process Controls'!$H$7,F59&lt;='01-Process Controls'!$E$7-2*'01-Process Controls'!$H$7),AND(E59&lt;='01-Process Controls'!$E$7-2*'01-Process Controls'!$H$7,F59&lt;='01-Process Controls'!$D$7-2*'01-Process Controls'!$H$7)),"VALID - SAFE",IF(OR(AND(E59&lt;='01-Process Controls'!$D$7,F59&lt;='01-Process Controls'!$E$7),AND(E59&lt;='01-Process Controls'!$E$7,F59&lt;='01-Process Controls'!$D$7)),"VALID - NOMINAL EDGE","ERROR - EXCEEDS BED"))))</f>
        <v>VALID - SAFE</v>
      </c>
      <c r="K59" s="57" t="s">
        <v>2507</v>
      </c>
    </row>
    <row r="60" spans="1:11">
      <c r="A60" s="40" t="s">
        <v>1213</v>
      </c>
      <c r="B60" s="40" t="s">
        <v>30</v>
      </c>
      <c r="C60" s="40" t="s">
        <v>1211</v>
      </c>
      <c r="D60" s="40" t="s">
        <v>1186</v>
      </c>
      <c r="E60" s="41">
        <v>500</v>
      </c>
      <c r="F60" s="41">
        <v>300</v>
      </c>
      <c r="G60" s="40" t="s">
        <v>1192</v>
      </c>
      <c r="H60" s="40" t="s">
        <v>1212</v>
      </c>
      <c r="I60" s="40" t="s">
        <v>87</v>
      </c>
      <c r="J60" s="40" t="str">
        <f>IF(OR(E60&lt;=0,F60&lt;=0),"ERROR - NONPOSITIVE",IF(OR(E60&lt;'01-Process Controls'!$G$7,F60&lt;'01-Process Controls'!$G$7),"ERROR - BELOW MIN",IF(OR(AND(E60&lt;='01-Process Controls'!$D$7-2*'01-Process Controls'!$H$7,F60&lt;='01-Process Controls'!$E$7-2*'01-Process Controls'!$H$7),AND(E60&lt;='01-Process Controls'!$E$7-2*'01-Process Controls'!$H$7,F60&lt;='01-Process Controls'!$D$7-2*'01-Process Controls'!$H$7)),"VALID - SAFE",IF(OR(AND(E60&lt;='01-Process Controls'!$D$7,F60&lt;='01-Process Controls'!$E$7),AND(E60&lt;='01-Process Controls'!$E$7,F60&lt;='01-Process Controls'!$D$7)),"VALID - NOMINAL EDGE","ERROR - EXCEEDS BED"))))</f>
        <v>VALID - SAFE</v>
      </c>
      <c r="K60" s="57" t="s">
        <v>2507</v>
      </c>
    </row>
    <row r="61" spans="1:11">
      <c r="A61" s="40" t="s">
        <v>1214</v>
      </c>
      <c r="B61" s="40" t="s">
        <v>30</v>
      </c>
      <c r="C61" s="40" t="s">
        <v>1215</v>
      </c>
      <c r="D61" s="40" t="s">
        <v>1186</v>
      </c>
      <c r="E61" s="41">
        <v>300</v>
      </c>
      <c r="F61" s="41">
        <v>100</v>
      </c>
      <c r="G61" s="40" t="s">
        <v>1192</v>
      </c>
      <c r="H61" s="40" t="s">
        <v>1216</v>
      </c>
      <c r="I61" s="40" t="s">
        <v>87</v>
      </c>
      <c r="J61" s="40" t="str">
        <f>IF(OR(E61&lt;=0,F61&lt;=0),"ERROR - NONPOSITIVE",IF(OR(E61&lt;'01-Process Controls'!$G$7,F61&lt;'01-Process Controls'!$G$7),"ERROR - BELOW MIN",IF(OR(AND(E61&lt;='01-Process Controls'!$D$7-2*'01-Process Controls'!$H$7,F61&lt;='01-Process Controls'!$E$7-2*'01-Process Controls'!$H$7),AND(E61&lt;='01-Process Controls'!$E$7-2*'01-Process Controls'!$H$7,F61&lt;='01-Process Controls'!$D$7-2*'01-Process Controls'!$H$7)),"VALID - SAFE",IF(OR(AND(E61&lt;='01-Process Controls'!$D$7,F61&lt;='01-Process Controls'!$E$7),AND(E61&lt;='01-Process Controls'!$E$7,F61&lt;='01-Process Controls'!$D$7)),"VALID - NOMINAL EDGE","ERROR - EXCEEDS BED"))))</f>
        <v>VALID - SAFE</v>
      </c>
      <c r="K61" s="57" t="s">
        <v>2507</v>
      </c>
    </row>
    <row r="62" spans="1:11">
      <c r="A62" s="40" t="s">
        <v>1217</v>
      </c>
      <c r="B62" s="40" t="s">
        <v>30</v>
      </c>
      <c r="C62" s="40" t="s">
        <v>1215</v>
      </c>
      <c r="D62" s="40" t="s">
        <v>1186</v>
      </c>
      <c r="E62" s="41">
        <v>200</v>
      </c>
      <c r="F62" s="41">
        <v>80</v>
      </c>
      <c r="G62" s="40" t="s">
        <v>1192</v>
      </c>
      <c r="H62" s="40" t="s">
        <v>1216</v>
      </c>
      <c r="I62" s="40" t="s">
        <v>87</v>
      </c>
      <c r="J62" s="40" t="str">
        <f>IF(OR(E62&lt;=0,F62&lt;=0),"ERROR - NONPOSITIVE",IF(OR(E62&lt;'01-Process Controls'!$G$7,F62&lt;'01-Process Controls'!$G$7),"ERROR - BELOW MIN",IF(OR(AND(E62&lt;='01-Process Controls'!$D$7-2*'01-Process Controls'!$H$7,F62&lt;='01-Process Controls'!$E$7-2*'01-Process Controls'!$H$7),AND(E62&lt;='01-Process Controls'!$E$7-2*'01-Process Controls'!$H$7,F62&lt;='01-Process Controls'!$D$7-2*'01-Process Controls'!$H$7)),"VALID - SAFE",IF(OR(AND(E62&lt;='01-Process Controls'!$D$7,F62&lt;='01-Process Controls'!$E$7),AND(E62&lt;='01-Process Controls'!$E$7,F62&lt;='01-Process Controls'!$D$7)),"VALID - NOMINAL EDGE","ERROR - EXCEEDS BED"))))</f>
        <v>VALID - SAFE</v>
      </c>
      <c r="K62" s="57" t="s">
        <v>2507</v>
      </c>
    </row>
    <row r="63" spans="1:11">
      <c r="A63" s="40" t="s">
        <v>1218</v>
      </c>
      <c r="B63" s="40" t="s">
        <v>30</v>
      </c>
      <c r="C63" s="40" t="s">
        <v>1219</v>
      </c>
      <c r="D63" s="40" t="s">
        <v>1193</v>
      </c>
      <c r="E63" s="41">
        <v>30</v>
      </c>
      <c r="F63" s="41">
        <v>30</v>
      </c>
      <c r="G63" s="40" t="s">
        <v>1204</v>
      </c>
      <c r="H63" s="40" t="s">
        <v>1220</v>
      </c>
      <c r="I63" s="40" t="s">
        <v>87</v>
      </c>
      <c r="J63" s="40" t="str">
        <f>IF(OR(E63&lt;=0,F63&lt;=0),"ERROR - NONPOSITIVE",IF(OR(E63&lt;'01-Process Controls'!$G$7,F63&lt;'01-Process Controls'!$G$7),"ERROR - BELOW MIN",IF(OR(AND(E63&lt;='01-Process Controls'!$D$7-2*'01-Process Controls'!$H$7,F63&lt;='01-Process Controls'!$E$7-2*'01-Process Controls'!$H$7),AND(E63&lt;='01-Process Controls'!$E$7-2*'01-Process Controls'!$H$7,F63&lt;='01-Process Controls'!$D$7-2*'01-Process Controls'!$H$7)),"VALID - SAFE",IF(OR(AND(E63&lt;='01-Process Controls'!$D$7,F63&lt;='01-Process Controls'!$E$7),AND(E63&lt;='01-Process Controls'!$E$7,F63&lt;='01-Process Controls'!$D$7)),"VALID - NOMINAL EDGE","ERROR - EXCEEDS BED"))))</f>
        <v>VALID - SAFE</v>
      </c>
      <c r="K63" s="57" t="s">
        <v>2507</v>
      </c>
    </row>
    <row r="64" spans="1:11">
      <c r="A64" s="40" t="s">
        <v>1221</v>
      </c>
      <c r="B64" s="40" t="s">
        <v>30</v>
      </c>
      <c r="C64" s="40" t="s">
        <v>1219</v>
      </c>
      <c r="D64" s="40" t="s">
        <v>1193</v>
      </c>
      <c r="E64" s="41">
        <v>40</v>
      </c>
      <c r="F64" s="41">
        <v>40</v>
      </c>
      <c r="G64" s="40" t="s">
        <v>1204</v>
      </c>
      <c r="H64" s="40" t="s">
        <v>1222</v>
      </c>
      <c r="I64" s="40" t="s">
        <v>87</v>
      </c>
      <c r="J64" s="40" t="str">
        <f>IF(OR(E64&lt;=0,F64&lt;=0),"ERROR - NONPOSITIVE",IF(OR(E64&lt;'01-Process Controls'!$G$7,F64&lt;'01-Process Controls'!$G$7),"ERROR - BELOW MIN",IF(OR(AND(E64&lt;='01-Process Controls'!$D$7-2*'01-Process Controls'!$H$7,F64&lt;='01-Process Controls'!$E$7-2*'01-Process Controls'!$H$7),AND(E64&lt;='01-Process Controls'!$E$7-2*'01-Process Controls'!$H$7,F64&lt;='01-Process Controls'!$D$7-2*'01-Process Controls'!$H$7)),"VALID - SAFE",IF(OR(AND(E64&lt;='01-Process Controls'!$D$7,F64&lt;='01-Process Controls'!$E$7),AND(E64&lt;='01-Process Controls'!$E$7,F64&lt;='01-Process Controls'!$D$7)),"VALID - NOMINAL EDGE","ERROR - EXCEEDS BED"))))</f>
        <v>VALID - SAFE</v>
      </c>
      <c r="K64" s="57" t="s">
        <v>2507</v>
      </c>
    </row>
    <row r="65" spans="1:11">
      <c r="A65" s="40" t="s">
        <v>1223</v>
      </c>
      <c r="B65" s="40" t="s">
        <v>30</v>
      </c>
      <c r="C65" s="40" t="s">
        <v>1219</v>
      </c>
      <c r="D65" s="40" t="s">
        <v>1186</v>
      </c>
      <c r="E65" s="41">
        <v>60</v>
      </c>
      <c r="F65" s="41">
        <v>40</v>
      </c>
      <c r="G65" s="40" t="s">
        <v>1204</v>
      </c>
      <c r="H65" s="40" t="s">
        <v>1222</v>
      </c>
      <c r="I65" s="40" t="s">
        <v>87</v>
      </c>
      <c r="J65" s="40" t="str">
        <f>IF(OR(E65&lt;=0,F65&lt;=0),"ERROR - NONPOSITIVE",IF(OR(E65&lt;'01-Process Controls'!$G$7,F65&lt;'01-Process Controls'!$G$7),"ERROR - BELOW MIN",IF(OR(AND(E65&lt;='01-Process Controls'!$D$7-2*'01-Process Controls'!$H$7,F65&lt;='01-Process Controls'!$E$7-2*'01-Process Controls'!$H$7),AND(E65&lt;='01-Process Controls'!$E$7-2*'01-Process Controls'!$H$7,F65&lt;='01-Process Controls'!$D$7-2*'01-Process Controls'!$H$7)),"VALID - SAFE",IF(OR(AND(E65&lt;='01-Process Controls'!$D$7,F65&lt;='01-Process Controls'!$E$7),AND(E65&lt;='01-Process Controls'!$E$7,F65&lt;='01-Process Controls'!$D$7)),"VALID - NOMINAL EDGE","ERROR - EXCEEDS BED"))))</f>
        <v>VALID - SAFE</v>
      </c>
      <c r="K65" s="57" t="s">
        <v>2507</v>
      </c>
    </row>
    <row r="66" spans="1:11">
      <c r="A66" s="40" t="s">
        <v>1224</v>
      </c>
      <c r="B66" s="40" t="s">
        <v>30</v>
      </c>
      <c r="C66" s="40" t="s">
        <v>1219</v>
      </c>
      <c r="D66" s="40" t="s">
        <v>1186</v>
      </c>
      <c r="E66" s="41">
        <v>70</v>
      </c>
      <c r="F66" s="41">
        <v>50</v>
      </c>
      <c r="G66" s="40" t="s">
        <v>1204</v>
      </c>
      <c r="H66" s="40" t="s">
        <v>1222</v>
      </c>
      <c r="I66" s="40" t="s">
        <v>87</v>
      </c>
      <c r="J66" s="40" t="str">
        <f>IF(OR(E66&lt;=0,F66&lt;=0),"ERROR - NONPOSITIVE",IF(OR(E66&lt;'01-Process Controls'!$G$7,F66&lt;'01-Process Controls'!$G$7),"ERROR - BELOW MIN",IF(OR(AND(E66&lt;='01-Process Controls'!$D$7-2*'01-Process Controls'!$H$7,F66&lt;='01-Process Controls'!$E$7-2*'01-Process Controls'!$H$7),AND(E66&lt;='01-Process Controls'!$E$7-2*'01-Process Controls'!$H$7,F66&lt;='01-Process Controls'!$D$7-2*'01-Process Controls'!$H$7)),"VALID - SAFE",IF(OR(AND(E66&lt;='01-Process Controls'!$D$7,F66&lt;='01-Process Controls'!$E$7),AND(E66&lt;='01-Process Controls'!$E$7,F66&lt;='01-Process Controls'!$D$7)),"VALID - NOMINAL EDGE","ERROR - EXCEEDS BED"))))</f>
        <v>VALID - SAFE</v>
      </c>
      <c r="K66" s="57" t="s">
        <v>2507</v>
      </c>
    </row>
    <row r="67" spans="1:11">
      <c r="A67" s="40" t="s">
        <v>1225</v>
      </c>
      <c r="B67" s="40" t="s">
        <v>30</v>
      </c>
      <c r="C67" s="40" t="s">
        <v>1226</v>
      </c>
      <c r="D67" s="40" t="s">
        <v>1193</v>
      </c>
      <c r="E67" s="41">
        <v>90</v>
      </c>
      <c r="F67" s="41">
        <v>90</v>
      </c>
      <c r="G67" s="40" t="s">
        <v>1204</v>
      </c>
      <c r="H67" s="40" t="s">
        <v>1227</v>
      </c>
      <c r="I67" s="40" t="s">
        <v>87</v>
      </c>
      <c r="J67" s="40" t="str">
        <f>IF(OR(E67&lt;=0,F67&lt;=0),"ERROR - NONPOSITIVE",IF(OR(E67&lt;'01-Process Controls'!$G$7,F67&lt;'01-Process Controls'!$G$7),"ERROR - BELOW MIN",IF(OR(AND(E67&lt;='01-Process Controls'!$D$7-2*'01-Process Controls'!$H$7,F67&lt;='01-Process Controls'!$E$7-2*'01-Process Controls'!$H$7),AND(E67&lt;='01-Process Controls'!$E$7-2*'01-Process Controls'!$H$7,F67&lt;='01-Process Controls'!$D$7-2*'01-Process Controls'!$H$7)),"VALID - SAFE",IF(OR(AND(E67&lt;='01-Process Controls'!$D$7,F67&lt;='01-Process Controls'!$E$7),AND(E67&lt;='01-Process Controls'!$E$7,F67&lt;='01-Process Controls'!$D$7)),"VALID - NOMINAL EDGE","ERROR - EXCEEDS BED"))))</f>
        <v>VALID - SAFE</v>
      </c>
      <c r="K67" s="57" t="s">
        <v>2507</v>
      </c>
    </row>
    <row r="68" spans="1:11">
      <c r="A68" s="40" t="s">
        <v>1228</v>
      </c>
      <c r="B68" s="40" t="s">
        <v>30</v>
      </c>
      <c r="C68" s="40" t="s">
        <v>1226</v>
      </c>
      <c r="D68" s="40" t="s">
        <v>1193</v>
      </c>
      <c r="E68" s="41">
        <v>100</v>
      </c>
      <c r="F68" s="41">
        <v>100</v>
      </c>
      <c r="G68" s="40" t="s">
        <v>1204</v>
      </c>
      <c r="H68" s="40" t="s">
        <v>1227</v>
      </c>
      <c r="I68" s="40" t="s">
        <v>87</v>
      </c>
      <c r="J68" s="40" t="str">
        <f>IF(OR(E68&lt;=0,F68&lt;=0),"ERROR - NONPOSITIVE",IF(OR(E68&lt;'01-Process Controls'!$G$7,F68&lt;'01-Process Controls'!$G$7),"ERROR - BELOW MIN",IF(OR(AND(E68&lt;='01-Process Controls'!$D$7-2*'01-Process Controls'!$H$7,F68&lt;='01-Process Controls'!$E$7-2*'01-Process Controls'!$H$7),AND(E68&lt;='01-Process Controls'!$E$7-2*'01-Process Controls'!$H$7,F68&lt;='01-Process Controls'!$D$7-2*'01-Process Controls'!$H$7)),"VALID - SAFE",IF(OR(AND(E68&lt;='01-Process Controls'!$D$7,F68&lt;='01-Process Controls'!$E$7),AND(E68&lt;='01-Process Controls'!$E$7,F68&lt;='01-Process Controls'!$D$7)),"VALID - NOMINAL EDGE","ERROR - EXCEEDS BED"))))</f>
        <v>VALID - SAFE</v>
      </c>
      <c r="K68" s="57" t="s">
        <v>2507</v>
      </c>
    </row>
    <row r="69" spans="1:11">
      <c r="A69" s="40" t="s">
        <v>1229</v>
      </c>
      <c r="B69" s="40" t="s">
        <v>30</v>
      </c>
      <c r="C69" s="40" t="s">
        <v>1230</v>
      </c>
      <c r="D69" s="40" t="s">
        <v>1183</v>
      </c>
      <c r="E69" s="41">
        <v>75</v>
      </c>
      <c r="F69" s="41">
        <v>150</v>
      </c>
      <c r="G69" s="40" t="s">
        <v>1204</v>
      </c>
      <c r="H69" s="40" t="s">
        <v>1231</v>
      </c>
      <c r="I69" s="40" t="s">
        <v>87</v>
      </c>
      <c r="J69" s="40" t="str">
        <f>IF(OR(E69&lt;=0,F69&lt;=0),"ERROR - NONPOSITIVE",IF(OR(E69&lt;'01-Process Controls'!$G$7,F69&lt;'01-Process Controls'!$G$7),"ERROR - BELOW MIN",IF(OR(AND(E69&lt;='01-Process Controls'!$D$7-2*'01-Process Controls'!$H$7,F69&lt;='01-Process Controls'!$E$7-2*'01-Process Controls'!$H$7),AND(E69&lt;='01-Process Controls'!$E$7-2*'01-Process Controls'!$H$7,F69&lt;='01-Process Controls'!$D$7-2*'01-Process Controls'!$H$7)),"VALID - SAFE",IF(OR(AND(E69&lt;='01-Process Controls'!$D$7,F69&lt;='01-Process Controls'!$E$7),AND(E69&lt;='01-Process Controls'!$E$7,F69&lt;='01-Process Controls'!$D$7)),"VALID - NOMINAL EDGE","ERROR - EXCEEDS BED"))))</f>
        <v>VALID - SAFE</v>
      </c>
      <c r="K69" s="57" t="s">
        <v>2507</v>
      </c>
    </row>
    <row r="70" spans="1:11">
      <c r="A70" s="40" t="s">
        <v>1232</v>
      </c>
      <c r="B70" s="40" t="s">
        <v>30</v>
      </c>
      <c r="C70" s="40" t="s">
        <v>1233</v>
      </c>
      <c r="D70" s="40" t="s">
        <v>1186</v>
      </c>
      <c r="E70" s="41">
        <v>85</v>
      </c>
      <c r="F70" s="41">
        <v>54</v>
      </c>
      <c r="G70" s="40" t="s">
        <v>1234</v>
      </c>
      <c r="H70" s="40" t="s">
        <v>1235</v>
      </c>
      <c r="I70" s="40" t="s">
        <v>87</v>
      </c>
      <c r="J70" s="40" t="str">
        <f>IF(OR(E70&lt;=0,F70&lt;=0),"ERROR - NONPOSITIVE",IF(OR(E70&lt;'01-Process Controls'!$G$7,F70&lt;'01-Process Controls'!$G$7),"ERROR - BELOW MIN",IF(OR(AND(E70&lt;='01-Process Controls'!$D$7-2*'01-Process Controls'!$H$7,F70&lt;='01-Process Controls'!$E$7-2*'01-Process Controls'!$H$7),AND(E70&lt;='01-Process Controls'!$E$7-2*'01-Process Controls'!$H$7,F70&lt;='01-Process Controls'!$D$7-2*'01-Process Controls'!$H$7)),"VALID - SAFE",IF(OR(AND(E70&lt;='01-Process Controls'!$D$7,F70&lt;='01-Process Controls'!$E$7),AND(E70&lt;='01-Process Controls'!$E$7,F70&lt;='01-Process Controls'!$D$7)),"VALID - NOMINAL EDGE","ERROR - EXCEEDS BED"))))</f>
        <v>VALID - SAFE</v>
      </c>
      <c r="K70" s="57" t="s">
        <v>2507</v>
      </c>
    </row>
    <row r="71" spans="1:11">
      <c r="A71" s="40" t="s">
        <v>1236</v>
      </c>
      <c r="B71" s="40" t="s">
        <v>30</v>
      </c>
      <c r="C71" s="40" t="s">
        <v>1237</v>
      </c>
      <c r="D71" s="40" t="s">
        <v>1238</v>
      </c>
      <c r="E71" s="41">
        <v>210</v>
      </c>
      <c r="F71" s="41">
        <v>95</v>
      </c>
      <c r="G71" s="40" t="s">
        <v>1192</v>
      </c>
      <c r="H71" s="40" t="s">
        <v>1239</v>
      </c>
      <c r="I71" s="40" t="s">
        <v>87</v>
      </c>
      <c r="J71" s="40" t="str">
        <f>IF(OR(E71&lt;=0,F71&lt;=0),"ERROR - NONPOSITIVE",IF(OR(E71&lt;'01-Process Controls'!$G$7,F71&lt;'01-Process Controls'!$G$7),"ERROR - BELOW MIN",IF(OR(AND(E71&lt;='01-Process Controls'!$D$7-2*'01-Process Controls'!$H$7,F71&lt;='01-Process Controls'!$E$7-2*'01-Process Controls'!$H$7),AND(E71&lt;='01-Process Controls'!$E$7-2*'01-Process Controls'!$H$7,F71&lt;='01-Process Controls'!$D$7-2*'01-Process Controls'!$H$7)),"VALID - SAFE",IF(OR(AND(E71&lt;='01-Process Controls'!$D$7,F71&lt;='01-Process Controls'!$E$7),AND(E71&lt;='01-Process Controls'!$E$7,F71&lt;='01-Process Controls'!$D$7)),"VALID - NOMINAL EDGE","ERROR - EXCEEDS BED"))))</f>
        <v>VALID - SAFE</v>
      </c>
      <c r="K71" s="57" t="s">
        <v>2507</v>
      </c>
    </row>
    <row r="72" spans="1:11">
      <c r="A72" s="40" t="s">
        <v>1240</v>
      </c>
      <c r="B72" s="40" t="s">
        <v>30</v>
      </c>
      <c r="C72" s="40" t="s">
        <v>1241</v>
      </c>
      <c r="D72" s="40" t="s">
        <v>1242</v>
      </c>
      <c r="E72" s="41">
        <v>220</v>
      </c>
      <c r="F72" s="41">
        <v>80</v>
      </c>
      <c r="G72" s="40" t="s">
        <v>1192</v>
      </c>
      <c r="H72" s="40" t="s">
        <v>1243</v>
      </c>
      <c r="I72" s="40" t="s">
        <v>87</v>
      </c>
      <c r="J72" s="40" t="str">
        <f>IF(OR(E72&lt;=0,F72&lt;=0),"ERROR - NONPOSITIVE",IF(OR(E72&lt;'01-Process Controls'!$G$7,F72&lt;'01-Process Controls'!$G$7),"ERROR - BELOW MIN",IF(OR(AND(E72&lt;='01-Process Controls'!$D$7-2*'01-Process Controls'!$H$7,F72&lt;='01-Process Controls'!$E$7-2*'01-Process Controls'!$H$7),AND(E72&lt;='01-Process Controls'!$E$7-2*'01-Process Controls'!$H$7,F72&lt;='01-Process Controls'!$D$7-2*'01-Process Controls'!$H$7)),"VALID - SAFE",IF(OR(AND(E72&lt;='01-Process Controls'!$D$7,F72&lt;='01-Process Controls'!$E$7),AND(E72&lt;='01-Process Controls'!$E$7,F72&lt;='01-Process Controls'!$D$7)),"VALID - NOMINAL EDGE","ERROR - EXCEEDS BED"))))</f>
        <v>VALID - SAFE</v>
      </c>
      <c r="K72" s="57" t="s">
        <v>2507</v>
      </c>
    </row>
    <row r="73" spans="1:11">
      <c r="A73" s="40" t="s">
        <v>1244</v>
      </c>
      <c r="B73" s="40" t="s">
        <v>30</v>
      </c>
      <c r="C73" s="40" t="s">
        <v>1245</v>
      </c>
      <c r="D73" s="40" t="s">
        <v>1183</v>
      </c>
      <c r="E73" s="41">
        <v>300</v>
      </c>
      <c r="F73" s="41">
        <v>450</v>
      </c>
      <c r="G73" s="40" t="s">
        <v>1192</v>
      </c>
      <c r="H73" s="40" t="s">
        <v>1246</v>
      </c>
      <c r="I73" s="40" t="s">
        <v>87</v>
      </c>
      <c r="J73" s="40" t="str">
        <f>IF(OR(E73&lt;=0,F73&lt;=0),"ERROR - NONPOSITIVE",IF(OR(E73&lt;'01-Process Controls'!$G$7,F73&lt;'01-Process Controls'!$G$7),"ERROR - BELOW MIN",IF(OR(AND(E73&lt;='01-Process Controls'!$D$7-2*'01-Process Controls'!$H$7,F73&lt;='01-Process Controls'!$E$7-2*'01-Process Controls'!$H$7),AND(E73&lt;='01-Process Controls'!$E$7-2*'01-Process Controls'!$H$7,F73&lt;='01-Process Controls'!$D$7-2*'01-Process Controls'!$H$7)),"VALID - SAFE",IF(OR(AND(E73&lt;='01-Process Controls'!$D$7,F73&lt;='01-Process Controls'!$E$7),AND(E73&lt;='01-Process Controls'!$E$7,F73&lt;='01-Process Controls'!$D$7)),"VALID - NOMINAL EDGE","ERROR - EXCEEDS BED"))))</f>
        <v>VALID - SAFE</v>
      </c>
      <c r="K73" s="57" t="s">
        <v>2507</v>
      </c>
    </row>
    <row r="74" spans="1:11">
      <c r="A74" s="40" t="s">
        <v>1247</v>
      </c>
      <c r="B74" s="40" t="s">
        <v>30</v>
      </c>
      <c r="C74" s="40" t="s">
        <v>1245</v>
      </c>
      <c r="D74" s="40" t="s">
        <v>1183</v>
      </c>
      <c r="E74" s="41">
        <v>450</v>
      </c>
      <c r="F74" s="41">
        <v>600</v>
      </c>
      <c r="G74" s="40" t="s">
        <v>1192</v>
      </c>
      <c r="H74" s="40" t="s">
        <v>1246</v>
      </c>
      <c r="I74" s="40" t="s">
        <v>87</v>
      </c>
      <c r="J74" s="40" t="str">
        <f>IF(OR(E74&lt;=0,F74&lt;=0),"ERROR - NONPOSITIVE",IF(OR(E74&lt;'01-Process Controls'!$G$7,F74&lt;'01-Process Controls'!$G$7),"ERROR - BELOW MIN",IF(OR(AND(E74&lt;='01-Process Controls'!$D$7-2*'01-Process Controls'!$H$7,F74&lt;='01-Process Controls'!$E$7-2*'01-Process Controls'!$H$7),AND(E74&lt;='01-Process Controls'!$E$7-2*'01-Process Controls'!$H$7,F74&lt;='01-Process Controls'!$D$7-2*'01-Process Controls'!$H$7)),"VALID - SAFE",IF(OR(AND(E74&lt;='01-Process Controls'!$D$7,F74&lt;='01-Process Controls'!$E$7),AND(E74&lt;='01-Process Controls'!$E$7,F74&lt;='01-Process Controls'!$D$7)),"VALID - NOMINAL EDGE","ERROR - EXCEEDS BED"))))</f>
        <v>VALID - SAFE</v>
      </c>
      <c r="K74" s="57" t="s">
        <v>2507</v>
      </c>
    </row>
    <row r="75" spans="1:11">
      <c r="A75" s="40" t="s">
        <v>1248</v>
      </c>
      <c r="B75" s="40" t="s">
        <v>30</v>
      </c>
      <c r="C75" s="40" t="s">
        <v>1249</v>
      </c>
      <c r="D75" s="40" t="s">
        <v>1186</v>
      </c>
      <c r="E75" s="41">
        <v>600</v>
      </c>
      <c r="F75" s="41">
        <v>150</v>
      </c>
      <c r="G75" s="40" t="s">
        <v>1192</v>
      </c>
      <c r="H75" s="40" t="s">
        <v>1250</v>
      </c>
      <c r="I75" s="40" t="s">
        <v>87</v>
      </c>
      <c r="J75" s="40" t="str">
        <f>IF(OR(E75&lt;=0,F75&lt;=0),"ERROR - NONPOSITIVE",IF(OR(E75&lt;'01-Process Controls'!$G$7,F75&lt;'01-Process Controls'!$G$7),"ERROR - BELOW MIN",IF(OR(AND(E75&lt;='01-Process Controls'!$D$7-2*'01-Process Controls'!$H$7,F75&lt;='01-Process Controls'!$E$7-2*'01-Process Controls'!$H$7),AND(E75&lt;='01-Process Controls'!$E$7-2*'01-Process Controls'!$H$7,F75&lt;='01-Process Controls'!$D$7-2*'01-Process Controls'!$H$7)),"VALID - SAFE",IF(OR(AND(E75&lt;='01-Process Controls'!$D$7,F75&lt;='01-Process Controls'!$E$7),AND(E75&lt;='01-Process Controls'!$E$7,F75&lt;='01-Process Controls'!$D$7)),"VALID - NOMINAL EDGE","ERROR - EXCEEDS BED"))))</f>
        <v>VALID - SAFE</v>
      </c>
      <c r="K75" s="57" t="s">
        <v>2507</v>
      </c>
    </row>
    <row r="76" spans="1:11">
      <c r="A76" s="40" t="s">
        <v>1251</v>
      </c>
      <c r="B76" s="40" t="s">
        <v>30</v>
      </c>
      <c r="C76" s="40" t="s">
        <v>1252</v>
      </c>
      <c r="D76" s="40" t="s">
        <v>1186</v>
      </c>
      <c r="E76" s="41">
        <v>600</v>
      </c>
      <c r="F76" s="41">
        <v>300</v>
      </c>
      <c r="G76" s="40" t="s">
        <v>1192</v>
      </c>
      <c r="H76" s="40" t="s">
        <v>1250</v>
      </c>
      <c r="I76" s="40" t="s">
        <v>87</v>
      </c>
      <c r="J76" s="40" t="str">
        <f>IF(OR(E76&lt;=0,F76&lt;=0),"ERROR - NONPOSITIVE",IF(OR(E76&lt;'01-Process Controls'!$G$7,F76&lt;'01-Process Controls'!$G$7),"ERROR - BELOW MIN",IF(OR(AND(E76&lt;='01-Process Controls'!$D$7-2*'01-Process Controls'!$H$7,F76&lt;='01-Process Controls'!$E$7-2*'01-Process Controls'!$H$7),AND(E76&lt;='01-Process Controls'!$E$7-2*'01-Process Controls'!$H$7,F76&lt;='01-Process Controls'!$D$7-2*'01-Process Controls'!$H$7)),"VALID - SAFE",IF(OR(AND(E76&lt;='01-Process Controls'!$D$7,F76&lt;='01-Process Controls'!$E$7),AND(E76&lt;='01-Process Controls'!$E$7,F76&lt;='01-Process Controls'!$D$7)),"VALID - NOMINAL EDGE","ERROR - EXCEEDS BED"))))</f>
        <v>VALID - SAFE</v>
      </c>
      <c r="K76" s="57" t="s">
        <v>2507</v>
      </c>
    </row>
    <row r="77" spans="1:11">
      <c r="A77" s="55" t="s">
        <v>36</v>
      </c>
      <c r="B77" s="55" t="s">
        <v>36</v>
      </c>
      <c r="C77" s="55" t="s">
        <v>1170</v>
      </c>
      <c r="D77" s="55" t="s">
        <v>1172</v>
      </c>
      <c r="E77" s="58">
        <f>ROUNDDOWN('01-Process Controls'!$D$8,0)</f>
        <v>1300</v>
      </c>
      <c r="F77" s="58">
        <f>ROUNDDOWN('01-Process Controls'!$E$8,0)</f>
        <v>900</v>
      </c>
      <c r="G77" s="55" t="s">
        <v>1171</v>
      </c>
      <c r="H77" s="55" t="s">
        <v>1271</v>
      </c>
      <c r="I77" s="56" t="s">
        <v>40</v>
      </c>
      <c r="J77" s="55" t="str">
        <f>IF(OR(E77&lt;=0,F77&lt;=0),"ERROR - NONPOSITIVE",IF(OR(E77&lt;&gt;ROUNDDOWN(E77,0),F77&lt;&gt;ROUNDDOWN(F77,0)),"ERROR - WHOLE MM ONLY",IF(OR(E77&lt;'01-Process Controls'!$G$8,F77&lt;'01-Process Controls'!$G$8),"ERROR - BELOW MIN",IF(OR(AND(E77&lt;='01-Process Controls'!$D$8-2*'01-Process Controls'!$H$8,F77&lt;='01-Process Controls'!$E$8-2*'01-Process Controls'!$H$8),AND(E77&lt;='01-Process Controls'!$E$8-2*'01-Process Controls'!$H$8,F77&lt;='01-Process Controls'!$D$8-2*'01-Process Controls'!$H$8)),"VALID - SAFE",IF(OR(AND(E77&lt;='01-Process Controls'!$D$8,F77&lt;='01-Process Controls'!$E$8),AND(E77&lt;='01-Process Controls'!$E$8,F77&lt;='01-Process Controls'!$D$8)),"VALID - NOMINAL EDGE","ERROR - EXCEEDS BED")))))</f>
        <v>VALID - NOMINAL EDGE</v>
      </c>
      <c r="K77" s="55" t="s">
        <v>2507</v>
      </c>
    </row>
    <row r="78" spans="1:11">
      <c r="A78" s="55" t="s">
        <v>1272</v>
      </c>
      <c r="B78" s="55" t="s">
        <v>36</v>
      </c>
      <c r="C78" s="55" t="s">
        <v>1175</v>
      </c>
      <c r="D78" s="55" t="s">
        <v>1172</v>
      </c>
      <c r="E78" s="58">
        <f>ROUNDDOWN(MAX(1,'01-Process Controls'!$D$8-2*'01-Process Controls'!$H$8),0)</f>
        <v>1280</v>
      </c>
      <c r="F78" s="58">
        <f>ROUNDDOWN(MAX(1,'01-Process Controls'!$E$8-2*'01-Process Controls'!$H$8),0)</f>
        <v>880</v>
      </c>
      <c r="G78" s="55" t="s">
        <v>1171</v>
      </c>
      <c r="H78" s="55" t="s">
        <v>1273</v>
      </c>
      <c r="I78" s="55" t="s">
        <v>87</v>
      </c>
      <c r="J78" s="55" t="str">
        <f>IF(OR(E78&lt;=0,F78&lt;=0),"ERROR - NONPOSITIVE",IF(OR(E78&lt;&gt;ROUNDDOWN(E78,0),F78&lt;&gt;ROUNDDOWN(F78,0)),"ERROR - WHOLE MM ONLY",IF(OR(E78&lt;'01-Process Controls'!$G$8,F78&lt;'01-Process Controls'!$G$8),"ERROR - BELOW MIN",IF(OR(AND(E78&lt;='01-Process Controls'!$D$8-2*'01-Process Controls'!$H$8,F78&lt;='01-Process Controls'!$E$8-2*'01-Process Controls'!$H$8),AND(E78&lt;='01-Process Controls'!$E$8-2*'01-Process Controls'!$H$8,F78&lt;='01-Process Controls'!$D$8-2*'01-Process Controls'!$H$8)),"VALID - SAFE",IF(OR(AND(E78&lt;='01-Process Controls'!$D$8,F78&lt;='01-Process Controls'!$E$8),AND(E78&lt;='01-Process Controls'!$E$8,F78&lt;='01-Process Controls'!$D$8)),"VALID - NOMINAL EDGE","ERROR - EXCEEDS BED")))))</f>
        <v>VALID - SAFE</v>
      </c>
      <c r="K78" s="55" t="s">
        <v>2507</v>
      </c>
    </row>
    <row r="79" spans="1:11">
      <c r="A79" s="40" t="s">
        <v>1274</v>
      </c>
      <c r="B79" s="40" t="s">
        <v>36</v>
      </c>
      <c r="C79" s="40" t="s">
        <v>1275</v>
      </c>
      <c r="D79" s="40" t="s">
        <v>1186</v>
      </c>
      <c r="E79" s="41">
        <v>1200</v>
      </c>
      <c r="F79" s="41">
        <v>900</v>
      </c>
      <c r="G79" s="40" t="s">
        <v>1276</v>
      </c>
      <c r="H79" s="40" t="s">
        <v>1277</v>
      </c>
      <c r="I79" s="40" t="s">
        <v>87</v>
      </c>
      <c r="J79" s="40" t="str">
        <f>IF(OR(E79&lt;=0,F79&lt;=0),"ERROR - NONPOSITIVE",IF(OR(E79&lt;&gt;ROUNDDOWN(E79,0),F79&lt;&gt;ROUNDDOWN(F79,0)),"ERROR - WHOLE MM ONLY",IF(OR(E79&lt;'01-Process Controls'!$G$8,F79&lt;'01-Process Controls'!$G$8),"ERROR - BELOW MIN",IF(OR(AND(E79&lt;='01-Process Controls'!$D$8-2*'01-Process Controls'!$H$8,F79&lt;='01-Process Controls'!$E$8-2*'01-Process Controls'!$H$8),AND(E79&lt;='01-Process Controls'!$E$8-2*'01-Process Controls'!$H$8,F79&lt;='01-Process Controls'!$D$8-2*'01-Process Controls'!$H$8)),"VALID - SAFE",IF(OR(AND(E79&lt;='01-Process Controls'!$D$8,F79&lt;='01-Process Controls'!$E$8),AND(E79&lt;='01-Process Controls'!$E$8,F79&lt;='01-Process Controls'!$D$8)),"VALID - NOMINAL EDGE","ERROR - EXCEEDS BED")))))</f>
        <v>VALID - NOMINAL EDGE</v>
      </c>
      <c r="K79" s="57" t="s">
        <v>2507</v>
      </c>
    </row>
    <row r="80" spans="1:11">
      <c r="A80" s="40" t="s">
        <v>1278</v>
      </c>
      <c r="B80" s="40" t="s">
        <v>36</v>
      </c>
      <c r="C80" s="40" t="s">
        <v>1275</v>
      </c>
      <c r="D80" s="40" t="s">
        <v>1186</v>
      </c>
      <c r="E80" s="41">
        <v>1200</v>
      </c>
      <c r="F80" s="41">
        <v>600</v>
      </c>
      <c r="G80" s="40" t="s">
        <v>1276</v>
      </c>
      <c r="H80" s="40" t="s">
        <v>1277</v>
      </c>
      <c r="I80" s="40" t="s">
        <v>87</v>
      </c>
      <c r="J80" s="40" t="str">
        <f>IF(OR(E80&lt;=0,F80&lt;=0),"ERROR - NONPOSITIVE",IF(OR(E80&lt;&gt;ROUNDDOWN(E80,0),F80&lt;&gt;ROUNDDOWN(F80,0)),"ERROR - WHOLE MM ONLY",IF(OR(E80&lt;'01-Process Controls'!$G$8,F80&lt;'01-Process Controls'!$G$8),"ERROR - BELOW MIN",IF(OR(AND(E80&lt;='01-Process Controls'!$D$8-2*'01-Process Controls'!$H$8,F80&lt;='01-Process Controls'!$E$8-2*'01-Process Controls'!$H$8),AND(E80&lt;='01-Process Controls'!$E$8-2*'01-Process Controls'!$H$8,F80&lt;='01-Process Controls'!$D$8-2*'01-Process Controls'!$H$8)),"VALID - SAFE",IF(OR(AND(E80&lt;='01-Process Controls'!$D$8,F80&lt;='01-Process Controls'!$E$8),AND(E80&lt;='01-Process Controls'!$E$8,F80&lt;='01-Process Controls'!$D$8)),"VALID - NOMINAL EDGE","ERROR - EXCEEDS BED")))))</f>
        <v>VALID - SAFE</v>
      </c>
      <c r="K80" s="57" t="s">
        <v>2507</v>
      </c>
    </row>
    <row r="81" spans="1:11">
      <c r="A81" s="40" t="s">
        <v>1279</v>
      </c>
      <c r="B81" s="40" t="s">
        <v>36</v>
      </c>
      <c r="C81" s="40" t="s">
        <v>1275</v>
      </c>
      <c r="D81" s="40" t="s">
        <v>1186</v>
      </c>
      <c r="E81" s="41">
        <v>900</v>
      </c>
      <c r="F81" s="41">
        <v>600</v>
      </c>
      <c r="G81" s="40" t="s">
        <v>1276</v>
      </c>
      <c r="H81" s="40" t="s">
        <v>1277</v>
      </c>
      <c r="I81" s="40" t="s">
        <v>87</v>
      </c>
      <c r="J81" s="40" t="str">
        <f>IF(OR(E81&lt;=0,F81&lt;=0),"ERROR - NONPOSITIVE",IF(OR(E81&lt;&gt;ROUNDDOWN(E81,0),F81&lt;&gt;ROUNDDOWN(F81,0)),"ERROR - WHOLE MM ONLY",IF(OR(E81&lt;'01-Process Controls'!$G$8,F81&lt;'01-Process Controls'!$G$8),"ERROR - BELOW MIN",IF(OR(AND(E81&lt;='01-Process Controls'!$D$8-2*'01-Process Controls'!$H$8,F81&lt;='01-Process Controls'!$E$8-2*'01-Process Controls'!$H$8),AND(E81&lt;='01-Process Controls'!$E$8-2*'01-Process Controls'!$H$8,F81&lt;='01-Process Controls'!$D$8-2*'01-Process Controls'!$H$8)),"VALID - SAFE",IF(OR(AND(E81&lt;='01-Process Controls'!$D$8,F81&lt;='01-Process Controls'!$E$8),AND(E81&lt;='01-Process Controls'!$E$8,F81&lt;='01-Process Controls'!$D$8)),"VALID - NOMINAL EDGE","ERROR - EXCEEDS BED")))))</f>
        <v>VALID - SAFE</v>
      </c>
      <c r="K81" s="57" t="s">
        <v>2507</v>
      </c>
    </row>
    <row r="82" spans="1:11">
      <c r="A82" s="40" t="s">
        <v>1280</v>
      </c>
      <c r="B82" s="40" t="s">
        <v>36</v>
      </c>
      <c r="C82" s="40" t="s">
        <v>1275</v>
      </c>
      <c r="D82" s="40" t="s">
        <v>1186</v>
      </c>
      <c r="E82" s="41">
        <v>600</v>
      </c>
      <c r="F82" s="41">
        <v>450</v>
      </c>
      <c r="G82" s="40" t="s">
        <v>1276</v>
      </c>
      <c r="H82" s="40" t="s">
        <v>1277</v>
      </c>
      <c r="I82" s="40" t="s">
        <v>87</v>
      </c>
      <c r="J82" s="40" t="str">
        <f>IF(OR(E82&lt;=0,F82&lt;=0),"ERROR - NONPOSITIVE",IF(OR(E82&lt;&gt;ROUNDDOWN(E82,0),F82&lt;&gt;ROUNDDOWN(F82,0)),"ERROR - WHOLE MM ONLY",IF(OR(E82&lt;'01-Process Controls'!$G$8,F82&lt;'01-Process Controls'!$G$8),"ERROR - BELOW MIN",IF(OR(AND(E82&lt;='01-Process Controls'!$D$8-2*'01-Process Controls'!$H$8,F82&lt;='01-Process Controls'!$E$8-2*'01-Process Controls'!$H$8),AND(E82&lt;='01-Process Controls'!$E$8-2*'01-Process Controls'!$H$8,F82&lt;='01-Process Controls'!$D$8-2*'01-Process Controls'!$H$8)),"VALID - SAFE",IF(OR(AND(E82&lt;='01-Process Controls'!$D$8,F82&lt;='01-Process Controls'!$E$8),AND(E82&lt;='01-Process Controls'!$E$8,F82&lt;='01-Process Controls'!$D$8)),"VALID - NOMINAL EDGE","ERROR - EXCEEDS BED")))))</f>
        <v>VALID - SAFE</v>
      </c>
      <c r="K82" s="57" t="s">
        <v>2507</v>
      </c>
    </row>
    <row r="83" spans="1:11">
      <c r="A83" s="40" t="s">
        <v>1281</v>
      </c>
      <c r="B83" s="40" t="s">
        <v>36</v>
      </c>
      <c r="C83" s="40" t="s">
        <v>1275</v>
      </c>
      <c r="D83" s="40" t="s">
        <v>1186</v>
      </c>
      <c r="E83" s="41">
        <v>600</v>
      </c>
      <c r="F83" s="41">
        <v>300</v>
      </c>
      <c r="G83" s="40" t="s">
        <v>1276</v>
      </c>
      <c r="H83" s="40" t="s">
        <v>1277</v>
      </c>
      <c r="I83" s="40" t="s">
        <v>87</v>
      </c>
      <c r="J83" s="40" t="str">
        <f>IF(OR(E83&lt;=0,F83&lt;=0),"ERROR - NONPOSITIVE",IF(OR(E83&lt;&gt;ROUNDDOWN(E83,0),F83&lt;&gt;ROUNDDOWN(F83,0)),"ERROR - WHOLE MM ONLY",IF(OR(E83&lt;'01-Process Controls'!$G$8,F83&lt;'01-Process Controls'!$G$8),"ERROR - BELOW MIN",IF(OR(AND(E83&lt;='01-Process Controls'!$D$8-2*'01-Process Controls'!$H$8,F83&lt;='01-Process Controls'!$E$8-2*'01-Process Controls'!$H$8),AND(E83&lt;='01-Process Controls'!$E$8-2*'01-Process Controls'!$H$8,F83&lt;='01-Process Controls'!$D$8-2*'01-Process Controls'!$H$8)),"VALID - SAFE",IF(OR(AND(E83&lt;='01-Process Controls'!$D$8,F83&lt;='01-Process Controls'!$E$8),AND(E83&lt;='01-Process Controls'!$E$8,F83&lt;='01-Process Controls'!$D$8)),"VALID - NOMINAL EDGE","ERROR - EXCEEDS BED")))))</f>
        <v>VALID - SAFE</v>
      </c>
      <c r="K83" s="57" t="s">
        <v>2507</v>
      </c>
    </row>
    <row r="84" spans="1:11">
      <c r="A84" s="40" t="s">
        <v>1282</v>
      </c>
      <c r="B84" s="40" t="s">
        <v>36</v>
      </c>
      <c r="C84" s="40" t="s">
        <v>1275</v>
      </c>
      <c r="D84" s="40" t="s">
        <v>1186</v>
      </c>
      <c r="E84" s="41">
        <v>400</v>
      </c>
      <c r="F84" s="41">
        <v>300</v>
      </c>
      <c r="G84" s="40" t="s">
        <v>1276</v>
      </c>
      <c r="H84" s="40" t="s">
        <v>1277</v>
      </c>
      <c r="I84" s="40" t="s">
        <v>87</v>
      </c>
      <c r="J84" s="40" t="str">
        <f>IF(OR(E84&lt;=0,F84&lt;=0),"ERROR - NONPOSITIVE",IF(OR(E84&lt;&gt;ROUNDDOWN(E84,0),F84&lt;&gt;ROUNDDOWN(F84,0)),"ERROR - WHOLE MM ONLY",IF(OR(E84&lt;'01-Process Controls'!$G$8,F84&lt;'01-Process Controls'!$G$8),"ERROR - BELOW MIN",IF(OR(AND(E84&lt;='01-Process Controls'!$D$8-2*'01-Process Controls'!$H$8,F84&lt;='01-Process Controls'!$E$8-2*'01-Process Controls'!$H$8),AND(E84&lt;='01-Process Controls'!$E$8-2*'01-Process Controls'!$H$8,F84&lt;='01-Process Controls'!$D$8-2*'01-Process Controls'!$H$8)),"VALID - SAFE",IF(OR(AND(E84&lt;='01-Process Controls'!$D$8,F84&lt;='01-Process Controls'!$E$8),AND(E84&lt;='01-Process Controls'!$E$8,F84&lt;='01-Process Controls'!$D$8)),"VALID - NOMINAL EDGE","ERROR - EXCEEDS BED")))))</f>
        <v>VALID - SAFE</v>
      </c>
      <c r="K84" s="57" t="s">
        <v>2507</v>
      </c>
    </row>
    <row r="85" spans="1:11">
      <c r="A85" s="40" t="s">
        <v>1283</v>
      </c>
      <c r="B85" s="40" t="s">
        <v>36</v>
      </c>
      <c r="C85" s="40" t="s">
        <v>1275</v>
      </c>
      <c r="D85" s="40" t="s">
        <v>1186</v>
      </c>
      <c r="E85" s="41">
        <v>300</v>
      </c>
      <c r="F85" s="41">
        <v>200</v>
      </c>
      <c r="G85" s="40" t="s">
        <v>1276</v>
      </c>
      <c r="H85" s="40" t="s">
        <v>1277</v>
      </c>
      <c r="I85" s="40" t="s">
        <v>87</v>
      </c>
      <c r="J85" s="40" t="str">
        <f>IF(OR(E85&lt;=0,F85&lt;=0),"ERROR - NONPOSITIVE",IF(OR(E85&lt;&gt;ROUNDDOWN(E85,0),F85&lt;&gt;ROUNDDOWN(F85,0)),"ERROR - WHOLE MM ONLY",IF(OR(E85&lt;'01-Process Controls'!$G$8,F85&lt;'01-Process Controls'!$G$8),"ERROR - BELOW MIN",IF(OR(AND(E85&lt;='01-Process Controls'!$D$8-2*'01-Process Controls'!$H$8,F85&lt;='01-Process Controls'!$E$8-2*'01-Process Controls'!$H$8),AND(E85&lt;='01-Process Controls'!$E$8-2*'01-Process Controls'!$H$8,F85&lt;='01-Process Controls'!$D$8-2*'01-Process Controls'!$H$8)),"VALID - SAFE",IF(OR(AND(E85&lt;='01-Process Controls'!$D$8,F85&lt;='01-Process Controls'!$E$8),AND(E85&lt;='01-Process Controls'!$E$8,F85&lt;='01-Process Controls'!$D$8)),"VALID - NOMINAL EDGE","ERROR - EXCEEDS BED")))))</f>
        <v>VALID - SAFE</v>
      </c>
      <c r="K85" s="57" t="s">
        <v>2507</v>
      </c>
    </row>
    <row r="86" spans="1:11">
      <c r="A86" s="40" t="s">
        <v>1284</v>
      </c>
      <c r="B86" s="40" t="s">
        <v>36</v>
      </c>
      <c r="C86" s="40" t="s">
        <v>356</v>
      </c>
      <c r="D86" s="40" t="s">
        <v>1186</v>
      </c>
      <c r="E86" s="41">
        <v>594</v>
      </c>
      <c r="F86" s="41">
        <v>420</v>
      </c>
      <c r="G86" s="40" t="s">
        <v>1182</v>
      </c>
      <c r="H86" s="40" t="s">
        <v>1285</v>
      </c>
      <c r="I86" s="43" t="s">
        <v>24</v>
      </c>
      <c r="J86" s="40" t="str">
        <f>IF(OR(E86&lt;=0,F86&lt;=0),"ERROR - NONPOSITIVE",IF(OR(E86&lt;&gt;ROUNDDOWN(E86,0),F86&lt;&gt;ROUNDDOWN(F86,0)),"ERROR - WHOLE MM ONLY",IF(OR(E86&lt;'01-Process Controls'!$G$8,F86&lt;'01-Process Controls'!$G$8),"ERROR - BELOW MIN",IF(OR(AND(E86&lt;='01-Process Controls'!$D$8-2*'01-Process Controls'!$H$8,F86&lt;='01-Process Controls'!$E$8-2*'01-Process Controls'!$H$8),AND(E86&lt;='01-Process Controls'!$E$8-2*'01-Process Controls'!$H$8,F86&lt;='01-Process Controls'!$D$8-2*'01-Process Controls'!$H$8)),"VALID - SAFE",IF(OR(AND(E86&lt;='01-Process Controls'!$D$8,F86&lt;='01-Process Controls'!$E$8),AND(E86&lt;='01-Process Controls'!$E$8,F86&lt;='01-Process Controls'!$D$8)),"VALID - NOMINAL EDGE","ERROR - EXCEEDS BED")))))</f>
        <v>VALID - SAFE</v>
      </c>
      <c r="K86" s="57" t="s">
        <v>2507</v>
      </c>
    </row>
    <row r="87" spans="1:11">
      <c r="A87" s="40" t="s">
        <v>1286</v>
      </c>
      <c r="B87" s="40" t="s">
        <v>36</v>
      </c>
      <c r="C87" s="40" t="s">
        <v>430</v>
      </c>
      <c r="D87" s="40" t="s">
        <v>1186</v>
      </c>
      <c r="E87" s="41">
        <v>420</v>
      </c>
      <c r="F87" s="41">
        <v>297</v>
      </c>
      <c r="G87" s="40" t="s">
        <v>1182</v>
      </c>
      <c r="H87" s="40" t="s">
        <v>1285</v>
      </c>
      <c r="I87" s="43" t="s">
        <v>24</v>
      </c>
      <c r="J87" s="40" t="str">
        <f>IF(OR(E87&lt;=0,F87&lt;=0),"ERROR - NONPOSITIVE",IF(OR(E87&lt;&gt;ROUNDDOWN(E87,0),F87&lt;&gt;ROUNDDOWN(F87,0)),"ERROR - WHOLE MM ONLY",IF(OR(E87&lt;'01-Process Controls'!$G$8,F87&lt;'01-Process Controls'!$G$8),"ERROR - BELOW MIN",IF(OR(AND(E87&lt;='01-Process Controls'!$D$8-2*'01-Process Controls'!$H$8,F87&lt;='01-Process Controls'!$E$8-2*'01-Process Controls'!$H$8),AND(E87&lt;='01-Process Controls'!$E$8-2*'01-Process Controls'!$H$8,F87&lt;='01-Process Controls'!$D$8-2*'01-Process Controls'!$H$8)),"VALID - SAFE",IF(OR(AND(E87&lt;='01-Process Controls'!$D$8,F87&lt;='01-Process Controls'!$E$8),AND(E87&lt;='01-Process Controls'!$E$8,F87&lt;='01-Process Controls'!$D$8)),"VALID - NOMINAL EDGE","ERROR - EXCEEDS BED")))))</f>
        <v>VALID - SAFE</v>
      </c>
      <c r="K87" s="57" t="s">
        <v>2507</v>
      </c>
    </row>
    <row r="88" spans="1:11">
      <c r="A88" s="40" t="s">
        <v>1287</v>
      </c>
      <c r="B88" s="40" t="s">
        <v>36</v>
      </c>
      <c r="C88" s="40" t="s">
        <v>504</v>
      </c>
      <c r="D88" s="40" t="s">
        <v>1186</v>
      </c>
      <c r="E88" s="41">
        <v>297</v>
      </c>
      <c r="F88" s="41">
        <v>210</v>
      </c>
      <c r="G88" s="40" t="s">
        <v>1182</v>
      </c>
      <c r="H88" s="40" t="s">
        <v>1285</v>
      </c>
      <c r="I88" s="43" t="s">
        <v>24</v>
      </c>
      <c r="J88" s="40" t="str">
        <f>IF(OR(E88&lt;=0,F88&lt;=0),"ERROR - NONPOSITIVE",IF(OR(E88&lt;&gt;ROUNDDOWN(E88,0),F88&lt;&gt;ROUNDDOWN(F88,0)),"ERROR - WHOLE MM ONLY",IF(OR(E88&lt;'01-Process Controls'!$G$8,F88&lt;'01-Process Controls'!$G$8),"ERROR - BELOW MIN",IF(OR(AND(E88&lt;='01-Process Controls'!$D$8-2*'01-Process Controls'!$H$8,F88&lt;='01-Process Controls'!$E$8-2*'01-Process Controls'!$H$8),AND(E88&lt;='01-Process Controls'!$E$8-2*'01-Process Controls'!$H$8,F88&lt;='01-Process Controls'!$D$8-2*'01-Process Controls'!$H$8)),"VALID - SAFE",IF(OR(AND(E88&lt;='01-Process Controls'!$D$8,F88&lt;='01-Process Controls'!$E$8),AND(E88&lt;='01-Process Controls'!$E$8,F88&lt;='01-Process Controls'!$D$8)),"VALID - NOMINAL EDGE","ERROR - EXCEEDS BED")))))</f>
        <v>VALID - SAFE</v>
      </c>
      <c r="K88" s="57" t="s">
        <v>2507</v>
      </c>
    </row>
    <row r="89" spans="1:11">
      <c r="A89" s="40" t="s">
        <v>1288</v>
      </c>
      <c r="B89" s="40" t="s">
        <v>36</v>
      </c>
      <c r="C89" s="40" t="s">
        <v>1289</v>
      </c>
      <c r="D89" s="40" t="s">
        <v>1193</v>
      </c>
      <c r="E89" s="41">
        <v>500</v>
      </c>
      <c r="F89" s="41">
        <v>500</v>
      </c>
      <c r="G89" s="40" t="s">
        <v>1192</v>
      </c>
      <c r="H89" s="40" t="s">
        <v>1290</v>
      </c>
      <c r="I89" s="40" t="s">
        <v>87</v>
      </c>
      <c r="J89" s="40" t="str">
        <f>IF(OR(E89&lt;=0,F89&lt;=0),"ERROR - NONPOSITIVE",IF(OR(E89&lt;&gt;ROUNDDOWN(E89,0),F89&lt;&gt;ROUNDDOWN(F89,0)),"ERROR - WHOLE MM ONLY",IF(OR(E89&lt;'01-Process Controls'!$G$8,F89&lt;'01-Process Controls'!$G$8),"ERROR - BELOW MIN",IF(OR(AND(E89&lt;='01-Process Controls'!$D$8-2*'01-Process Controls'!$H$8,F89&lt;='01-Process Controls'!$E$8-2*'01-Process Controls'!$H$8),AND(E89&lt;='01-Process Controls'!$E$8-2*'01-Process Controls'!$H$8,F89&lt;='01-Process Controls'!$D$8-2*'01-Process Controls'!$H$8)),"VALID - SAFE",IF(OR(AND(E89&lt;='01-Process Controls'!$D$8,F89&lt;='01-Process Controls'!$E$8),AND(E89&lt;='01-Process Controls'!$E$8,F89&lt;='01-Process Controls'!$D$8)),"VALID - NOMINAL EDGE","ERROR - EXCEEDS BED")))))</f>
        <v>VALID - SAFE</v>
      </c>
      <c r="K89" s="57" t="s">
        <v>2507</v>
      </c>
    </row>
    <row r="90" spans="1:11">
      <c r="A90" s="40" t="s">
        <v>1291</v>
      </c>
      <c r="B90" s="40" t="s">
        <v>36</v>
      </c>
      <c r="C90" s="40" t="s">
        <v>1289</v>
      </c>
      <c r="D90" s="40" t="s">
        <v>1193</v>
      </c>
      <c r="E90" s="41">
        <v>400</v>
      </c>
      <c r="F90" s="41">
        <v>400</v>
      </c>
      <c r="G90" s="40" t="s">
        <v>1192</v>
      </c>
      <c r="H90" s="40" t="s">
        <v>1290</v>
      </c>
      <c r="I90" s="40" t="s">
        <v>87</v>
      </c>
      <c r="J90" s="40" t="str">
        <f>IF(OR(E90&lt;=0,F90&lt;=0),"ERROR - NONPOSITIVE",IF(OR(E90&lt;&gt;ROUNDDOWN(E90,0),F90&lt;&gt;ROUNDDOWN(F90,0)),"ERROR - WHOLE MM ONLY",IF(OR(E90&lt;'01-Process Controls'!$G$8,F90&lt;'01-Process Controls'!$G$8),"ERROR - BELOW MIN",IF(OR(AND(E90&lt;='01-Process Controls'!$D$8-2*'01-Process Controls'!$H$8,F90&lt;='01-Process Controls'!$E$8-2*'01-Process Controls'!$H$8),AND(E90&lt;='01-Process Controls'!$E$8-2*'01-Process Controls'!$H$8,F90&lt;='01-Process Controls'!$D$8-2*'01-Process Controls'!$H$8)),"VALID - SAFE",IF(OR(AND(E90&lt;='01-Process Controls'!$D$8,F90&lt;='01-Process Controls'!$E$8),AND(E90&lt;='01-Process Controls'!$E$8,F90&lt;='01-Process Controls'!$D$8)),"VALID - NOMINAL EDGE","ERROR - EXCEEDS BED")))))</f>
        <v>VALID - SAFE</v>
      </c>
      <c r="K90" s="57" t="s">
        <v>2507</v>
      </c>
    </row>
    <row r="91" spans="1:11">
      <c r="A91" s="40" t="s">
        <v>1292</v>
      </c>
      <c r="B91" s="40" t="s">
        <v>36</v>
      </c>
      <c r="C91" s="40" t="s">
        <v>1289</v>
      </c>
      <c r="D91" s="40" t="s">
        <v>1193</v>
      </c>
      <c r="E91" s="41">
        <v>300</v>
      </c>
      <c r="F91" s="41">
        <v>300</v>
      </c>
      <c r="G91" s="40" t="s">
        <v>1192</v>
      </c>
      <c r="H91" s="40" t="s">
        <v>1290</v>
      </c>
      <c r="I91" s="40" t="s">
        <v>87</v>
      </c>
      <c r="J91" s="40" t="str">
        <f>IF(OR(E91&lt;=0,F91&lt;=0),"ERROR - NONPOSITIVE",IF(OR(E91&lt;&gt;ROUNDDOWN(E91,0),F91&lt;&gt;ROUNDDOWN(F91,0)),"ERROR - WHOLE MM ONLY",IF(OR(E91&lt;'01-Process Controls'!$G$8,F91&lt;'01-Process Controls'!$G$8),"ERROR - BELOW MIN",IF(OR(AND(E91&lt;='01-Process Controls'!$D$8-2*'01-Process Controls'!$H$8,F91&lt;='01-Process Controls'!$E$8-2*'01-Process Controls'!$H$8),AND(E91&lt;='01-Process Controls'!$E$8-2*'01-Process Controls'!$H$8,F91&lt;='01-Process Controls'!$D$8-2*'01-Process Controls'!$H$8)),"VALID - SAFE",IF(OR(AND(E91&lt;='01-Process Controls'!$D$8,F91&lt;='01-Process Controls'!$E$8),AND(E91&lt;='01-Process Controls'!$E$8,F91&lt;='01-Process Controls'!$D$8)),"VALID - NOMINAL EDGE","ERROR - EXCEEDS BED")))))</f>
        <v>VALID - SAFE</v>
      </c>
      <c r="K91" s="57" t="s">
        <v>2507</v>
      </c>
    </row>
    <row r="92" spans="1:11">
      <c r="A92" s="40" t="s">
        <v>1293</v>
      </c>
      <c r="B92" s="40" t="s">
        <v>36</v>
      </c>
      <c r="C92" s="40" t="s">
        <v>1289</v>
      </c>
      <c r="D92" s="40" t="s">
        <v>1193</v>
      </c>
      <c r="E92" s="41">
        <v>250</v>
      </c>
      <c r="F92" s="41">
        <v>250</v>
      </c>
      <c r="G92" s="40" t="s">
        <v>1192</v>
      </c>
      <c r="H92" s="40" t="s">
        <v>1290</v>
      </c>
      <c r="I92" s="40" t="s">
        <v>87</v>
      </c>
      <c r="J92" s="40" t="str">
        <f>IF(OR(E92&lt;=0,F92&lt;=0),"ERROR - NONPOSITIVE",IF(OR(E92&lt;&gt;ROUNDDOWN(E92,0),F92&lt;&gt;ROUNDDOWN(F92,0)),"ERROR - WHOLE MM ONLY",IF(OR(E92&lt;'01-Process Controls'!$G$8,F92&lt;'01-Process Controls'!$G$8),"ERROR - BELOW MIN",IF(OR(AND(E92&lt;='01-Process Controls'!$D$8-2*'01-Process Controls'!$H$8,F92&lt;='01-Process Controls'!$E$8-2*'01-Process Controls'!$H$8),AND(E92&lt;='01-Process Controls'!$E$8-2*'01-Process Controls'!$H$8,F92&lt;='01-Process Controls'!$D$8-2*'01-Process Controls'!$H$8)),"VALID - SAFE",IF(OR(AND(E92&lt;='01-Process Controls'!$D$8,F92&lt;='01-Process Controls'!$E$8),AND(E92&lt;='01-Process Controls'!$E$8,F92&lt;='01-Process Controls'!$D$8)),"VALID - NOMINAL EDGE","ERROR - EXCEEDS BED")))))</f>
        <v>VALID - SAFE</v>
      </c>
      <c r="K92" s="57" t="s">
        <v>2507</v>
      </c>
    </row>
    <row r="93" spans="1:11">
      <c r="A93" s="40" t="s">
        <v>1294</v>
      </c>
      <c r="B93" s="40" t="s">
        <v>36</v>
      </c>
      <c r="C93" s="40" t="s">
        <v>1289</v>
      </c>
      <c r="D93" s="40" t="s">
        <v>1193</v>
      </c>
      <c r="E93" s="41">
        <v>200</v>
      </c>
      <c r="F93" s="41">
        <v>200</v>
      </c>
      <c r="G93" s="40" t="s">
        <v>1192</v>
      </c>
      <c r="H93" s="40" t="s">
        <v>1290</v>
      </c>
      <c r="I93" s="40" t="s">
        <v>87</v>
      </c>
      <c r="J93" s="40" t="str">
        <f>IF(OR(E93&lt;=0,F93&lt;=0),"ERROR - NONPOSITIVE",IF(OR(E93&lt;&gt;ROUNDDOWN(E93,0),F93&lt;&gt;ROUNDDOWN(F93,0)),"ERROR - WHOLE MM ONLY",IF(OR(E93&lt;'01-Process Controls'!$G$8,F93&lt;'01-Process Controls'!$G$8),"ERROR - BELOW MIN",IF(OR(AND(E93&lt;='01-Process Controls'!$D$8-2*'01-Process Controls'!$H$8,F93&lt;='01-Process Controls'!$E$8-2*'01-Process Controls'!$H$8),AND(E93&lt;='01-Process Controls'!$E$8-2*'01-Process Controls'!$H$8,F93&lt;='01-Process Controls'!$D$8-2*'01-Process Controls'!$H$8)),"VALID - SAFE",IF(OR(AND(E93&lt;='01-Process Controls'!$D$8,F93&lt;='01-Process Controls'!$E$8),AND(E93&lt;='01-Process Controls'!$E$8,F93&lt;='01-Process Controls'!$D$8)),"VALID - NOMINAL EDGE","ERROR - EXCEEDS BED")))))</f>
        <v>VALID - SAFE</v>
      </c>
      <c r="K93" s="57" t="s">
        <v>2507</v>
      </c>
    </row>
    <row r="94" spans="1:11">
      <c r="A94" s="40" t="s">
        <v>1295</v>
      </c>
      <c r="B94" s="40" t="s">
        <v>36</v>
      </c>
      <c r="C94" s="40" t="s">
        <v>1289</v>
      </c>
      <c r="D94" s="40" t="s">
        <v>1193</v>
      </c>
      <c r="E94" s="41">
        <v>150</v>
      </c>
      <c r="F94" s="41">
        <v>150</v>
      </c>
      <c r="G94" s="40" t="s">
        <v>1192</v>
      </c>
      <c r="H94" s="40" t="s">
        <v>1290</v>
      </c>
      <c r="I94" s="40" t="s">
        <v>87</v>
      </c>
      <c r="J94" s="40" t="str">
        <f>IF(OR(E94&lt;=0,F94&lt;=0),"ERROR - NONPOSITIVE",IF(OR(E94&lt;&gt;ROUNDDOWN(E94,0),F94&lt;&gt;ROUNDDOWN(F94,0)),"ERROR - WHOLE MM ONLY",IF(OR(E94&lt;'01-Process Controls'!$G$8,F94&lt;'01-Process Controls'!$G$8),"ERROR - BELOW MIN",IF(OR(AND(E94&lt;='01-Process Controls'!$D$8-2*'01-Process Controls'!$H$8,F94&lt;='01-Process Controls'!$E$8-2*'01-Process Controls'!$H$8),AND(E94&lt;='01-Process Controls'!$E$8-2*'01-Process Controls'!$H$8,F94&lt;='01-Process Controls'!$D$8-2*'01-Process Controls'!$H$8)),"VALID - SAFE",IF(OR(AND(E94&lt;='01-Process Controls'!$D$8,F94&lt;='01-Process Controls'!$E$8),AND(E94&lt;='01-Process Controls'!$E$8,F94&lt;='01-Process Controls'!$D$8)),"VALID - NOMINAL EDGE","ERROR - EXCEEDS BED")))))</f>
        <v>VALID - SAFE</v>
      </c>
      <c r="K94" s="57" t="s">
        <v>2507</v>
      </c>
    </row>
    <row r="95" spans="1:11">
      <c r="A95" s="40" t="s">
        <v>1296</v>
      </c>
      <c r="B95" s="40" t="s">
        <v>36</v>
      </c>
      <c r="C95" s="40" t="s">
        <v>1289</v>
      </c>
      <c r="D95" s="40" t="s">
        <v>1193</v>
      </c>
      <c r="E95" s="41">
        <v>120</v>
      </c>
      <c r="F95" s="41">
        <v>120</v>
      </c>
      <c r="G95" s="40" t="s">
        <v>1192</v>
      </c>
      <c r="H95" s="40" t="s">
        <v>1290</v>
      </c>
      <c r="I95" s="40" t="s">
        <v>87</v>
      </c>
      <c r="J95" s="40" t="str">
        <f>IF(OR(E95&lt;=0,F95&lt;=0),"ERROR - NONPOSITIVE",IF(OR(E95&lt;&gt;ROUNDDOWN(E95,0),F95&lt;&gt;ROUNDDOWN(F95,0)),"ERROR - WHOLE MM ONLY",IF(OR(E95&lt;'01-Process Controls'!$G$8,F95&lt;'01-Process Controls'!$G$8),"ERROR - BELOW MIN",IF(OR(AND(E95&lt;='01-Process Controls'!$D$8-2*'01-Process Controls'!$H$8,F95&lt;='01-Process Controls'!$E$8-2*'01-Process Controls'!$H$8),AND(E95&lt;='01-Process Controls'!$E$8-2*'01-Process Controls'!$H$8,F95&lt;='01-Process Controls'!$D$8-2*'01-Process Controls'!$H$8)),"VALID - SAFE",IF(OR(AND(E95&lt;='01-Process Controls'!$D$8,F95&lt;='01-Process Controls'!$E$8),AND(E95&lt;='01-Process Controls'!$E$8,F95&lt;='01-Process Controls'!$D$8)),"VALID - NOMINAL EDGE","ERROR - EXCEEDS BED")))))</f>
        <v>VALID - SAFE</v>
      </c>
      <c r="K95" s="57" t="s">
        <v>2507</v>
      </c>
    </row>
    <row r="96" spans="1:11">
      <c r="A96" s="40" t="s">
        <v>1297</v>
      </c>
      <c r="B96" s="40" t="s">
        <v>36</v>
      </c>
      <c r="C96" s="40" t="s">
        <v>1219</v>
      </c>
      <c r="D96" s="40" t="s">
        <v>1193</v>
      </c>
      <c r="E96" s="41">
        <v>30</v>
      </c>
      <c r="F96" s="41">
        <v>30</v>
      </c>
      <c r="G96" s="40" t="s">
        <v>1204</v>
      </c>
      <c r="H96" s="40" t="s">
        <v>1298</v>
      </c>
      <c r="I96" s="40" t="s">
        <v>87</v>
      </c>
      <c r="J96" s="40" t="str">
        <f>IF(OR(E96&lt;=0,F96&lt;=0),"ERROR - NONPOSITIVE",IF(OR(E96&lt;&gt;ROUNDDOWN(E96,0),F96&lt;&gt;ROUNDDOWN(F96,0)),"ERROR - WHOLE MM ONLY",IF(OR(E96&lt;'01-Process Controls'!$G$8,F96&lt;'01-Process Controls'!$G$8),"ERROR - BELOW MIN",IF(OR(AND(E96&lt;='01-Process Controls'!$D$8-2*'01-Process Controls'!$H$8,F96&lt;='01-Process Controls'!$E$8-2*'01-Process Controls'!$H$8),AND(E96&lt;='01-Process Controls'!$E$8-2*'01-Process Controls'!$H$8,F96&lt;='01-Process Controls'!$D$8-2*'01-Process Controls'!$H$8)),"VALID - SAFE",IF(OR(AND(E96&lt;='01-Process Controls'!$D$8,F96&lt;='01-Process Controls'!$E$8),AND(E96&lt;='01-Process Controls'!$E$8,F96&lt;='01-Process Controls'!$D$8)),"VALID - NOMINAL EDGE","ERROR - EXCEEDS BED")))))</f>
        <v>VALID - SAFE</v>
      </c>
      <c r="K96" s="57" t="s">
        <v>2507</v>
      </c>
    </row>
    <row r="97" spans="1:11">
      <c r="A97" s="40" t="s">
        <v>1299</v>
      </c>
      <c r="B97" s="40" t="s">
        <v>36</v>
      </c>
      <c r="C97" s="40" t="s">
        <v>1219</v>
      </c>
      <c r="D97" s="40" t="s">
        <v>1193</v>
      </c>
      <c r="E97" s="41">
        <v>40</v>
      </c>
      <c r="F97" s="41">
        <v>40</v>
      </c>
      <c r="G97" s="40" t="s">
        <v>1204</v>
      </c>
      <c r="H97" s="40" t="s">
        <v>1298</v>
      </c>
      <c r="I97" s="40" t="s">
        <v>87</v>
      </c>
      <c r="J97" s="40" t="str">
        <f>IF(OR(E97&lt;=0,F97&lt;=0),"ERROR - NONPOSITIVE",IF(OR(E97&lt;&gt;ROUNDDOWN(E97,0),F97&lt;&gt;ROUNDDOWN(F97,0)),"ERROR - WHOLE MM ONLY",IF(OR(E97&lt;'01-Process Controls'!$G$8,F97&lt;'01-Process Controls'!$G$8),"ERROR - BELOW MIN",IF(OR(AND(E97&lt;='01-Process Controls'!$D$8-2*'01-Process Controls'!$H$8,F97&lt;='01-Process Controls'!$E$8-2*'01-Process Controls'!$H$8),AND(E97&lt;='01-Process Controls'!$E$8-2*'01-Process Controls'!$H$8,F97&lt;='01-Process Controls'!$D$8-2*'01-Process Controls'!$H$8)),"VALID - SAFE",IF(OR(AND(E97&lt;='01-Process Controls'!$D$8,F97&lt;='01-Process Controls'!$E$8),AND(E97&lt;='01-Process Controls'!$E$8,F97&lt;='01-Process Controls'!$D$8)),"VALID - NOMINAL EDGE","ERROR - EXCEEDS BED")))))</f>
        <v>VALID - SAFE</v>
      </c>
      <c r="K97" s="57" t="s">
        <v>2507</v>
      </c>
    </row>
    <row r="98" spans="1:11">
      <c r="A98" s="40" t="s">
        <v>1300</v>
      </c>
      <c r="B98" s="40" t="s">
        <v>36</v>
      </c>
      <c r="C98" s="40" t="s">
        <v>1219</v>
      </c>
      <c r="D98" s="40" t="s">
        <v>1193</v>
      </c>
      <c r="E98" s="41">
        <v>50</v>
      </c>
      <c r="F98" s="41">
        <v>50</v>
      </c>
      <c r="G98" s="40" t="s">
        <v>1204</v>
      </c>
      <c r="H98" s="40" t="s">
        <v>1298</v>
      </c>
      <c r="I98" s="40" t="s">
        <v>87</v>
      </c>
      <c r="J98" s="40" t="str">
        <f>IF(OR(E98&lt;=0,F98&lt;=0),"ERROR - NONPOSITIVE",IF(OR(E98&lt;&gt;ROUNDDOWN(E98,0),F98&lt;&gt;ROUNDDOWN(F98,0)),"ERROR - WHOLE MM ONLY",IF(OR(E98&lt;'01-Process Controls'!$G$8,F98&lt;'01-Process Controls'!$G$8),"ERROR - BELOW MIN",IF(OR(AND(E98&lt;='01-Process Controls'!$D$8-2*'01-Process Controls'!$H$8,F98&lt;='01-Process Controls'!$E$8-2*'01-Process Controls'!$H$8),AND(E98&lt;='01-Process Controls'!$E$8-2*'01-Process Controls'!$H$8,F98&lt;='01-Process Controls'!$D$8-2*'01-Process Controls'!$H$8)),"VALID - SAFE",IF(OR(AND(E98&lt;='01-Process Controls'!$D$8,F98&lt;='01-Process Controls'!$E$8),AND(E98&lt;='01-Process Controls'!$E$8,F98&lt;='01-Process Controls'!$D$8)),"VALID - NOMINAL EDGE","ERROR - EXCEEDS BED")))))</f>
        <v>VALID - SAFE</v>
      </c>
      <c r="K98" s="57" t="s">
        <v>2507</v>
      </c>
    </row>
    <row r="99" spans="1:11">
      <c r="A99" s="40" t="s">
        <v>1301</v>
      </c>
      <c r="B99" s="40" t="s">
        <v>36</v>
      </c>
      <c r="C99" s="40" t="s">
        <v>1219</v>
      </c>
      <c r="D99" s="40" t="s">
        <v>1186</v>
      </c>
      <c r="E99" s="41">
        <v>60</v>
      </c>
      <c r="F99" s="41">
        <v>40</v>
      </c>
      <c r="G99" s="40" t="s">
        <v>1204</v>
      </c>
      <c r="H99" s="40" t="s">
        <v>1298</v>
      </c>
      <c r="I99" s="40" t="s">
        <v>87</v>
      </c>
      <c r="J99" s="40" t="str">
        <f>IF(OR(E99&lt;=0,F99&lt;=0),"ERROR - NONPOSITIVE",IF(OR(E99&lt;&gt;ROUNDDOWN(E99,0),F99&lt;&gt;ROUNDDOWN(F99,0)),"ERROR - WHOLE MM ONLY",IF(OR(E99&lt;'01-Process Controls'!$G$8,F99&lt;'01-Process Controls'!$G$8),"ERROR - BELOW MIN",IF(OR(AND(E99&lt;='01-Process Controls'!$D$8-2*'01-Process Controls'!$H$8,F99&lt;='01-Process Controls'!$E$8-2*'01-Process Controls'!$H$8),AND(E99&lt;='01-Process Controls'!$E$8-2*'01-Process Controls'!$H$8,F99&lt;='01-Process Controls'!$D$8-2*'01-Process Controls'!$H$8)),"VALID - SAFE",IF(OR(AND(E99&lt;='01-Process Controls'!$D$8,F99&lt;='01-Process Controls'!$E$8),AND(E99&lt;='01-Process Controls'!$E$8,F99&lt;='01-Process Controls'!$D$8)),"VALID - NOMINAL EDGE","ERROR - EXCEEDS BED")))))</f>
        <v>VALID - SAFE</v>
      </c>
      <c r="K99" s="57" t="s">
        <v>2507</v>
      </c>
    </row>
    <row r="100" spans="1:11">
      <c r="A100" s="40" t="s">
        <v>1302</v>
      </c>
      <c r="B100" s="40" t="s">
        <v>36</v>
      </c>
      <c r="C100" s="40" t="s">
        <v>1226</v>
      </c>
      <c r="D100" s="40" t="s">
        <v>1193</v>
      </c>
      <c r="E100" s="41">
        <v>90</v>
      </c>
      <c r="F100" s="41">
        <v>90</v>
      </c>
      <c r="G100" s="40" t="s">
        <v>1204</v>
      </c>
      <c r="H100" s="40" t="s">
        <v>1303</v>
      </c>
      <c r="I100" s="40" t="s">
        <v>87</v>
      </c>
      <c r="J100" s="40" t="str">
        <f>IF(OR(E100&lt;=0,F100&lt;=0),"ERROR - NONPOSITIVE",IF(OR(E100&lt;&gt;ROUNDDOWN(E100,0),F100&lt;&gt;ROUNDDOWN(F100,0)),"ERROR - WHOLE MM ONLY",IF(OR(E100&lt;'01-Process Controls'!$G$8,F100&lt;'01-Process Controls'!$G$8),"ERROR - BELOW MIN",IF(OR(AND(E100&lt;='01-Process Controls'!$D$8-2*'01-Process Controls'!$H$8,F100&lt;='01-Process Controls'!$E$8-2*'01-Process Controls'!$H$8),AND(E100&lt;='01-Process Controls'!$E$8-2*'01-Process Controls'!$H$8,F100&lt;='01-Process Controls'!$D$8-2*'01-Process Controls'!$H$8)),"VALID - SAFE",IF(OR(AND(E100&lt;='01-Process Controls'!$D$8,F100&lt;='01-Process Controls'!$E$8),AND(E100&lt;='01-Process Controls'!$E$8,F100&lt;='01-Process Controls'!$D$8)),"VALID - NOMINAL EDGE","ERROR - EXCEEDS BED")))))</f>
        <v>VALID - SAFE</v>
      </c>
      <c r="K100" s="57" t="s">
        <v>2507</v>
      </c>
    </row>
    <row r="101" spans="1:11">
      <c r="A101" s="40" t="s">
        <v>1304</v>
      </c>
      <c r="B101" s="40" t="s">
        <v>36</v>
      </c>
      <c r="C101" s="40" t="s">
        <v>1226</v>
      </c>
      <c r="D101" s="40" t="s">
        <v>1193</v>
      </c>
      <c r="E101" s="41">
        <v>100</v>
      </c>
      <c r="F101" s="41">
        <v>100</v>
      </c>
      <c r="G101" s="40" t="s">
        <v>1204</v>
      </c>
      <c r="H101" s="40" t="s">
        <v>1303</v>
      </c>
      <c r="I101" s="40" t="s">
        <v>87</v>
      </c>
      <c r="J101" s="40" t="str">
        <f>IF(OR(E101&lt;=0,F101&lt;=0),"ERROR - NONPOSITIVE",IF(OR(E101&lt;&gt;ROUNDDOWN(E101,0),F101&lt;&gt;ROUNDDOWN(F101,0)),"ERROR - WHOLE MM ONLY",IF(OR(E101&lt;'01-Process Controls'!$G$8,F101&lt;'01-Process Controls'!$G$8),"ERROR - BELOW MIN",IF(OR(AND(E101&lt;='01-Process Controls'!$D$8-2*'01-Process Controls'!$H$8,F101&lt;='01-Process Controls'!$E$8-2*'01-Process Controls'!$H$8),AND(E101&lt;='01-Process Controls'!$E$8-2*'01-Process Controls'!$H$8,F101&lt;='01-Process Controls'!$D$8-2*'01-Process Controls'!$H$8)),"VALID - SAFE",IF(OR(AND(E101&lt;='01-Process Controls'!$D$8,F101&lt;='01-Process Controls'!$E$8),AND(E101&lt;='01-Process Controls'!$E$8,F101&lt;='01-Process Controls'!$D$8)),"VALID - NOMINAL EDGE","ERROR - EXCEEDS BED")))))</f>
        <v>VALID - SAFE</v>
      </c>
      <c r="K101" s="57" t="s">
        <v>2507</v>
      </c>
    </row>
    <row r="102" spans="1:11">
      <c r="A102" s="40" t="s">
        <v>1305</v>
      </c>
      <c r="B102" s="40" t="s">
        <v>36</v>
      </c>
      <c r="C102" s="40" t="s">
        <v>1306</v>
      </c>
      <c r="D102" s="40" t="s">
        <v>1307</v>
      </c>
      <c r="E102" s="41">
        <v>75</v>
      </c>
      <c r="F102" s="41">
        <v>75</v>
      </c>
      <c r="G102" s="40" t="s">
        <v>1204</v>
      </c>
      <c r="H102" s="40" t="s">
        <v>1308</v>
      </c>
      <c r="I102" s="40" t="s">
        <v>87</v>
      </c>
      <c r="J102" s="40" t="str">
        <f>IF(OR(E102&lt;=0,F102&lt;=0),"ERROR - NONPOSITIVE",IF(OR(E102&lt;&gt;ROUNDDOWN(E102,0),F102&lt;&gt;ROUNDDOWN(F102,0)),"ERROR - WHOLE MM ONLY",IF(OR(E102&lt;'01-Process Controls'!$G$8,F102&lt;'01-Process Controls'!$G$8),"ERROR - BELOW MIN",IF(OR(AND(E102&lt;='01-Process Controls'!$D$8-2*'01-Process Controls'!$H$8,F102&lt;='01-Process Controls'!$E$8-2*'01-Process Controls'!$H$8),AND(E102&lt;='01-Process Controls'!$E$8-2*'01-Process Controls'!$H$8,F102&lt;='01-Process Controls'!$D$8-2*'01-Process Controls'!$H$8)),"VALID - SAFE",IF(OR(AND(E102&lt;='01-Process Controls'!$D$8,F102&lt;='01-Process Controls'!$E$8),AND(E102&lt;='01-Process Controls'!$E$8,F102&lt;='01-Process Controls'!$D$8)),"VALID - NOMINAL EDGE","ERROR - EXCEEDS BED")))))</f>
        <v>VALID - SAFE</v>
      </c>
      <c r="K102" s="57" t="s">
        <v>2507</v>
      </c>
    </row>
    <row r="103" spans="1:11">
      <c r="A103" s="40" t="s">
        <v>1309</v>
      </c>
      <c r="B103" s="40" t="s">
        <v>36</v>
      </c>
      <c r="C103" s="40" t="s">
        <v>1306</v>
      </c>
      <c r="D103" s="40" t="s">
        <v>1307</v>
      </c>
      <c r="E103" s="41">
        <v>110</v>
      </c>
      <c r="F103" s="41">
        <v>110</v>
      </c>
      <c r="G103" s="40" t="s">
        <v>1204</v>
      </c>
      <c r="H103" s="40" t="s">
        <v>1308</v>
      </c>
      <c r="I103" s="40" t="s">
        <v>87</v>
      </c>
      <c r="J103" s="40" t="str">
        <f>IF(OR(E103&lt;=0,F103&lt;=0),"ERROR - NONPOSITIVE",IF(OR(E103&lt;&gt;ROUNDDOWN(E103,0),F103&lt;&gt;ROUNDDOWN(F103,0)),"ERROR - WHOLE MM ONLY",IF(OR(E103&lt;'01-Process Controls'!$G$8,F103&lt;'01-Process Controls'!$G$8),"ERROR - BELOW MIN",IF(OR(AND(E103&lt;='01-Process Controls'!$D$8-2*'01-Process Controls'!$H$8,F103&lt;='01-Process Controls'!$E$8-2*'01-Process Controls'!$H$8),AND(E103&lt;='01-Process Controls'!$E$8-2*'01-Process Controls'!$H$8,F103&lt;='01-Process Controls'!$D$8-2*'01-Process Controls'!$H$8)),"VALID - SAFE",IF(OR(AND(E103&lt;='01-Process Controls'!$D$8,F103&lt;='01-Process Controls'!$E$8),AND(E103&lt;='01-Process Controls'!$E$8,F103&lt;='01-Process Controls'!$D$8)),"VALID - NOMINAL EDGE","ERROR - EXCEEDS BED")))))</f>
        <v>VALID - SAFE</v>
      </c>
      <c r="K103" s="57" t="s">
        <v>2507</v>
      </c>
    </row>
    <row r="104" spans="1:11">
      <c r="A104" s="40" t="s">
        <v>1310</v>
      </c>
      <c r="B104" s="40" t="s">
        <v>36</v>
      </c>
      <c r="C104" s="40" t="s">
        <v>1215</v>
      </c>
      <c r="D104" s="40" t="s">
        <v>1186</v>
      </c>
      <c r="E104" s="41">
        <v>200</v>
      </c>
      <c r="F104" s="41">
        <v>80</v>
      </c>
      <c r="G104" s="40" t="s">
        <v>1192</v>
      </c>
      <c r="H104" s="40" t="s">
        <v>1285</v>
      </c>
      <c r="I104" s="40" t="s">
        <v>87</v>
      </c>
      <c r="J104" s="40" t="str">
        <f>IF(OR(E104&lt;=0,F104&lt;=0),"ERROR - NONPOSITIVE",IF(OR(E104&lt;&gt;ROUNDDOWN(E104,0),F104&lt;&gt;ROUNDDOWN(F104,0)),"ERROR - WHOLE MM ONLY",IF(OR(E104&lt;'01-Process Controls'!$G$8,F104&lt;'01-Process Controls'!$G$8),"ERROR - BELOW MIN",IF(OR(AND(E104&lt;='01-Process Controls'!$D$8-2*'01-Process Controls'!$H$8,F104&lt;='01-Process Controls'!$E$8-2*'01-Process Controls'!$H$8),AND(E104&lt;='01-Process Controls'!$E$8-2*'01-Process Controls'!$H$8,F104&lt;='01-Process Controls'!$D$8-2*'01-Process Controls'!$H$8)),"VALID - SAFE",IF(OR(AND(E104&lt;='01-Process Controls'!$D$8,F104&lt;='01-Process Controls'!$E$8),AND(E104&lt;='01-Process Controls'!$E$8,F104&lt;='01-Process Controls'!$D$8)),"VALID - NOMINAL EDGE","ERROR - EXCEEDS BED")))))</f>
        <v>VALID - SAFE</v>
      </c>
      <c r="K104" s="57" t="s">
        <v>2507</v>
      </c>
    </row>
    <row r="105" spans="1:11">
      <c r="A105" s="40" t="s">
        <v>1311</v>
      </c>
      <c r="B105" s="40" t="s">
        <v>36</v>
      </c>
      <c r="C105" s="40" t="s">
        <v>1215</v>
      </c>
      <c r="D105" s="40" t="s">
        <v>1186</v>
      </c>
      <c r="E105" s="41">
        <v>300</v>
      </c>
      <c r="F105" s="41">
        <v>100</v>
      </c>
      <c r="G105" s="40" t="s">
        <v>1192</v>
      </c>
      <c r="H105" s="40" t="s">
        <v>1285</v>
      </c>
      <c r="I105" s="40" t="s">
        <v>87</v>
      </c>
      <c r="J105" s="40" t="str">
        <f>IF(OR(E105&lt;=0,F105&lt;=0),"ERROR - NONPOSITIVE",IF(OR(E105&lt;&gt;ROUNDDOWN(E105,0),F105&lt;&gt;ROUNDDOWN(F105,0)),"ERROR - WHOLE MM ONLY",IF(OR(E105&lt;'01-Process Controls'!$G$8,F105&lt;'01-Process Controls'!$G$8),"ERROR - BELOW MIN",IF(OR(AND(E105&lt;='01-Process Controls'!$D$8-2*'01-Process Controls'!$H$8,F105&lt;='01-Process Controls'!$E$8-2*'01-Process Controls'!$H$8),AND(E105&lt;='01-Process Controls'!$E$8-2*'01-Process Controls'!$H$8,F105&lt;='01-Process Controls'!$D$8-2*'01-Process Controls'!$H$8)),"VALID - SAFE",IF(OR(AND(E105&lt;='01-Process Controls'!$D$8,F105&lt;='01-Process Controls'!$E$8),AND(E105&lt;='01-Process Controls'!$E$8,F105&lt;='01-Process Controls'!$D$8)),"VALID - NOMINAL EDGE","ERROR - EXCEEDS BED")))))</f>
        <v>VALID - SAFE</v>
      </c>
      <c r="K105" s="57" t="s">
        <v>2507</v>
      </c>
    </row>
    <row r="106" spans="1:11">
      <c r="A106" s="40" t="s">
        <v>1312</v>
      </c>
      <c r="B106" s="40" t="s">
        <v>36</v>
      </c>
      <c r="C106" s="40" t="s">
        <v>1313</v>
      </c>
      <c r="D106" s="40" t="s">
        <v>1186</v>
      </c>
      <c r="E106" s="41">
        <v>400</v>
      </c>
      <c r="F106" s="41">
        <v>200</v>
      </c>
      <c r="G106" s="40" t="s">
        <v>1192</v>
      </c>
      <c r="H106" s="40" t="s">
        <v>1285</v>
      </c>
      <c r="I106" s="40" t="s">
        <v>87</v>
      </c>
      <c r="J106" s="40" t="str">
        <f>IF(OR(E106&lt;=0,F106&lt;=0),"ERROR - NONPOSITIVE",IF(OR(E106&lt;&gt;ROUNDDOWN(E106,0),F106&lt;&gt;ROUNDDOWN(F106,0)),"ERROR - WHOLE MM ONLY",IF(OR(E106&lt;'01-Process Controls'!$G$8,F106&lt;'01-Process Controls'!$G$8),"ERROR - BELOW MIN",IF(OR(AND(E106&lt;='01-Process Controls'!$D$8-2*'01-Process Controls'!$H$8,F106&lt;='01-Process Controls'!$E$8-2*'01-Process Controls'!$H$8),AND(E106&lt;='01-Process Controls'!$E$8-2*'01-Process Controls'!$H$8,F106&lt;='01-Process Controls'!$D$8-2*'01-Process Controls'!$H$8)),"VALID - SAFE",IF(OR(AND(E106&lt;='01-Process Controls'!$D$8,F106&lt;='01-Process Controls'!$E$8),AND(E106&lt;='01-Process Controls'!$E$8,F106&lt;='01-Process Controls'!$D$8)),"VALID - NOMINAL EDGE","ERROR - EXCEEDS BED")))))</f>
        <v>VALID - SAFE</v>
      </c>
      <c r="K106" s="57" t="s">
        <v>2507</v>
      </c>
    </row>
    <row r="107" spans="1:11">
      <c r="A107" s="40" t="s">
        <v>1314</v>
      </c>
      <c r="B107" s="40" t="s">
        <v>36</v>
      </c>
      <c r="C107" s="40" t="s">
        <v>1313</v>
      </c>
      <c r="D107" s="40" t="s">
        <v>1186</v>
      </c>
      <c r="E107" s="41">
        <v>600</v>
      </c>
      <c r="F107" s="41">
        <v>200</v>
      </c>
      <c r="G107" s="40" t="s">
        <v>1192</v>
      </c>
      <c r="H107" s="40" t="s">
        <v>1285</v>
      </c>
      <c r="I107" s="40" t="s">
        <v>87</v>
      </c>
      <c r="J107" s="40" t="str">
        <f>IF(OR(E107&lt;=0,F107&lt;=0),"ERROR - NONPOSITIVE",IF(OR(E107&lt;&gt;ROUNDDOWN(E107,0),F107&lt;&gt;ROUNDDOWN(F107,0)),"ERROR - WHOLE MM ONLY",IF(OR(E107&lt;'01-Process Controls'!$G$8,F107&lt;'01-Process Controls'!$G$8),"ERROR - BELOW MIN",IF(OR(AND(E107&lt;='01-Process Controls'!$D$8-2*'01-Process Controls'!$H$8,F107&lt;='01-Process Controls'!$E$8-2*'01-Process Controls'!$H$8),AND(E107&lt;='01-Process Controls'!$E$8-2*'01-Process Controls'!$H$8,F107&lt;='01-Process Controls'!$D$8-2*'01-Process Controls'!$H$8)),"VALID - SAFE",IF(OR(AND(E107&lt;='01-Process Controls'!$D$8,F107&lt;='01-Process Controls'!$E$8),AND(E107&lt;='01-Process Controls'!$E$8,F107&lt;='01-Process Controls'!$D$8)),"VALID - NOMINAL EDGE","ERROR - EXCEEDS BED")))))</f>
        <v>VALID - SAFE</v>
      </c>
      <c r="K107" s="57" t="s">
        <v>2507</v>
      </c>
    </row>
    <row r="108" spans="1:11">
      <c r="A108" s="40" t="s">
        <v>1315</v>
      </c>
      <c r="B108" s="40" t="s">
        <v>36</v>
      </c>
      <c r="C108" s="40" t="s">
        <v>1316</v>
      </c>
      <c r="D108" s="40" t="s">
        <v>1317</v>
      </c>
      <c r="E108" s="41">
        <v>180</v>
      </c>
      <c r="F108" s="41">
        <v>180</v>
      </c>
      <c r="G108" s="40" t="s">
        <v>1192</v>
      </c>
      <c r="H108" s="40" t="s">
        <v>1318</v>
      </c>
      <c r="I108" s="40" t="s">
        <v>87</v>
      </c>
      <c r="J108" s="40" t="str">
        <f>IF(OR(E108&lt;=0,F108&lt;=0),"ERROR - NONPOSITIVE",IF(OR(E108&lt;&gt;ROUNDDOWN(E108,0),F108&lt;&gt;ROUNDDOWN(F108,0)),"ERROR - WHOLE MM ONLY",IF(OR(E108&lt;'01-Process Controls'!$G$8,F108&lt;'01-Process Controls'!$G$8),"ERROR - BELOW MIN",IF(OR(AND(E108&lt;='01-Process Controls'!$D$8-2*'01-Process Controls'!$H$8,F108&lt;='01-Process Controls'!$E$8-2*'01-Process Controls'!$H$8),AND(E108&lt;='01-Process Controls'!$E$8-2*'01-Process Controls'!$H$8,F108&lt;='01-Process Controls'!$D$8-2*'01-Process Controls'!$H$8)),"VALID - SAFE",IF(OR(AND(E108&lt;='01-Process Controls'!$D$8,F108&lt;='01-Process Controls'!$E$8),AND(E108&lt;='01-Process Controls'!$E$8,F108&lt;='01-Process Controls'!$D$8)),"VALID - NOMINAL EDGE","ERROR - EXCEEDS BED")))))</f>
        <v>VALID - SAFE</v>
      </c>
      <c r="K108" s="57" t="s">
        <v>2507</v>
      </c>
    </row>
    <row r="109" spans="1:11">
      <c r="A109" s="40" t="s">
        <v>1319</v>
      </c>
      <c r="B109" s="40" t="s">
        <v>36</v>
      </c>
      <c r="C109" s="40" t="s">
        <v>1316</v>
      </c>
      <c r="D109" s="40" t="s">
        <v>1317</v>
      </c>
      <c r="E109" s="41">
        <v>220</v>
      </c>
      <c r="F109" s="41">
        <v>220</v>
      </c>
      <c r="G109" s="40" t="s">
        <v>1192</v>
      </c>
      <c r="H109" s="40" t="s">
        <v>1318</v>
      </c>
      <c r="I109" s="40" t="s">
        <v>87</v>
      </c>
      <c r="J109" s="40" t="str">
        <f>IF(OR(E109&lt;=0,F109&lt;=0),"ERROR - NONPOSITIVE",IF(OR(E109&lt;&gt;ROUNDDOWN(E109,0),F109&lt;&gt;ROUNDDOWN(F109,0)),"ERROR - WHOLE MM ONLY",IF(OR(E109&lt;'01-Process Controls'!$G$8,F109&lt;'01-Process Controls'!$G$8),"ERROR - BELOW MIN",IF(OR(AND(E109&lt;='01-Process Controls'!$D$8-2*'01-Process Controls'!$H$8,F109&lt;='01-Process Controls'!$E$8-2*'01-Process Controls'!$H$8),AND(E109&lt;='01-Process Controls'!$E$8-2*'01-Process Controls'!$H$8,F109&lt;='01-Process Controls'!$D$8-2*'01-Process Controls'!$H$8)),"VALID - SAFE",IF(OR(AND(E109&lt;='01-Process Controls'!$D$8,F109&lt;='01-Process Controls'!$E$8),AND(E109&lt;='01-Process Controls'!$E$8,F109&lt;='01-Process Controls'!$D$8)),"VALID - NOMINAL EDGE","ERROR - EXCEEDS BED")))))</f>
        <v>VALID - SAFE</v>
      </c>
      <c r="K109" s="57" t="s">
        <v>2507</v>
      </c>
    </row>
    <row r="110" spans="1:11">
      <c r="A110" s="40" t="s">
        <v>1320</v>
      </c>
      <c r="B110" s="40" t="s">
        <v>36</v>
      </c>
      <c r="C110" s="40" t="s">
        <v>1321</v>
      </c>
      <c r="D110" s="40" t="s">
        <v>1186</v>
      </c>
      <c r="E110" s="41">
        <v>50</v>
      </c>
      <c r="F110" s="41">
        <v>30</v>
      </c>
      <c r="G110" s="40" t="s">
        <v>1204</v>
      </c>
      <c r="H110" s="40" t="s">
        <v>1322</v>
      </c>
      <c r="I110" s="40" t="s">
        <v>87</v>
      </c>
      <c r="J110" s="40" t="str">
        <f>IF(OR(E110&lt;=0,F110&lt;=0),"ERROR - NONPOSITIVE",IF(OR(E110&lt;&gt;ROUNDDOWN(E110,0),F110&lt;&gt;ROUNDDOWN(F110,0)),"ERROR - WHOLE MM ONLY",IF(OR(E110&lt;'01-Process Controls'!$G$8,F110&lt;'01-Process Controls'!$G$8),"ERROR - BELOW MIN",IF(OR(AND(E110&lt;='01-Process Controls'!$D$8-2*'01-Process Controls'!$H$8,F110&lt;='01-Process Controls'!$E$8-2*'01-Process Controls'!$H$8),AND(E110&lt;='01-Process Controls'!$E$8-2*'01-Process Controls'!$H$8,F110&lt;='01-Process Controls'!$D$8-2*'01-Process Controls'!$H$8)),"VALID - SAFE",IF(OR(AND(E110&lt;='01-Process Controls'!$D$8,F110&lt;='01-Process Controls'!$E$8),AND(E110&lt;='01-Process Controls'!$E$8,F110&lt;='01-Process Controls'!$D$8)),"VALID - NOMINAL EDGE","ERROR - EXCEEDS BED")))))</f>
        <v>VALID - SAFE</v>
      </c>
      <c r="K110" s="57" t="s">
        <v>2507</v>
      </c>
    </row>
    <row r="111" spans="1:11">
      <c r="A111" s="40" t="s">
        <v>1323</v>
      </c>
      <c r="B111" s="40" t="s">
        <v>36</v>
      </c>
      <c r="C111" s="40" t="s">
        <v>1324</v>
      </c>
      <c r="D111" s="40" t="s">
        <v>1183</v>
      </c>
      <c r="E111" s="41">
        <v>40</v>
      </c>
      <c r="F111" s="41">
        <v>150</v>
      </c>
      <c r="G111" s="40" t="s">
        <v>1204</v>
      </c>
      <c r="H111" s="40" t="s">
        <v>1325</v>
      </c>
      <c r="I111" s="40" t="s">
        <v>87</v>
      </c>
      <c r="J111" s="40" t="str">
        <f>IF(OR(E111&lt;=0,F111&lt;=0),"ERROR - NONPOSITIVE",IF(OR(E111&lt;&gt;ROUNDDOWN(E111,0),F111&lt;&gt;ROUNDDOWN(F111,0)),"ERROR - WHOLE MM ONLY",IF(OR(E111&lt;'01-Process Controls'!$G$8,F111&lt;'01-Process Controls'!$G$8),"ERROR - BELOW MIN",IF(OR(AND(E111&lt;='01-Process Controls'!$D$8-2*'01-Process Controls'!$H$8,F111&lt;='01-Process Controls'!$E$8-2*'01-Process Controls'!$H$8),AND(E111&lt;='01-Process Controls'!$E$8-2*'01-Process Controls'!$H$8,F111&lt;='01-Process Controls'!$D$8-2*'01-Process Controls'!$H$8)),"VALID - SAFE",IF(OR(AND(E111&lt;='01-Process Controls'!$D$8,F111&lt;='01-Process Controls'!$E$8),AND(E111&lt;='01-Process Controls'!$E$8,F111&lt;='01-Process Controls'!$D$8)),"VALID - NOMINAL EDGE","ERROR - EXCEEDS BED")))))</f>
        <v>VALID - SAFE</v>
      </c>
      <c r="K111" s="57" t="s">
        <v>2507</v>
      </c>
    </row>
    <row r="112" spans="1:11">
      <c r="A112" s="40" t="s">
        <v>1326</v>
      </c>
      <c r="B112" s="40" t="s">
        <v>36</v>
      </c>
      <c r="C112" s="40" t="s">
        <v>1249</v>
      </c>
      <c r="D112" s="40" t="s">
        <v>1186</v>
      </c>
      <c r="E112" s="41">
        <v>1200</v>
      </c>
      <c r="F112" s="41">
        <v>100</v>
      </c>
      <c r="G112" s="40" t="s">
        <v>1192</v>
      </c>
      <c r="H112" s="40" t="s">
        <v>1327</v>
      </c>
      <c r="I112" s="40" t="s">
        <v>87</v>
      </c>
      <c r="J112" s="40" t="str">
        <f>IF(OR(E112&lt;=0,F112&lt;=0),"ERROR - NONPOSITIVE",IF(OR(E112&lt;&gt;ROUNDDOWN(E112,0),F112&lt;&gt;ROUNDDOWN(F112,0)),"ERROR - WHOLE MM ONLY",IF(OR(E112&lt;'01-Process Controls'!$G$8,F112&lt;'01-Process Controls'!$G$8),"ERROR - BELOW MIN",IF(OR(AND(E112&lt;='01-Process Controls'!$D$8-2*'01-Process Controls'!$H$8,F112&lt;='01-Process Controls'!$E$8-2*'01-Process Controls'!$H$8),AND(E112&lt;='01-Process Controls'!$E$8-2*'01-Process Controls'!$H$8,F112&lt;='01-Process Controls'!$D$8-2*'01-Process Controls'!$H$8)),"VALID - SAFE",IF(OR(AND(E112&lt;='01-Process Controls'!$D$8,F112&lt;='01-Process Controls'!$E$8),AND(E112&lt;='01-Process Controls'!$E$8,F112&lt;='01-Process Controls'!$D$8)),"VALID - NOMINAL EDGE","ERROR - EXCEEDS BED")))))</f>
        <v>VALID - SAFE</v>
      </c>
      <c r="K112" s="57" t="s">
        <v>2507</v>
      </c>
    </row>
    <row r="113" spans="1:11">
      <c r="A113" s="55" t="s">
        <v>41</v>
      </c>
      <c r="B113" s="55" t="s">
        <v>41</v>
      </c>
      <c r="C113" s="55" t="s">
        <v>1399</v>
      </c>
      <c r="D113" s="55" t="s">
        <v>1400</v>
      </c>
      <c r="E113" s="58">
        <f>ROUNDDOWN('01-Process Controls'!$D$9,0)</f>
        <v>1600</v>
      </c>
      <c r="F113" s="58">
        <f>ROUNDDOWN('01-Process Controls'!$F$9,0)</f>
        <v>1000</v>
      </c>
      <c r="G113" s="55" t="s">
        <v>1171</v>
      </c>
      <c r="H113" s="55" t="s">
        <v>1401</v>
      </c>
      <c r="I113" s="56" t="s">
        <v>46</v>
      </c>
      <c r="J113" s="55" t="str">
        <f>IF(OR(E113&lt;=0,F113&lt;=0),"ERROR - NONPOSITIVE",IF(OR(E113&lt;'01-Process Controls'!$G$9,F113&lt;'01-Process Controls'!$G$9),"ERROR - BELOW MIN",IF(E113&lt;='01-Process Controls'!$D$9-2*'01-Process Controls'!$H$9,"VALID - SAFE",IF(E113&lt;='01-Process Controls'!$D$9,"VALID - NOMINAL EDGE","ERROR - EXCEEDS ROLL WIDTH"))))</f>
        <v>VALID - NOMINAL EDGE</v>
      </c>
      <c r="K113" s="55" t="s">
        <v>2507</v>
      </c>
    </row>
    <row r="114" spans="1:11">
      <c r="A114" s="55" t="s">
        <v>1402</v>
      </c>
      <c r="B114" s="55" t="s">
        <v>41</v>
      </c>
      <c r="C114" s="55" t="s">
        <v>1403</v>
      </c>
      <c r="D114" s="55" t="s">
        <v>1400</v>
      </c>
      <c r="E114" s="58">
        <f>ROUNDDOWN(MAX(1,'01-Process Controls'!$D$9-2*'01-Process Controls'!$H$9),0)</f>
        <v>1580</v>
      </c>
      <c r="F114" s="58">
        <f>ROUNDDOWN(MAX(1,'01-Process Controls'!$F$9-2*'01-Process Controls'!$H$9),0)</f>
        <v>980</v>
      </c>
      <c r="G114" s="55" t="s">
        <v>1171</v>
      </c>
      <c r="H114" s="55" t="s">
        <v>1404</v>
      </c>
      <c r="I114" s="55" t="s">
        <v>87</v>
      </c>
      <c r="J114" s="55" t="str">
        <f>IF(OR(E114&lt;=0,F114&lt;=0),"ERROR - NONPOSITIVE",IF(OR(E114&lt;'01-Process Controls'!$G$9,F114&lt;'01-Process Controls'!$G$9),"ERROR - BELOW MIN",IF(E114&lt;='01-Process Controls'!$D$9-2*'01-Process Controls'!$H$9,"VALID - SAFE",IF(E114&lt;='01-Process Controls'!$D$9,"VALID - NOMINAL EDGE","ERROR - EXCEEDS ROLL WIDTH"))))</f>
        <v>VALID - SAFE</v>
      </c>
      <c r="K114" s="55" t="s">
        <v>2507</v>
      </c>
    </row>
    <row r="115" spans="1:11">
      <c r="A115" s="40" t="s">
        <v>1405</v>
      </c>
      <c r="B115" s="40" t="s">
        <v>41</v>
      </c>
      <c r="C115" s="40" t="s">
        <v>1406</v>
      </c>
      <c r="D115" s="40" t="s">
        <v>1183</v>
      </c>
      <c r="E115" s="41">
        <v>600</v>
      </c>
      <c r="F115" s="41">
        <v>900</v>
      </c>
      <c r="G115" s="40" t="s">
        <v>1192</v>
      </c>
      <c r="H115" s="40" t="s">
        <v>1407</v>
      </c>
      <c r="I115" s="40" t="s">
        <v>87</v>
      </c>
      <c r="J115" s="40" t="str">
        <f>IF(OR(E115&lt;=0,F115&lt;=0),"ERROR - NONPOSITIVE",IF(OR(E115&lt;'01-Process Controls'!$G$9,F115&lt;'01-Process Controls'!$G$9),"ERROR - BELOW MIN",IF(E115&lt;='01-Process Controls'!$D$9-2*'01-Process Controls'!$H$9,"VALID - SAFE",IF(E115&lt;='01-Process Controls'!$D$9,"VALID - NOMINAL EDGE","ERROR - EXCEEDS ROLL WIDTH"))))</f>
        <v>VALID - SAFE</v>
      </c>
      <c r="K115" s="57" t="s">
        <v>2507</v>
      </c>
    </row>
    <row r="116" spans="1:11">
      <c r="A116" s="40" t="s">
        <v>1408</v>
      </c>
      <c r="B116" s="40" t="s">
        <v>41</v>
      </c>
      <c r="C116" s="40" t="s">
        <v>1409</v>
      </c>
      <c r="D116" s="40" t="s">
        <v>1183</v>
      </c>
      <c r="E116" s="41">
        <v>600</v>
      </c>
      <c r="F116" s="41">
        <v>1200</v>
      </c>
      <c r="G116" s="40" t="s">
        <v>1192</v>
      </c>
      <c r="H116" s="40" t="s">
        <v>1410</v>
      </c>
      <c r="I116" s="40" t="s">
        <v>87</v>
      </c>
      <c r="J116" s="40" t="str">
        <f>IF(OR(E116&lt;=0,F116&lt;=0),"ERROR - NONPOSITIVE",IF(OR(E116&lt;'01-Process Controls'!$G$9,F116&lt;'01-Process Controls'!$G$9),"ERROR - BELOW MIN",IF(E116&lt;='01-Process Controls'!$D$9-2*'01-Process Controls'!$H$9,"VALID - SAFE",IF(E116&lt;='01-Process Controls'!$D$9,"VALID - NOMINAL EDGE","ERROR - EXCEEDS ROLL WIDTH"))))</f>
        <v>VALID - SAFE</v>
      </c>
      <c r="K116" s="57" t="s">
        <v>2507</v>
      </c>
    </row>
    <row r="117" spans="1:11">
      <c r="A117" s="40" t="s">
        <v>1411</v>
      </c>
      <c r="B117" s="40" t="s">
        <v>41</v>
      </c>
      <c r="C117" s="40" t="s">
        <v>1412</v>
      </c>
      <c r="D117" s="40" t="s">
        <v>1183</v>
      </c>
      <c r="E117" s="41">
        <v>600</v>
      </c>
      <c r="F117" s="41">
        <v>1800</v>
      </c>
      <c r="G117" s="40" t="s">
        <v>1192</v>
      </c>
      <c r="H117" s="40" t="s">
        <v>1413</v>
      </c>
      <c r="I117" s="40" t="s">
        <v>87</v>
      </c>
      <c r="J117" s="40" t="str">
        <f>IF(OR(E117&lt;=0,F117&lt;=0),"ERROR - NONPOSITIVE",IF(OR(E117&lt;'01-Process Controls'!$G$9,F117&lt;'01-Process Controls'!$G$9),"ERROR - BELOW MIN",IF(E117&lt;='01-Process Controls'!$D$9-2*'01-Process Controls'!$H$9,"VALID - SAFE",IF(E117&lt;='01-Process Controls'!$D$9,"VALID - NOMINAL EDGE","ERROR - EXCEEDS ROLL WIDTH"))))</f>
        <v>VALID - SAFE</v>
      </c>
      <c r="K117" s="57" t="s">
        <v>2507</v>
      </c>
    </row>
    <row r="118" spans="1:11">
      <c r="A118" s="40" t="s">
        <v>1414</v>
      </c>
      <c r="B118" s="40" t="s">
        <v>41</v>
      </c>
      <c r="C118" s="40" t="s">
        <v>1415</v>
      </c>
      <c r="D118" s="40" t="s">
        <v>1183</v>
      </c>
      <c r="E118" s="41">
        <v>800</v>
      </c>
      <c r="F118" s="41">
        <v>1200</v>
      </c>
      <c r="G118" s="40" t="s">
        <v>1192</v>
      </c>
      <c r="H118" s="40" t="s">
        <v>1416</v>
      </c>
      <c r="I118" s="40" t="s">
        <v>87</v>
      </c>
      <c r="J118" s="40" t="str">
        <f>IF(OR(E118&lt;=0,F118&lt;=0),"ERROR - NONPOSITIVE",IF(OR(E118&lt;'01-Process Controls'!$G$9,F118&lt;'01-Process Controls'!$G$9),"ERROR - BELOW MIN",IF(E118&lt;='01-Process Controls'!$D$9-2*'01-Process Controls'!$H$9,"VALID - SAFE",IF(E118&lt;='01-Process Controls'!$D$9,"VALID - NOMINAL EDGE","ERROR - EXCEEDS ROLL WIDTH"))))</f>
        <v>VALID - SAFE</v>
      </c>
      <c r="K118" s="57" t="s">
        <v>2507</v>
      </c>
    </row>
    <row r="119" spans="1:11">
      <c r="A119" s="40" t="s">
        <v>1417</v>
      </c>
      <c r="B119" s="40" t="s">
        <v>41</v>
      </c>
      <c r="C119" s="40" t="s">
        <v>1415</v>
      </c>
      <c r="D119" s="40" t="s">
        <v>1183</v>
      </c>
      <c r="E119" s="41">
        <v>800</v>
      </c>
      <c r="F119" s="41">
        <v>1800</v>
      </c>
      <c r="G119" s="40" t="s">
        <v>1192</v>
      </c>
      <c r="H119" s="40" t="s">
        <v>1416</v>
      </c>
      <c r="I119" s="40" t="s">
        <v>87</v>
      </c>
      <c r="J119" s="40" t="str">
        <f>IF(OR(E119&lt;=0,F119&lt;=0),"ERROR - NONPOSITIVE",IF(OR(E119&lt;'01-Process Controls'!$G$9,F119&lt;'01-Process Controls'!$G$9),"ERROR - BELOW MIN",IF(E119&lt;='01-Process Controls'!$D$9-2*'01-Process Controls'!$H$9,"VALID - SAFE",IF(E119&lt;='01-Process Controls'!$D$9,"VALID - NOMINAL EDGE","ERROR - EXCEEDS ROLL WIDTH"))))</f>
        <v>VALID - SAFE</v>
      </c>
      <c r="K119" s="57" t="s">
        <v>2507</v>
      </c>
    </row>
    <row r="120" spans="1:11">
      <c r="A120" s="40" t="s">
        <v>1418</v>
      </c>
      <c r="B120" s="40" t="s">
        <v>41</v>
      </c>
      <c r="C120" s="40" t="s">
        <v>1415</v>
      </c>
      <c r="D120" s="40" t="s">
        <v>1183</v>
      </c>
      <c r="E120" s="41">
        <v>800</v>
      </c>
      <c r="F120" s="41">
        <v>2000</v>
      </c>
      <c r="G120" s="40" t="s">
        <v>1192</v>
      </c>
      <c r="H120" s="40" t="s">
        <v>1416</v>
      </c>
      <c r="I120" s="40" t="s">
        <v>87</v>
      </c>
      <c r="J120" s="40" t="str">
        <f>IF(OR(E120&lt;=0,F120&lt;=0),"ERROR - NONPOSITIVE",IF(OR(E120&lt;'01-Process Controls'!$G$9,F120&lt;'01-Process Controls'!$G$9),"ERROR - BELOW MIN",IF(E120&lt;='01-Process Controls'!$D$9-2*'01-Process Controls'!$H$9,"VALID - SAFE",IF(E120&lt;='01-Process Controls'!$D$9,"VALID - NOMINAL EDGE","ERROR - EXCEEDS ROLL WIDTH"))))</f>
        <v>VALID - SAFE</v>
      </c>
      <c r="K120" s="57" t="s">
        <v>2507</v>
      </c>
    </row>
    <row r="121" spans="1:11">
      <c r="A121" s="40" t="s">
        <v>1419</v>
      </c>
      <c r="B121" s="40" t="s">
        <v>41</v>
      </c>
      <c r="C121" s="40" t="s">
        <v>1420</v>
      </c>
      <c r="D121" s="40" t="s">
        <v>1193</v>
      </c>
      <c r="E121" s="41">
        <v>1000</v>
      </c>
      <c r="F121" s="41">
        <v>1000</v>
      </c>
      <c r="G121" s="40" t="s">
        <v>1192</v>
      </c>
      <c r="H121" s="40" t="s">
        <v>1416</v>
      </c>
      <c r="I121" s="40" t="s">
        <v>87</v>
      </c>
      <c r="J121" s="40" t="str">
        <f>IF(OR(E121&lt;=0,F121&lt;=0),"ERROR - NONPOSITIVE",IF(OR(E121&lt;'01-Process Controls'!$G$9,F121&lt;'01-Process Controls'!$G$9),"ERROR - BELOW MIN",IF(E121&lt;='01-Process Controls'!$D$9-2*'01-Process Controls'!$H$9,"VALID - SAFE",IF(E121&lt;='01-Process Controls'!$D$9,"VALID - NOMINAL EDGE","ERROR - EXCEEDS ROLL WIDTH"))))</f>
        <v>VALID - SAFE</v>
      </c>
      <c r="K121" s="57" t="s">
        <v>2507</v>
      </c>
    </row>
    <row r="122" spans="1:11">
      <c r="A122" s="40" t="s">
        <v>1421</v>
      </c>
      <c r="B122" s="40" t="s">
        <v>41</v>
      </c>
      <c r="C122" s="40" t="s">
        <v>1415</v>
      </c>
      <c r="D122" s="40" t="s">
        <v>1183</v>
      </c>
      <c r="E122" s="41">
        <v>1000</v>
      </c>
      <c r="F122" s="41">
        <v>1500</v>
      </c>
      <c r="G122" s="40" t="s">
        <v>1192</v>
      </c>
      <c r="H122" s="40" t="s">
        <v>1416</v>
      </c>
      <c r="I122" s="40" t="s">
        <v>87</v>
      </c>
      <c r="J122" s="40" t="str">
        <f>IF(OR(E122&lt;=0,F122&lt;=0),"ERROR - NONPOSITIVE",IF(OR(E122&lt;'01-Process Controls'!$G$9,F122&lt;'01-Process Controls'!$G$9),"ERROR - BELOW MIN",IF(E122&lt;='01-Process Controls'!$D$9-2*'01-Process Controls'!$H$9,"VALID - SAFE",IF(E122&lt;='01-Process Controls'!$D$9,"VALID - NOMINAL EDGE","ERROR - EXCEEDS ROLL WIDTH"))))</f>
        <v>VALID - SAFE</v>
      </c>
      <c r="K122" s="57" t="s">
        <v>2507</v>
      </c>
    </row>
    <row r="123" spans="1:11">
      <c r="A123" s="40" t="s">
        <v>1422</v>
      </c>
      <c r="B123" s="40" t="s">
        <v>41</v>
      </c>
      <c r="C123" s="40" t="s">
        <v>1415</v>
      </c>
      <c r="D123" s="40" t="s">
        <v>1183</v>
      </c>
      <c r="E123" s="41">
        <v>1000</v>
      </c>
      <c r="F123" s="41">
        <v>2000</v>
      </c>
      <c r="G123" s="40" t="s">
        <v>1192</v>
      </c>
      <c r="H123" s="40" t="s">
        <v>1416</v>
      </c>
      <c r="I123" s="40" t="s">
        <v>87</v>
      </c>
      <c r="J123" s="40" t="str">
        <f>IF(OR(E123&lt;=0,F123&lt;=0),"ERROR - NONPOSITIVE",IF(OR(E123&lt;'01-Process Controls'!$G$9,F123&lt;'01-Process Controls'!$G$9),"ERROR - BELOW MIN",IF(E123&lt;='01-Process Controls'!$D$9-2*'01-Process Controls'!$H$9,"VALID - SAFE",IF(E123&lt;='01-Process Controls'!$D$9,"VALID - NOMINAL EDGE","ERROR - EXCEEDS ROLL WIDTH"))))</f>
        <v>VALID - SAFE</v>
      </c>
      <c r="K123" s="57" t="s">
        <v>2507</v>
      </c>
    </row>
    <row r="124" spans="1:11">
      <c r="A124" s="40" t="s">
        <v>1423</v>
      </c>
      <c r="B124" s="40" t="s">
        <v>41</v>
      </c>
      <c r="C124" s="40" t="s">
        <v>1415</v>
      </c>
      <c r="D124" s="40" t="s">
        <v>1183</v>
      </c>
      <c r="E124" s="41">
        <v>1000</v>
      </c>
      <c r="F124" s="41">
        <v>3000</v>
      </c>
      <c r="G124" s="40" t="s">
        <v>1192</v>
      </c>
      <c r="H124" s="40" t="s">
        <v>1416</v>
      </c>
      <c r="I124" s="40" t="s">
        <v>87</v>
      </c>
      <c r="J124" s="40" t="str">
        <f>IF(OR(E124&lt;=0,F124&lt;=0),"ERROR - NONPOSITIVE",IF(OR(E124&lt;'01-Process Controls'!$G$9,F124&lt;'01-Process Controls'!$G$9),"ERROR - BELOW MIN",IF(E124&lt;='01-Process Controls'!$D$9-2*'01-Process Controls'!$H$9,"VALID - SAFE",IF(E124&lt;='01-Process Controls'!$D$9,"VALID - NOMINAL EDGE","ERROR - EXCEEDS ROLL WIDTH"))))</f>
        <v>VALID - SAFE</v>
      </c>
      <c r="K124" s="57" t="s">
        <v>2507</v>
      </c>
    </row>
    <row r="125" spans="1:11">
      <c r="A125" s="40" t="s">
        <v>1424</v>
      </c>
      <c r="B125" s="40" t="s">
        <v>41</v>
      </c>
      <c r="C125" s="40" t="s">
        <v>1420</v>
      </c>
      <c r="D125" s="40" t="s">
        <v>1193</v>
      </c>
      <c r="E125" s="41">
        <v>1200</v>
      </c>
      <c r="F125" s="41">
        <v>1200</v>
      </c>
      <c r="G125" s="40" t="s">
        <v>1192</v>
      </c>
      <c r="H125" s="40" t="s">
        <v>1416</v>
      </c>
      <c r="I125" s="40" t="s">
        <v>87</v>
      </c>
      <c r="J125" s="40" t="str">
        <f>IF(OR(E125&lt;=0,F125&lt;=0),"ERROR - NONPOSITIVE",IF(OR(E125&lt;'01-Process Controls'!$G$9,F125&lt;'01-Process Controls'!$G$9),"ERROR - BELOW MIN",IF(E125&lt;='01-Process Controls'!$D$9-2*'01-Process Controls'!$H$9,"VALID - SAFE",IF(E125&lt;='01-Process Controls'!$D$9,"VALID - NOMINAL EDGE","ERROR - EXCEEDS ROLL WIDTH"))))</f>
        <v>VALID - SAFE</v>
      </c>
      <c r="K125" s="57" t="s">
        <v>2507</v>
      </c>
    </row>
    <row r="126" spans="1:11">
      <c r="A126" s="40" t="s">
        <v>1425</v>
      </c>
      <c r="B126" s="40" t="s">
        <v>41</v>
      </c>
      <c r="C126" s="40" t="s">
        <v>1415</v>
      </c>
      <c r="D126" s="40" t="s">
        <v>1183</v>
      </c>
      <c r="E126" s="41">
        <v>1200</v>
      </c>
      <c r="F126" s="41">
        <v>1800</v>
      </c>
      <c r="G126" s="40" t="s">
        <v>1192</v>
      </c>
      <c r="H126" s="40" t="s">
        <v>1416</v>
      </c>
      <c r="I126" s="40" t="s">
        <v>87</v>
      </c>
      <c r="J126" s="40" t="str">
        <f>IF(OR(E126&lt;=0,F126&lt;=0),"ERROR - NONPOSITIVE",IF(OR(E126&lt;'01-Process Controls'!$G$9,F126&lt;'01-Process Controls'!$G$9),"ERROR - BELOW MIN",IF(E126&lt;='01-Process Controls'!$D$9-2*'01-Process Controls'!$H$9,"VALID - SAFE",IF(E126&lt;='01-Process Controls'!$D$9,"VALID - NOMINAL EDGE","ERROR - EXCEEDS ROLL WIDTH"))))</f>
        <v>VALID - SAFE</v>
      </c>
      <c r="K126" s="57" t="s">
        <v>2507</v>
      </c>
    </row>
    <row r="127" spans="1:11">
      <c r="A127" s="40" t="s">
        <v>1426</v>
      </c>
      <c r="B127" s="40" t="s">
        <v>41</v>
      </c>
      <c r="C127" s="40" t="s">
        <v>1415</v>
      </c>
      <c r="D127" s="40" t="s">
        <v>1183</v>
      </c>
      <c r="E127" s="41">
        <v>1200</v>
      </c>
      <c r="F127" s="41">
        <v>2000</v>
      </c>
      <c r="G127" s="40" t="s">
        <v>1192</v>
      </c>
      <c r="H127" s="40" t="s">
        <v>1416</v>
      </c>
      <c r="I127" s="40" t="s">
        <v>87</v>
      </c>
      <c r="J127" s="40" t="str">
        <f>IF(OR(E127&lt;=0,F127&lt;=0),"ERROR - NONPOSITIVE",IF(OR(E127&lt;'01-Process Controls'!$G$9,F127&lt;'01-Process Controls'!$G$9),"ERROR - BELOW MIN",IF(E127&lt;='01-Process Controls'!$D$9-2*'01-Process Controls'!$H$9,"VALID - SAFE",IF(E127&lt;='01-Process Controls'!$D$9,"VALID - NOMINAL EDGE","ERROR - EXCEEDS ROLL WIDTH"))))</f>
        <v>VALID - SAFE</v>
      </c>
      <c r="K127" s="57" t="s">
        <v>2507</v>
      </c>
    </row>
    <row r="128" spans="1:11">
      <c r="A128" s="40" t="s">
        <v>1427</v>
      </c>
      <c r="B128" s="40" t="s">
        <v>41</v>
      </c>
      <c r="C128" s="40" t="s">
        <v>1415</v>
      </c>
      <c r="D128" s="40" t="s">
        <v>1183</v>
      </c>
      <c r="E128" s="41">
        <v>1200</v>
      </c>
      <c r="F128" s="41">
        <v>2400</v>
      </c>
      <c r="G128" s="40" t="s">
        <v>1192</v>
      </c>
      <c r="H128" s="40" t="s">
        <v>1416</v>
      </c>
      <c r="I128" s="40" t="s">
        <v>87</v>
      </c>
      <c r="J128" s="40" t="str">
        <f>IF(OR(E128&lt;=0,F128&lt;=0),"ERROR - NONPOSITIVE",IF(OR(E128&lt;'01-Process Controls'!$G$9,F128&lt;'01-Process Controls'!$G$9),"ERROR - BELOW MIN",IF(E128&lt;='01-Process Controls'!$D$9-2*'01-Process Controls'!$H$9,"VALID - SAFE",IF(E128&lt;='01-Process Controls'!$D$9,"VALID - NOMINAL EDGE","ERROR - EXCEEDS ROLL WIDTH"))))</f>
        <v>VALID - SAFE</v>
      </c>
      <c r="K128" s="57" t="s">
        <v>2507</v>
      </c>
    </row>
    <row r="129" spans="1:11">
      <c r="A129" s="40" t="s">
        <v>1428</v>
      </c>
      <c r="B129" s="40" t="s">
        <v>41</v>
      </c>
      <c r="C129" s="40" t="s">
        <v>1415</v>
      </c>
      <c r="D129" s="40" t="s">
        <v>1183</v>
      </c>
      <c r="E129" s="41">
        <v>1200</v>
      </c>
      <c r="F129" s="41">
        <v>3000</v>
      </c>
      <c r="G129" s="40" t="s">
        <v>1192</v>
      </c>
      <c r="H129" s="40" t="s">
        <v>1416</v>
      </c>
      <c r="I129" s="40" t="s">
        <v>87</v>
      </c>
      <c r="J129" s="40" t="str">
        <f>IF(OR(E129&lt;=0,F129&lt;=0),"ERROR - NONPOSITIVE",IF(OR(E129&lt;'01-Process Controls'!$G$9,F129&lt;'01-Process Controls'!$G$9),"ERROR - BELOW MIN",IF(E129&lt;='01-Process Controls'!$D$9-2*'01-Process Controls'!$H$9,"VALID - SAFE",IF(E129&lt;='01-Process Controls'!$D$9,"VALID - NOMINAL EDGE","ERROR - EXCEEDS ROLL WIDTH"))))</f>
        <v>VALID - SAFE</v>
      </c>
      <c r="K129" s="57" t="s">
        <v>2507</v>
      </c>
    </row>
    <row r="130" spans="1:11">
      <c r="A130" s="40" t="s">
        <v>1429</v>
      </c>
      <c r="B130" s="40" t="s">
        <v>41</v>
      </c>
      <c r="C130" s="40" t="s">
        <v>1430</v>
      </c>
      <c r="D130" s="40" t="s">
        <v>1179</v>
      </c>
      <c r="E130" s="41">
        <v>1500</v>
      </c>
      <c r="F130" s="41">
        <v>1000</v>
      </c>
      <c r="G130" s="40" t="s">
        <v>1192</v>
      </c>
      <c r="H130" s="40" t="s">
        <v>1416</v>
      </c>
      <c r="I130" s="40" t="s">
        <v>87</v>
      </c>
      <c r="J130" s="40" t="str">
        <f>IF(OR(E130&lt;=0,F130&lt;=0),"ERROR - NONPOSITIVE",IF(OR(E130&lt;'01-Process Controls'!$G$9,F130&lt;'01-Process Controls'!$G$9),"ERROR - BELOW MIN",IF(E130&lt;='01-Process Controls'!$D$9-2*'01-Process Controls'!$H$9,"VALID - SAFE",IF(E130&lt;='01-Process Controls'!$D$9,"VALID - NOMINAL EDGE","ERROR - EXCEEDS ROLL WIDTH"))))</f>
        <v>VALID - SAFE</v>
      </c>
      <c r="K130" s="57" t="s">
        <v>2507</v>
      </c>
    </row>
    <row r="131" spans="1:11">
      <c r="A131" s="40" t="s">
        <v>1431</v>
      </c>
      <c r="B131" s="40" t="s">
        <v>41</v>
      </c>
      <c r="C131" s="40" t="s">
        <v>1415</v>
      </c>
      <c r="D131" s="40" t="s">
        <v>1183</v>
      </c>
      <c r="E131" s="41">
        <v>1500</v>
      </c>
      <c r="F131" s="41">
        <v>2000</v>
      </c>
      <c r="G131" s="40" t="s">
        <v>1192</v>
      </c>
      <c r="H131" s="40" t="s">
        <v>1416</v>
      </c>
      <c r="I131" s="40" t="s">
        <v>87</v>
      </c>
      <c r="J131" s="40" t="str">
        <f>IF(OR(E131&lt;=0,F131&lt;=0),"ERROR - NONPOSITIVE",IF(OR(E131&lt;'01-Process Controls'!$G$9,F131&lt;'01-Process Controls'!$G$9),"ERROR - BELOW MIN",IF(E131&lt;='01-Process Controls'!$D$9-2*'01-Process Controls'!$H$9,"VALID - SAFE",IF(E131&lt;='01-Process Controls'!$D$9,"VALID - NOMINAL EDGE","ERROR - EXCEEDS ROLL WIDTH"))))</f>
        <v>VALID - SAFE</v>
      </c>
      <c r="K131" s="57" t="s">
        <v>2507</v>
      </c>
    </row>
    <row r="132" spans="1:11">
      <c r="A132" s="40" t="s">
        <v>1432</v>
      </c>
      <c r="B132" s="40" t="s">
        <v>41</v>
      </c>
      <c r="C132" s="40" t="s">
        <v>1415</v>
      </c>
      <c r="D132" s="40" t="s">
        <v>1183</v>
      </c>
      <c r="E132" s="41">
        <v>1500</v>
      </c>
      <c r="F132" s="41">
        <v>3000</v>
      </c>
      <c r="G132" s="40" t="s">
        <v>1192</v>
      </c>
      <c r="H132" s="40" t="s">
        <v>1416</v>
      </c>
      <c r="I132" s="40" t="s">
        <v>87</v>
      </c>
      <c r="J132" s="40" t="str">
        <f>IF(OR(E132&lt;=0,F132&lt;=0),"ERROR - NONPOSITIVE",IF(OR(E132&lt;'01-Process Controls'!$G$9,F132&lt;'01-Process Controls'!$G$9),"ERROR - BELOW MIN",IF(E132&lt;='01-Process Controls'!$D$9-2*'01-Process Controls'!$H$9,"VALID - SAFE",IF(E132&lt;='01-Process Controls'!$D$9,"VALID - NOMINAL EDGE","ERROR - EXCEEDS ROLL WIDTH"))))</f>
        <v>VALID - SAFE</v>
      </c>
      <c r="K132" s="57" t="s">
        <v>2507</v>
      </c>
    </row>
    <row r="133" spans="1:11">
      <c r="A133" s="40" t="s">
        <v>1433</v>
      </c>
      <c r="B133" s="40" t="s">
        <v>41</v>
      </c>
      <c r="C133" s="40" t="s">
        <v>1415</v>
      </c>
      <c r="D133" s="40" t="s">
        <v>1183</v>
      </c>
      <c r="E133" s="41">
        <v>1500</v>
      </c>
      <c r="F133" s="41">
        <v>4000</v>
      </c>
      <c r="G133" s="40" t="s">
        <v>1192</v>
      </c>
      <c r="H133" s="40" t="s">
        <v>1416</v>
      </c>
      <c r="I133" s="40" t="s">
        <v>87</v>
      </c>
      <c r="J133" s="40" t="str">
        <f>IF(OR(E133&lt;=0,F133&lt;=0),"ERROR - NONPOSITIVE",IF(OR(E133&lt;'01-Process Controls'!$G$9,F133&lt;'01-Process Controls'!$G$9),"ERROR - BELOW MIN",IF(E133&lt;='01-Process Controls'!$D$9-2*'01-Process Controls'!$H$9,"VALID - SAFE",IF(E133&lt;='01-Process Controls'!$D$9,"VALID - NOMINAL EDGE","ERROR - EXCEEDS ROLL WIDTH"))))</f>
        <v>VALID - SAFE</v>
      </c>
      <c r="K133" s="57" t="s">
        <v>2507</v>
      </c>
    </row>
    <row r="134" spans="1:11">
      <c r="A134" s="40" t="s">
        <v>1434</v>
      </c>
      <c r="B134" s="40" t="s">
        <v>41</v>
      </c>
      <c r="C134" s="40" t="s">
        <v>1435</v>
      </c>
      <c r="D134" s="40" t="s">
        <v>1183</v>
      </c>
      <c r="E134" s="41">
        <v>1600</v>
      </c>
      <c r="F134" s="41">
        <v>2000</v>
      </c>
      <c r="G134" s="40" t="s">
        <v>1192</v>
      </c>
      <c r="H134" s="40" t="s">
        <v>1436</v>
      </c>
      <c r="I134" s="40" t="s">
        <v>87</v>
      </c>
      <c r="J134" s="40" t="str">
        <f>IF(OR(E134&lt;=0,F134&lt;=0),"ERROR - NONPOSITIVE",IF(OR(E134&lt;'01-Process Controls'!$G$9,F134&lt;'01-Process Controls'!$G$9),"ERROR - BELOW MIN",IF(E134&lt;='01-Process Controls'!$D$9-2*'01-Process Controls'!$H$9,"VALID - SAFE",IF(E134&lt;='01-Process Controls'!$D$9,"VALID - NOMINAL EDGE","ERROR - EXCEEDS ROLL WIDTH"))))</f>
        <v>VALID - NOMINAL EDGE</v>
      </c>
      <c r="K134" s="57" t="s">
        <v>2507</v>
      </c>
    </row>
    <row r="135" spans="1:11">
      <c r="A135" s="40" t="s">
        <v>1437</v>
      </c>
      <c r="B135" s="40" t="s">
        <v>41</v>
      </c>
      <c r="C135" s="40" t="s">
        <v>1435</v>
      </c>
      <c r="D135" s="40" t="s">
        <v>1183</v>
      </c>
      <c r="E135" s="41">
        <v>1600</v>
      </c>
      <c r="F135" s="41">
        <v>3000</v>
      </c>
      <c r="G135" s="40" t="s">
        <v>1192</v>
      </c>
      <c r="H135" s="40" t="s">
        <v>1436</v>
      </c>
      <c r="I135" s="40" t="s">
        <v>87</v>
      </c>
      <c r="J135" s="40" t="str">
        <f>IF(OR(E135&lt;=0,F135&lt;=0),"ERROR - NONPOSITIVE",IF(OR(E135&lt;'01-Process Controls'!$G$9,F135&lt;'01-Process Controls'!$G$9),"ERROR - BELOW MIN",IF(E135&lt;='01-Process Controls'!$D$9-2*'01-Process Controls'!$H$9,"VALID - SAFE",IF(E135&lt;='01-Process Controls'!$D$9,"VALID - NOMINAL EDGE","ERROR - EXCEEDS ROLL WIDTH"))))</f>
        <v>VALID - NOMINAL EDGE</v>
      </c>
      <c r="K135" s="57" t="s">
        <v>2507</v>
      </c>
    </row>
    <row r="136" spans="1:11">
      <c r="A136" s="40" t="s">
        <v>1438</v>
      </c>
      <c r="B136" s="40" t="s">
        <v>41</v>
      </c>
      <c r="C136" s="40" t="s">
        <v>1435</v>
      </c>
      <c r="D136" s="40" t="s">
        <v>1183</v>
      </c>
      <c r="E136" s="41">
        <v>1600</v>
      </c>
      <c r="F136" s="41">
        <v>4000</v>
      </c>
      <c r="G136" s="40" t="s">
        <v>1192</v>
      </c>
      <c r="H136" s="40" t="s">
        <v>1436</v>
      </c>
      <c r="I136" s="40" t="s">
        <v>87</v>
      </c>
      <c r="J136" s="40" t="str">
        <f>IF(OR(E136&lt;=0,F136&lt;=0),"ERROR - NONPOSITIVE",IF(OR(E136&lt;'01-Process Controls'!$G$9,F136&lt;'01-Process Controls'!$G$9),"ERROR - BELOW MIN",IF(E136&lt;='01-Process Controls'!$D$9-2*'01-Process Controls'!$H$9,"VALID - SAFE",IF(E136&lt;='01-Process Controls'!$D$9,"VALID - NOMINAL EDGE","ERROR - EXCEEDS ROLL WIDTH"))))</f>
        <v>VALID - NOMINAL EDGE</v>
      </c>
      <c r="K136" s="57" t="s">
        <v>2507</v>
      </c>
    </row>
    <row r="137" spans="1:11">
      <c r="A137" s="40" t="s">
        <v>1439</v>
      </c>
      <c r="B137" s="40" t="s">
        <v>41</v>
      </c>
      <c r="C137" s="40" t="s">
        <v>1435</v>
      </c>
      <c r="D137" s="40" t="s">
        <v>1183</v>
      </c>
      <c r="E137" s="41">
        <v>1600</v>
      </c>
      <c r="F137" s="41">
        <v>5000</v>
      </c>
      <c r="G137" s="40" t="s">
        <v>1192</v>
      </c>
      <c r="H137" s="40" t="s">
        <v>1436</v>
      </c>
      <c r="I137" s="40" t="s">
        <v>87</v>
      </c>
      <c r="J137" s="40" t="str">
        <f>IF(OR(E137&lt;=0,F137&lt;=0),"ERROR - NONPOSITIVE",IF(OR(E137&lt;'01-Process Controls'!$G$9,F137&lt;'01-Process Controls'!$G$9),"ERROR - BELOW MIN",IF(E137&lt;='01-Process Controls'!$D$9-2*'01-Process Controls'!$H$9,"VALID - SAFE",IF(E137&lt;='01-Process Controls'!$D$9,"VALID - NOMINAL EDGE","ERROR - EXCEEDS ROLL WIDTH"))))</f>
        <v>VALID - NOMINAL EDGE</v>
      </c>
      <c r="K137" s="57" t="s">
        <v>2507</v>
      </c>
    </row>
    <row r="138" spans="1:11">
      <c r="A138" s="40" t="s">
        <v>1440</v>
      </c>
      <c r="B138" s="40" t="s">
        <v>41</v>
      </c>
      <c r="C138" s="40" t="s">
        <v>1441</v>
      </c>
      <c r="D138" s="40" t="s">
        <v>1183</v>
      </c>
      <c r="E138" s="41">
        <v>300</v>
      </c>
      <c r="F138" s="41">
        <v>1000</v>
      </c>
      <c r="G138" s="40" t="s">
        <v>1192</v>
      </c>
      <c r="H138" s="40" t="s">
        <v>1442</v>
      </c>
      <c r="I138" s="40" t="s">
        <v>87</v>
      </c>
      <c r="J138" s="40" t="str">
        <f>IF(OR(E138&lt;=0,F138&lt;=0),"ERROR - NONPOSITIVE",IF(OR(E138&lt;'01-Process Controls'!$G$9,F138&lt;'01-Process Controls'!$G$9),"ERROR - BELOW MIN",IF(E138&lt;='01-Process Controls'!$D$9-2*'01-Process Controls'!$H$9,"VALID - SAFE",IF(E138&lt;='01-Process Controls'!$D$9,"VALID - NOMINAL EDGE","ERROR - EXCEEDS ROLL WIDTH"))))</f>
        <v>VALID - SAFE</v>
      </c>
      <c r="K138" s="57" t="s">
        <v>2507</v>
      </c>
    </row>
    <row r="139" spans="1:11">
      <c r="A139" s="40" t="s">
        <v>1443</v>
      </c>
      <c r="B139" s="40" t="s">
        <v>41</v>
      </c>
      <c r="C139" s="40" t="s">
        <v>1441</v>
      </c>
      <c r="D139" s="40" t="s">
        <v>1183</v>
      </c>
      <c r="E139" s="41">
        <v>300</v>
      </c>
      <c r="F139" s="41">
        <v>2000</v>
      </c>
      <c r="G139" s="40" t="s">
        <v>1192</v>
      </c>
      <c r="H139" s="40" t="s">
        <v>1442</v>
      </c>
      <c r="I139" s="40" t="s">
        <v>87</v>
      </c>
      <c r="J139" s="40" t="str">
        <f>IF(OR(E139&lt;=0,F139&lt;=0),"ERROR - NONPOSITIVE",IF(OR(E139&lt;'01-Process Controls'!$G$9,F139&lt;'01-Process Controls'!$G$9),"ERROR - BELOW MIN",IF(E139&lt;='01-Process Controls'!$D$9-2*'01-Process Controls'!$H$9,"VALID - SAFE",IF(E139&lt;='01-Process Controls'!$D$9,"VALID - NOMINAL EDGE","ERROR - EXCEEDS ROLL WIDTH"))))</f>
        <v>VALID - SAFE</v>
      </c>
      <c r="K139" s="57" t="s">
        <v>2507</v>
      </c>
    </row>
    <row r="140" spans="1:11">
      <c r="A140" s="40" t="s">
        <v>1444</v>
      </c>
      <c r="B140" s="40" t="s">
        <v>41</v>
      </c>
      <c r="C140" s="40" t="s">
        <v>1445</v>
      </c>
      <c r="D140" s="40" t="s">
        <v>1183</v>
      </c>
      <c r="E140" s="41">
        <v>400</v>
      </c>
      <c r="F140" s="41">
        <v>1200</v>
      </c>
      <c r="G140" s="40" t="s">
        <v>1192</v>
      </c>
      <c r="H140" s="40" t="s">
        <v>1446</v>
      </c>
      <c r="I140" s="40" t="s">
        <v>87</v>
      </c>
      <c r="J140" s="40" t="str">
        <f>IF(OR(E140&lt;=0,F140&lt;=0),"ERROR - NONPOSITIVE",IF(OR(E140&lt;'01-Process Controls'!$G$9,F140&lt;'01-Process Controls'!$G$9),"ERROR - BELOW MIN",IF(E140&lt;='01-Process Controls'!$D$9-2*'01-Process Controls'!$H$9,"VALID - SAFE",IF(E140&lt;='01-Process Controls'!$D$9,"VALID - NOMINAL EDGE","ERROR - EXCEEDS ROLL WIDTH"))))</f>
        <v>VALID - SAFE</v>
      </c>
      <c r="K140" s="57" t="s">
        <v>2507</v>
      </c>
    </row>
    <row r="141" spans="1:11">
      <c r="A141" s="40" t="s">
        <v>1447</v>
      </c>
      <c r="B141" s="40" t="s">
        <v>41</v>
      </c>
      <c r="C141" s="40" t="s">
        <v>1445</v>
      </c>
      <c r="D141" s="40" t="s">
        <v>1183</v>
      </c>
      <c r="E141" s="41">
        <v>400</v>
      </c>
      <c r="F141" s="41">
        <v>1800</v>
      </c>
      <c r="G141" s="40" t="s">
        <v>1192</v>
      </c>
      <c r="H141" s="40" t="s">
        <v>1446</v>
      </c>
      <c r="I141" s="40" t="s">
        <v>87</v>
      </c>
      <c r="J141" s="40" t="str">
        <f>IF(OR(E141&lt;=0,F141&lt;=0),"ERROR - NONPOSITIVE",IF(OR(E141&lt;'01-Process Controls'!$G$9,F141&lt;'01-Process Controls'!$G$9),"ERROR - BELOW MIN",IF(E141&lt;='01-Process Controls'!$D$9-2*'01-Process Controls'!$H$9,"VALID - SAFE",IF(E141&lt;='01-Process Controls'!$D$9,"VALID - NOMINAL EDGE","ERROR - EXCEEDS ROLL WIDTH"))))</f>
        <v>VALID - SAFE</v>
      </c>
      <c r="K141" s="57" t="s">
        <v>2507</v>
      </c>
    </row>
    <row r="142" spans="1:11">
      <c r="A142" s="40" t="s">
        <v>1448</v>
      </c>
      <c r="B142" s="40" t="s">
        <v>41</v>
      </c>
      <c r="C142" s="40" t="s">
        <v>1445</v>
      </c>
      <c r="D142" s="40" t="s">
        <v>1183</v>
      </c>
      <c r="E142" s="41">
        <v>500</v>
      </c>
      <c r="F142" s="41">
        <v>1500</v>
      </c>
      <c r="G142" s="40" t="s">
        <v>1192</v>
      </c>
      <c r="H142" s="40" t="s">
        <v>1446</v>
      </c>
      <c r="I142" s="40" t="s">
        <v>87</v>
      </c>
      <c r="J142" s="40" t="str">
        <f>IF(OR(E142&lt;=0,F142&lt;=0),"ERROR - NONPOSITIVE",IF(OR(E142&lt;'01-Process Controls'!$G$9,F142&lt;'01-Process Controls'!$G$9),"ERROR - BELOW MIN",IF(E142&lt;='01-Process Controls'!$D$9-2*'01-Process Controls'!$H$9,"VALID - SAFE",IF(E142&lt;='01-Process Controls'!$D$9,"VALID - NOMINAL EDGE","ERROR - EXCEEDS ROLL WIDTH"))))</f>
        <v>VALID - SAFE</v>
      </c>
      <c r="K142" s="57" t="s">
        <v>2507</v>
      </c>
    </row>
    <row r="143" spans="1:11">
      <c r="A143" s="40" t="s">
        <v>1449</v>
      </c>
      <c r="B143" s="40" t="s">
        <v>41</v>
      </c>
      <c r="C143" s="40" t="s">
        <v>1445</v>
      </c>
      <c r="D143" s="40" t="s">
        <v>1183</v>
      </c>
      <c r="E143" s="41">
        <v>500</v>
      </c>
      <c r="F143" s="41">
        <v>2000</v>
      </c>
      <c r="G143" s="40" t="s">
        <v>1192</v>
      </c>
      <c r="H143" s="40" t="s">
        <v>1446</v>
      </c>
      <c r="I143" s="40" t="s">
        <v>87</v>
      </c>
      <c r="J143" s="40" t="str">
        <f>IF(OR(E143&lt;=0,F143&lt;=0),"ERROR - NONPOSITIVE",IF(OR(E143&lt;'01-Process Controls'!$G$9,F143&lt;'01-Process Controls'!$G$9),"ERROR - BELOW MIN",IF(E143&lt;='01-Process Controls'!$D$9-2*'01-Process Controls'!$H$9,"VALID - SAFE",IF(E143&lt;='01-Process Controls'!$D$9,"VALID - NOMINAL EDGE","ERROR - EXCEEDS ROLL WIDTH"))))</f>
        <v>VALID - SAFE</v>
      </c>
      <c r="K143" s="57" t="s">
        <v>2507</v>
      </c>
    </row>
    <row r="144" spans="1:11">
      <c r="A144" s="40" t="s">
        <v>1450</v>
      </c>
      <c r="B144" s="40" t="s">
        <v>41</v>
      </c>
      <c r="C144" s="40" t="s">
        <v>1412</v>
      </c>
      <c r="D144" s="40" t="s">
        <v>1183</v>
      </c>
      <c r="E144" s="41">
        <v>600</v>
      </c>
      <c r="F144" s="41">
        <v>3000</v>
      </c>
      <c r="G144" s="40" t="s">
        <v>1192</v>
      </c>
      <c r="H144" s="40" t="s">
        <v>1446</v>
      </c>
      <c r="I144" s="40" t="s">
        <v>87</v>
      </c>
      <c r="J144" s="40" t="str">
        <f>IF(OR(E144&lt;=0,F144&lt;=0),"ERROR - NONPOSITIVE",IF(OR(E144&lt;'01-Process Controls'!$G$9,F144&lt;'01-Process Controls'!$G$9),"ERROR - BELOW MIN",IF(E144&lt;='01-Process Controls'!$D$9-2*'01-Process Controls'!$H$9,"VALID - SAFE",IF(E144&lt;='01-Process Controls'!$D$9,"VALID - NOMINAL EDGE","ERROR - EXCEEDS ROLL WIDTH"))))</f>
        <v>VALID - SAFE</v>
      </c>
      <c r="K144" s="57" t="s">
        <v>2507</v>
      </c>
    </row>
    <row r="145" spans="1:40">
      <c r="A145" s="40" t="s">
        <v>1451</v>
      </c>
      <c r="B145" s="40" t="s">
        <v>41</v>
      </c>
      <c r="C145" s="40" t="s">
        <v>1412</v>
      </c>
      <c r="D145" s="40" t="s">
        <v>1183</v>
      </c>
      <c r="E145" s="41">
        <v>800</v>
      </c>
      <c r="F145" s="41">
        <v>3000</v>
      </c>
      <c r="G145" s="40" t="s">
        <v>1192</v>
      </c>
      <c r="H145" s="40" t="s">
        <v>1446</v>
      </c>
      <c r="I145" s="40" t="s">
        <v>87</v>
      </c>
      <c r="J145" s="40" t="str">
        <f>IF(OR(E145&lt;=0,F145&lt;=0),"ERROR - NONPOSITIVE",IF(OR(E145&lt;'01-Process Controls'!$G$9,F145&lt;'01-Process Controls'!$G$9),"ERROR - BELOW MIN",IF(E145&lt;='01-Process Controls'!$D$9-2*'01-Process Controls'!$H$9,"VALID - SAFE",IF(E145&lt;='01-Process Controls'!$D$9,"VALID - NOMINAL EDGE","ERROR - EXCEEDS ROLL WIDTH"))))</f>
        <v>VALID - SAFE</v>
      </c>
      <c r="K145" s="57" t="s">
        <v>2507</v>
      </c>
    </row>
    <row r="146" spans="1:40">
      <c r="A146" s="40" t="s">
        <v>1452</v>
      </c>
      <c r="B146" s="40" t="s">
        <v>41</v>
      </c>
      <c r="C146" s="40" t="s">
        <v>1412</v>
      </c>
      <c r="D146" s="40" t="s">
        <v>1183</v>
      </c>
      <c r="E146" s="41">
        <v>1000</v>
      </c>
      <c r="F146" s="41">
        <v>4000</v>
      </c>
      <c r="G146" s="40" t="s">
        <v>1192</v>
      </c>
      <c r="H146" s="40" t="s">
        <v>1446</v>
      </c>
      <c r="I146" s="40" t="s">
        <v>87</v>
      </c>
      <c r="J146" s="40" t="str">
        <f>IF(OR(E146&lt;=0,F146&lt;=0),"ERROR - NONPOSITIVE",IF(OR(E146&lt;'01-Process Controls'!$G$9,F146&lt;'01-Process Controls'!$G$9),"ERROR - BELOW MIN",IF(E146&lt;='01-Process Controls'!$D$9-2*'01-Process Controls'!$H$9,"VALID - SAFE",IF(E146&lt;='01-Process Controls'!$D$9,"VALID - NOMINAL EDGE","ERROR - EXCEEDS ROLL WIDTH"))))</f>
        <v>VALID - SAFE</v>
      </c>
      <c r="K146" s="57" t="s">
        <v>2507</v>
      </c>
    </row>
    <row r="147" spans="1:40">
      <c r="A147" s="40" t="s">
        <v>1453</v>
      </c>
      <c r="B147" s="40" t="s">
        <v>41</v>
      </c>
      <c r="C147" s="40" t="s">
        <v>1412</v>
      </c>
      <c r="D147" s="40" t="s">
        <v>1183</v>
      </c>
      <c r="E147" s="41">
        <v>1200</v>
      </c>
      <c r="F147" s="41">
        <v>5000</v>
      </c>
      <c r="G147" s="40" t="s">
        <v>1192</v>
      </c>
      <c r="H147" s="40" t="s">
        <v>1446</v>
      </c>
      <c r="I147" s="40" t="s">
        <v>87</v>
      </c>
      <c r="J147" s="40" t="str">
        <f>IF(OR(E147&lt;=0,F147&lt;=0),"ERROR - NONPOSITIVE",IF(OR(E147&lt;'01-Process Controls'!$G$9,F147&lt;'01-Process Controls'!$G$9),"ERROR - BELOW MIN",IF(E147&lt;='01-Process Controls'!$D$9-2*'01-Process Controls'!$H$9,"VALID - SAFE",IF(E147&lt;='01-Process Controls'!$D$9,"VALID - NOMINAL EDGE","ERROR - EXCEEDS ROLL WIDTH"))))</f>
        <v>VALID - SAFE</v>
      </c>
      <c r="K147" s="57" t="s">
        <v>2507</v>
      </c>
    </row>
    <row r="148" spans="1:40">
      <c r="A148" s="40" t="s">
        <v>1454</v>
      </c>
      <c r="B148" s="40" t="s">
        <v>41</v>
      </c>
      <c r="C148" s="40" t="s">
        <v>1455</v>
      </c>
      <c r="D148" s="40" t="s">
        <v>1183</v>
      </c>
      <c r="E148" s="41">
        <v>1600</v>
      </c>
      <c r="F148" s="41">
        <v>6000</v>
      </c>
      <c r="G148" s="40" t="s">
        <v>1192</v>
      </c>
      <c r="H148" s="40" t="s">
        <v>1456</v>
      </c>
      <c r="I148" s="40" t="s">
        <v>87</v>
      </c>
      <c r="J148" s="40" t="str">
        <f>IF(OR(E148&lt;=0,F148&lt;=0),"ERROR - NONPOSITIVE",IF(OR(E148&lt;'01-Process Controls'!$G$9,F148&lt;'01-Process Controls'!$G$9),"ERROR - BELOW MIN",IF(E148&lt;='01-Process Controls'!$D$9-2*'01-Process Controls'!$H$9,"VALID - SAFE",IF(E148&lt;='01-Process Controls'!$D$9,"VALID - NOMINAL EDGE","ERROR - EXCEEDS ROLL WIDTH"))))</f>
        <v>VALID - NOMINAL EDGE</v>
      </c>
      <c r="K148" s="57" t="s">
        <v>2507</v>
      </c>
    </row>
    <row r="151" spans="1:40" ht="24" customHeight="1">
      <c r="A151" s="78" t="s">
        <v>2508</v>
      </c>
      <c r="B151" s="80"/>
      <c r="C151" s="80"/>
      <c r="D151" s="80"/>
      <c r="E151" s="80"/>
      <c r="F151" s="80"/>
      <c r="G151" s="80"/>
      <c r="H151" s="80"/>
      <c r="I151" s="80"/>
      <c r="J151" s="80"/>
      <c r="K151" s="80"/>
      <c r="L151" s="80"/>
      <c r="M151" s="80"/>
      <c r="N151" s="80"/>
      <c r="O151" s="80"/>
      <c r="P151" s="80"/>
      <c r="Q151" s="80"/>
      <c r="R151" s="80"/>
    </row>
    <row r="152" spans="1:40" ht="39.950000000000003" customHeight="1">
      <c r="A152" s="77" t="s">
        <v>2509</v>
      </c>
      <c r="B152" s="80"/>
      <c r="C152" s="80"/>
      <c r="D152" s="80"/>
      <c r="E152" s="80"/>
      <c r="F152" s="80"/>
      <c r="G152" s="80"/>
      <c r="H152" s="80"/>
      <c r="I152" s="80"/>
      <c r="J152" s="80"/>
      <c r="K152" s="80"/>
      <c r="L152" s="80"/>
      <c r="M152" s="80"/>
      <c r="N152" s="80"/>
      <c r="O152" s="80"/>
      <c r="P152" s="80"/>
      <c r="Q152" s="80"/>
      <c r="R152" s="80"/>
    </row>
    <row r="153" spans="1:40" ht="33.950000000000003" customHeight="1">
      <c r="A153" s="76" t="s">
        <v>2510</v>
      </c>
      <c r="B153" s="80"/>
      <c r="C153" s="80"/>
      <c r="D153" s="80"/>
      <c r="E153" s="80"/>
      <c r="F153" s="80"/>
      <c r="G153" s="80"/>
      <c r="H153" s="80"/>
      <c r="I153" s="80"/>
      <c r="J153" s="80"/>
      <c r="K153" s="80"/>
      <c r="L153" s="80"/>
      <c r="M153" s="80"/>
      <c r="N153" s="80"/>
      <c r="O153" s="80"/>
      <c r="P153" s="80"/>
      <c r="Q153" s="80"/>
      <c r="R153" s="80"/>
    </row>
    <row r="154" spans="1:40" ht="38.1" customHeight="1">
      <c r="A154" s="13" t="s">
        <v>2511</v>
      </c>
      <c r="B154" s="13" t="s">
        <v>2512</v>
      </c>
      <c r="C154" s="13" t="s">
        <v>2513</v>
      </c>
      <c r="D154" s="13" t="s">
        <v>2514</v>
      </c>
      <c r="E154" s="13" t="s">
        <v>2515</v>
      </c>
      <c r="F154" s="13" t="s">
        <v>2516</v>
      </c>
      <c r="G154" s="13" t="s">
        <v>2517</v>
      </c>
      <c r="H154" s="13" t="s">
        <v>107</v>
      </c>
      <c r="I154" s="13" t="s">
        <v>2505</v>
      </c>
      <c r="J154" s="13" t="s">
        <v>2518</v>
      </c>
      <c r="K154" s="13" t="s">
        <v>2519</v>
      </c>
      <c r="L154" s="13" t="s">
        <v>2520</v>
      </c>
      <c r="M154" s="13" t="s">
        <v>2521</v>
      </c>
      <c r="N154" s="13" t="s">
        <v>2522</v>
      </c>
      <c r="O154" s="13" t="s">
        <v>2523</v>
      </c>
      <c r="P154" s="13" t="s">
        <v>2524</v>
      </c>
      <c r="Q154" s="13" t="s">
        <v>106</v>
      </c>
      <c r="R154" s="13" t="s">
        <v>2504</v>
      </c>
      <c r="S154" s="14" t="s">
        <v>2525</v>
      </c>
      <c r="T154" s="14" t="s">
        <v>2526</v>
      </c>
      <c r="U154" s="14" t="s">
        <v>2527</v>
      </c>
      <c r="V154" s="14" t="s">
        <v>2528</v>
      </c>
      <c r="W154" s="14" t="s">
        <v>2529</v>
      </c>
      <c r="X154" s="14" t="s">
        <v>2530</v>
      </c>
      <c r="Y154" s="14" t="s">
        <v>2531</v>
      </c>
      <c r="Z154" s="14" t="s">
        <v>2532</v>
      </c>
      <c r="AA154" s="14" t="s">
        <v>2533</v>
      </c>
      <c r="AB154" s="14" t="s">
        <v>2534</v>
      </c>
      <c r="AC154" s="14" t="s">
        <v>2535</v>
      </c>
      <c r="AD154" s="14" t="s">
        <v>2536</v>
      </c>
      <c r="AE154" s="14" t="s">
        <v>2537</v>
      </c>
      <c r="AF154" s="14" t="s">
        <v>2538</v>
      </c>
      <c r="AG154" s="14" t="s">
        <v>2539</v>
      </c>
      <c r="AH154" s="14" t="s">
        <v>2540</v>
      </c>
      <c r="AI154" s="14" t="s">
        <v>2541</v>
      </c>
      <c r="AJ154" s="14" t="s">
        <v>2542</v>
      </c>
      <c r="AK154" s="14" t="s">
        <v>2543</v>
      </c>
      <c r="AL154" s="14" t="s">
        <v>2544</v>
      </c>
      <c r="AM154" s="14" t="s">
        <v>2545</v>
      </c>
      <c r="AN154" s="14" t="s">
        <v>2546</v>
      </c>
    </row>
    <row r="155" spans="1:40" ht="33.950000000000003" customHeight="1">
      <c r="A155" s="15" t="s">
        <v>2547</v>
      </c>
      <c r="B155" s="15" t="s">
        <v>2548</v>
      </c>
      <c r="C155" s="15" t="s">
        <v>2549</v>
      </c>
      <c r="D155" s="15" t="s">
        <v>2550</v>
      </c>
      <c r="E155" s="16">
        <v>100</v>
      </c>
      <c r="F155" s="16">
        <v>100</v>
      </c>
      <c r="G155" s="15" t="s">
        <v>2551</v>
      </c>
      <c r="H155" s="15" t="s">
        <v>2552</v>
      </c>
      <c r="I155" s="17" t="s">
        <v>2553</v>
      </c>
      <c r="J155" s="18" t="s">
        <v>652</v>
      </c>
      <c r="K155" s="19" t="str">
        <f>IF(COUNT(S155:AN155)=0,"NO FIT",INDEX('07-Paper Priority'!$B$5:$B$26,MIN(S155:AN155)))</f>
        <v>A6</v>
      </c>
      <c r="L155" s="19" t="str">
        <f>IF($K155="NO FIT","",IF(AND($E155&lt;=INDEX('07-Paper Priority'!$C$5:$C$26,MATCH($K155,'07-Paper Priority'!$B$5:$B$26,0)),$F155&lt;=INDEX('07-Paper Priority'!$D$5:$D$26,MATCH($K155,'07-Paper Priority'!$B$5:$B$26,0))),"PORTRAIT","ROTATED"))</f>
        <v>PORTRAIT</v>
      </c>
      <c r="M155" s="20">
        <f>IF($K155="NO FIT","",IF($L155="PORTRAIT",INDEX('07-Paper Priority'!$C$5:$C$26,MATCH($K155,'07-Paper Priority'!$B$5:$B$26,0)),INDEX('07-Paper Priority'!$D$5:$D$26,MATCH($K155,'07-Paper Priority'!$B$5:$B$26,0))))</f>
        <v>105</v>
      </c>
      <c r="N155" s="20">
        <f>IF($K155="NO FIT","",IF($L155="PORTRAIT",INDEX('07-Paper Priority'!$D$5:$D$26,MATCH($K155,'07-Paper Priority'!$B$5:$B$26,0)),INDEX('07-Paper Priority'!$C$5:$C$26,MATCH($K155,'07-Paper Priority'!$B$5:$B$26,0))))</f>
        <v>148</v>
      </c>
      <c r="O155" s="20">
        <f>IF($K155="NO FIT","",$M155-$E155)</f>
        <v>5</v>
      </c>
      <c r="P155" s="20">
        <f>IF($K155="NO FIT","",$N155-$F155)</f>
        <v>48</v>
      </c>
      <c r="Q155" s="21" t="str">
        <f>IF($K155="NO FIT","REVIEW - NO PAPER FIT",IF(OR($O155&lt;0,$P155&lt;0),"ERROR - FIT",IF(COUNTIF('02-Printing Size'!$A$2:$A$2169,$K155)=0,"ERROR - CODE MISSING","VALID - LOWEST PAPER")))</f>
        <v>VALID - LOWEST PAPER</v>
      </c>
      <c r="R155" s="15" t="s">
        <v>2554</v>
      </c>
      <c r="S155" t="str">
        <f>IF(AND('07-Paper Priority'!$A$5&gt;=MATCH($J155,'07-Paper Priority'!$B$5:$B$26,0),OR(AND($E155&lt;='07-Paper Priority'!$C$5,$F155&lt;='07-Paper Priority'!$D$5),AND($E155&lt;='07-Paper Priority'!$D$5,$F155&lt;='07-Paper Priority'!$C$5))),'07-Paper Priority'!$A$5,"")</f>
        <v/>
      </c>
      <c r="T155" t="str">
        <f>IF(AND('07-Paper Priority'!$A$6&gt;=MATCH($J155,'07-Paper Priority'!$B$5:$B$26,0),OR(AND($E155&lt;='07-Paper Priority'!$C$6,$F155&lt;='07-Paper Priority'!$D$6),AND($E155&lt;='07-Paper Priority'!$D$6,$F155&lt;='07-Paper Priority'!$C$6))),'07-Paper Priority'!$A$6,"")</f>
        <v/>
      </c>
      <c r="U155" t="str">
        <f>IF(AND('07-Paper Priority'!$A$7&gt;=MATCH($J155,'07-Paper Priority'!$B$5:$B$26,0),OR(AND($E155&lt;='07-Paper Priority'!$C$7,$F155&lt;='07-Paper Priority'!$D$7),AND($E155&lt;='07-Paper Priority'!$D$7,$F155&lt;='07-Paper Priority'!$C$7))),'07-Paper Priority'!$A$7,"")</f>
        <v/>
      </c>
      <c r="V155" t="str">
        <f>IF(AND('07-Paper Priority'!$A$8&gt;=MATCH($J155,'07-Paper Priority'!$B$5:$B$26,0),OR(AND($E155&lt;='07-Paper Priority'!$C$8,$F155&lt;='07-Paper Priority'!$D$8),AND($E155&lt;='07-Paper Priority'!$D$8,$F155&lt;='07-Paper Priority'!$C$8))),'07-Paper Priority'!$A$8,"")</f>
        <v/>
      </c>
      <c r="W155" t="str">
        <f>IF(AND('07-Paper Priority'!$A$9&gt;=MATCH($J155,'07-Paper Priority'!$B$5:$B$26,0),OR(AND($E155&lt;='07-Paper Priority'!$C$9,$F155&lt;='07-Paper Priority'!$D$9),AND($E155&lt;='07-Paper Priority'!$D$9,$F155&lt;='07-Paper Priority'!$C$9))),'07-Paper Priority'!$A$9,"")</f>
        <v/>
      </c>
      <c r="X155" t="str">
        <f>IF(AND('07-Paper Priority'!$A$10&gt;=MATCH($J155,'07-Paper Priority'!$B$5:$B$26,0),OR(AND($E155&lt;='07-Paper Priority'!$C$10,$F155&lt;='07-Paper Priority'!$D$10),AND($E155&lt;='07-Paper Priority'!$D$10,$F155&lt;='07-Paper Priority'!$C$10))),'07-Paper Priority'!$A$10,"")</f>
        <v/>
      </c>
      <c r="Y155" t="str">
        <f>IF(AND('07-Paper Priority'!$A$11&gt;=MATCH($J155,'07-Paper Priority'!$B$5:$B$26,0),OR(AND($E155&lt;='07-Paper Priority'!$C$11,$F155&lt;='07-Paper Priority'!$D$11),AND($E155&lt;='07-Paper Priority'!$D$11,$F155&lt;='07-Paper Priority'!$C$11))),'07-Paper Priority'!$A$11,"")</f>
        <v/>
      </c>
      <c r="Z155" t="str">
        <f>IF(AND('07-Paper Priority'!$A$12&gt;=MATCH($J155,'07-Paper Priority'!$B$5:$B$26,0),OR(AND($E155&lt;='07-Paper Priority'!$C$12,$F155&lt;='07-Paper Priority'!$D$12),AND($E155&lt;='07-Paper Priority'!$D$12,$F155&lt;='07-Paper Priority'!$C$12))),'07-Paper Priority'!$A$12,"")</f>
        <v/>
      </c>
      <c r="AA155">
        <f>IF(AND('07-Paper Priority'!$A$13&gt;=MATCH($J155,'07-Paper Priority'!$B$5:$B$26,0),OR(AND($E155&lt;='07-Paper Priority'!$C$13,$F155&lt;='07-Paper Priority'!$D$13),AND($E155&lt;='07-Paper Priority'!$D$13,$F155&lt;='07-Paper Priority'!$C$13))),'07-Paper Priority'!$A$13,"")</f>
        <v>9</v>
      </c>
      <c r="AB155">
        <f>IF(AND('07-Paper Priority'!$A$14&gt;=MATCH($J155,'07-Paper Priority'!$B$5:$B$26,0),OR(AND($E155&lt;='07-Paper Priority'!$C$14,$F155&lt;='07-Paper Priority'!$D$14),AND($E155&lt;='07-Paper Priority'!$D$14,$F155&lt;='07-Paper Priority'!$C$14))),'07-Paper Priority'!$A$14,"")</f>
        <v>10</v>
      </c>
      <c r="AC155">
        <f>IF(AND('07-Paper Priority'!$A$15&gt;=MATCH($J155,'07-Paper Priority'!$B$5:$B$26,0),OR(AND($E155&lt;='07-Paper Priority'!$C$15,$F155&lt;='07-Paper Priority'!$D$15),AND($E155&lt;='07-Paper Priority'!$D$15,$F155&lt;='07-Paper Priority'!$C$15))),'07-Paper Priority'!$A$15,"")</f>
        <v>11</v>
      </c>
      <c r="AD155">
        <f>IF(AND('07-Paper Priority'!$A$16&gt;=MATCH($J155,'07-Paper Priority'!$B$5:$B$26,0),OR(AND($E155&lt;='07-Paper Priority'!$C$16,$F155&lt;='07-Paper Priority'!$D$16),AND($E155&lt;='07-Paper Priority'!$D$16,$F155&lt;='07-Paper Priority'!$C$16))),'07-Paper Priority'!$A$16,"")</f>
        <v>12</v>
      </c>
      <c r="AE155">
        <f>IF(AND('07-Paper Priority'!$A$17&gt;=MATCH($J155,'07-Paper Priority'!$B$5:$B$26,0),OR(AND($E155&lt;='07-Paper Priority'!$C$17,$F155&lt;='07-Paper Priority'!$D$17),AND($E155&lt;='07-Paper Priority'!$D$17,$F155&lt;='07-Paper Priority'!$C$17))),'07-Paper Priority'!$A$17,"")</f>
        <v>13</v>
      </c>
      <c r="AF155">
        <f>IF(AND('07-Paper Priority'!$A$18&gt;=MATCH($J155,'07-Paper Priority'!$B$5:$B$26,0),OR(AND($E155&lt;='07-Paper Priority'!$C$18,$F155&lt;='07-Paper Priority'!$D$18),AND($E155&lt;='07-Paper Priority'!$D$18,$F155&lt;='07-Paper Priority'!$C$18))),'07-Paper Priority'!$A$18,"")</f>
        <v>14</v>
      </c>
      <c r="AG155">
        <f>IF(AND('07-Paper Priority'!$A$19&gt;=MATCH($J155,'07-Paper Priority'!$B$5:$B$26,0),OR(AND($E155&lt;='07-Paper Priority'!$C$19,$F155&lt;='07-Paper Priority'!$D$19),AND($E155&lt;='07-Paper Priority'!$D$19,$F155&lt;='07-Paper Priority'!$C$19))),'07-Paper Priority'!$A$19,"")</f>
        <v>15</v>
      </c>
      <c r="AH155">
        <f>IF(AND('07-Paper Priority'!$A$20&gt;=MATCH($J155,'07-Paper Priority'!$B$5:$B$26,0),OR(AND($E155&lt;='07-Paper Priority'!$C$20,$F155&lt;='07-Paper Priority'!$D$20),AND($E155&lt;='07-Paper Priority'!$D$20,$F155&lt;='07-Paper Priority'!$C$20))),'07-Paper Priority'!$A$20,"")</f>
        <v>16</v>
      </c>
      <c r="AI155">
        <f>IF(AND('07-Paper Priority'!$A$21&gt;=MATCH($J155,'07-Paper Priority'!$B$5:$B$26,0),OR(AND($E155&lt;='07-Paper Priority'!$C$21,$F155&lt;='07-Paper Priority'!$D$21),AND($E155&lt;='07-Paper Priority'!$D$21,$F155&lt;='07-Paper Priority'!$C$21))),'07-Paper Priority'!$A$21,"")</f>
        <v>17</v>
      </c>
      <c r="AJ155">
        <f>IF(AND('07-Paper Priority'!$A$22&gt;=MATCH($J155,'07-Paper Priority'!$B$5:$B$26,0),OR(AND($E155&lt;='07-Paper Priority'!$C$22,$F155&lt;='07-Paper Priority'!$D$22),AND($E155&lt;='07-Paper Priority'!$D$22,$F155&lt;='07-Paper Priority'!$C$22))),'07-Paper Priority'!$A$22,"")</f>
        <v>18</v>
      </c>
      <c r="AK155">
        <f>IF(AND('07-Paper Priority'!$A$23&gt;=MATCH($J155,'07-Paper Priority'!$B$5:$B$26,0),OR(AND($E155&lt;='07-Paper Priority'!$C$23,$F155&lt;='07-Paper Priority'!$D$23),AND($E155&lt;='07-Paper Priority'!$D$23,$F155&lt;='07-Paper Priority'!$C$23))),'07-Paper Priority'!$A$23,"")</f>
        <v>19</v>
      </c>
      <c r="AL155">
        <f>IF(AND('07-Paper Priority'!$A$24&gt;=MATCH($J155,'07-Paper Priority'!$B$5:$B$26,0),OR(AND($E155&lt;='07-Paper Priority'!$C$24,$F155&lt;='07-Paper Priority'!$D$24),AND($E155&lt;='07-Paper Priority'!$D$24,$F155&lt;='07-Paper Priority'!$C$24))),'07-Paper Priority'!$A$24,"")</f>
        <v>20</v>
      </c>
      <c r="AM155">
        <f>IF(AND('07-Paper Priority'!$A$25&gt;=MATCH($J155,'07-Paper Priority'!$B$5:$B$26,0),OR(AND($E155&lt;='07-Paper Priority'!$C$25,$F155&lt;='07-Paper Priority'!$D$25),AND($E155&lt;='07-Paper Priority'!$D$25,$F155&lt;='07-Paper Priority'!$C$25))),'07-Paper Priority'!$A$25,"")</f>
        <v>21</v>
      </c>
      <c r="AN155">
        <f>IF(AND('07-Paper Priority'!$A$26&gt;=MATCH($J155,'07-Paper Priority'!$B$5:$B$26,0),OR(AND($E155&lt;='07-Paper Priority'!$C$26,$F155&lt;='07-Paper Priority'!$D$26),AND($E155&lt;='07-Paper Priority'!$D$26,$F155&lt;='07-Paper Priority'!$C$26))),'07-Paper Priority'!$A$26,"")</f>
        <v>22</v>
      </c>
    </row>
    <row r="156" spans="1:40" ht="33.950000000000003" customHeight="1">
      <c r="A156" s="22" t="s">
        <v>2555</v>
      </c>
      <c r="B156" s="22" t="s">
        <v>2548</v>
      </c>
      <c r="C156" s="22" t="s">
        <v>2549</v>
      </c>
      <c r="D156" s="22" t="s">
        <v>2550</v>
      </c>
      <c r="E156" s="23">
        <v>100</v>
      </c>
      <c r="F156" s="23">
        <v>100</v>
      </c>
      <c r="G156" s="22" t="s">
        <v>2556</v>
      </c>
      <c r="H156" s="22" t="s">
        <v>2557</v>
      </c>
      <c r="I156" s="24" t="s">
        <v>2558</v>
      </c>
      <c r="J156" s="25" t="s">
        <v>652</v>
      </c>
      <c r="K156" s="26" t="str">
        <f>IF(COUNT(S156:AN156)=0,"NO FIT",INDEX('07-Paper Priority'!$B$5:$B$26,MIN(S156:AN156)))</f>
        <v>A6</v>
      </c>
      <c r="L156" s="26" t="str">
        <f>IF($K156="NO FIT","",IF(AND($E156&lt;=INDEX('07-Paper Priority'!$C$5:$C$26,MATCH($K156,'07-Paper Priority'!$B$5:$B$26,0)),$F156&lt;=INDEX('07-Paper Priority'!$D$5:$D$26,MATCH($K156,'07-Paper Priority'!$B$5:$B$26,0))),"PORTRAIT","ROTATED"))</f>
        <v>PORTRAIT</v>
      </c>
      <c r="M156" s="27">
        <f>IF($K156="NO FIT","",IF($L156="PORTRAIT",INDEX('07-Paper Priority'!$C$5:$C$26,MATCH($K156,'07-Paper Priority'!$B$5:$B$26,0)),INDEX('07-Paper Priority'!$D$5:$D$26,MATCH($K156,'07-Paper Priority'!$B$5:$B$26,0))))</f>
        <v>105</v>
      </c>
      <c r="N156" s="27">
        <f>IF($K156="NO FIT","",IF($L156="PORTRAIT",INDEX('07-Paper Priority'!$D$5:$D$26,MATCH($K156,'07-Paper Priority'!$B$5:$B$26,0)),INDEX('07-Paper Priority'!$C$5:$C$26,MATCH($K156,'07-Paper Priority'!$B$5:$B$26,0))))</f>
        <v>148</v>
      </c>
      <c r="O156" s="27">
        <f>IF($K156="NO FIT","",$M156-$E156)</f>
        <v>5</v>
      </c>
      <c r="P156" s="27">
        <f>IF($K156="NO FIT","",$N156-$F156)</f>
        <v>48</v>
      </c>
      <c r="Q156" s="28" t="str">
        <f>IF($K156="NO FIT","REVIEW - NO PAPER FIT",IF(OR($O156&lt;0,$P156&lt;0),"ERROR - FIT",IF(COUNTIF('02-Printing Size'!$A$2:$A$2169,$K156)=0,"ERROR - CODE MISSING","VALID - LOWEST PAPER")))</f>
        <v>VALID - LOWEST PAPER</v>
      </c>
      <c r="R156" s="22" t="s">
        <v>2559</v>
      </c>
      <c r="S156" t="str">
        <f>IF(AND('07-Paper Priority'!$A$5&gt;=MATCH($J156,'07-Paper Priority'!$B$5:$B$26,0),OR(AND($E156&lt;='07-Paper Priority'!$C$5,$F156&lt;='07-Paper Priority'!$D$5),AND($E156&lt;='07-Paper Priority'!$D$5,$F156&lt;='07-Paper Priority'!$C$5))),'07-Paper Priority'!$A$5,"")</f>
        <v/>
      </c>
      <c r="T156" t="str">
        <f>IF(AND('07-Paper Priority'!$A$6&gt;=MATCH($J156,'07-Paper Priority'!$B$5:$B$26,0),OR(AND($E156&lt;='07-Paper Priority'!$C$6,$F156&lt;='07-Paper Priority'!$D$6),AND($E156&lt;='07-Paper Priority'!$D$6,$F156&lt;='07-Paper Priority'!$C$6))),'07-Paper Priority'!$A$6,"")</f>
        <v/>
      </c>
      <c r="U156" t="str">
        <f>IF(AND('07-Paper Priority'!$A$7&gt;=MATCH($J156,'07-Paper Priority'!$B$5:$B$26,0),OR(AND($E156&lt;='07-Paper Priority'!$C$7,$F156&lt;='07-Paper Priority'!$D$7),AND($E156&lt;='07-Paper Priority'!$D$7,$F156&lt;='07-Paper Priority'!$C$7))),'07-Paper Priority'!$A$7,"")</f>
        <v/>
      </c>
      <c r="V156" t="str">
        <f>IF(AND('07-Paper Priority'!$A$8&gt;=MATCH($J156,'07-Paper Priority'!$B$5:$B$26,0),OR(AND($E156&lt;='07-Paper Priority'!$C$8,$F156&lt;='07-Paper Priority'!$D$8),AND($E156&lt;='07-Paper Priority'!$D$8,$F156&lt;='07-Paper Priority'!$C$8))),'07-Paper Priority'!$A$8,"")</f>
        <v/>
      </c>
      <c r="W156" t="str">
        <f>IF(AND('07-Paper Priority'!$A$9&gt;=MATCH($J156,'07-Paper Priority'!$B$5:$B$26,0),OR(AND($E156&lt;='07-Paper Priority'!$C$9,$F156&lt;='07-Paper Priority'!$D$9),AND($E156&lt;='07-Paper Priority'!$D$9,$F156&lt;='07-Paper Priority'!$C$9))),'07-Paper Priority'!$A$9,"")</f>
        <v/>
      </c>
      <c r="X156" t="str">
        <f>IF(AND('07-Paper Priority'!$A$10&gt;=MATCH($J156,'07-Paper Priority'!$B$5:$B$26,0),OR(AND($E156&lt;='07-Paper Priority'!$C$10,$F156&lt;='07-Paper Priority'!$D$10),AND($E156&lt;='07-Paper Priority'!$D$10,$F156&lt;='07-Paper Priority'!$C$10))),'07-Paper Priority'!$A$10,"")</f>
        <v/>
      </c>
      <c r="Y156" t="str">
        <f>IF(AND('07-Paper Priority'!$A$11&gt;=MATCH($J156,'07-Paper Priority'!$B$5:$B$26,0),OR(AND($E156&lt;='07-Paper Priority'!$C$11,$F156&lt;='07-Paper Priority'!$D$11),AND($E156&lt;='07-Paper Priority'!$D$11,$F156&lt;='07-Paper Priority'!$C$11))),'07-Paper Priority'!$A$11,"")</f>
        <v/>
      </c>
      <c r="Z156" t="str">
        <f>IF(AND('07-Paper Priority'!$A$12&gt;=MATCH($J156,'07-Paper Priority'!$B$5:$B$26,0),OR(AND($E156&lt;='07-Paper Priority'!$C$12,$F156&lt;='07-Paper Priority'!$D$12),AND($E156&lt;='07-Paper Priority'!$D$12,$F156&lt;='07-Paper Priority'!$C$12))),'07-Paper Priority'!$A$12,"")</f>
        <v/>
      </c>
      <c r="AA156">
        <f>IF(AND('07-Paper Priority'!$A$13&gt;=MATCH($J156,'07-Paper Priority'!$B$5:$B$26,0),OR(AND($E156&lt;='07-Paper Priority'!$C$13,$F156&lt;='07-Paper Priority'!$D$13),AND($E156&lt;='07-Paper Priority'!$D$13,$F156&lt;='07-Paper Priority'!$C$13))),'07-Paper Priority'!$A$13,"")</f>
        <v>9</v>
      </c>
      <c r="AB156">
        <f>IF(AND('07-Paper Priority'!$A$14&gt;=MATCH($J156,'07-Paper Priority'!$B$5:$B$26,0),OR(AND($E156&lt;='07-Paper Priority'!$C$14,$F156&lt;='07-Paper Priority'!$D$14),AND($E156&lt;='07-Paper Priority'!$D$14,$F156&lt;='07-Paper Priority'!$C$14))),'07-Paper Priority'!$A$14,"")</f>
        <v>10</v>
      </c>
      <c r="AC156">
        <f>IF(AND('07-Paper Priority'!$A$15&gt;=MATCH($J156,'07-Paper Priority'!$B$5:$B$26,0),OR(AND($E156&lt;='07-Paper Priority'!$C$15,$F156&lt;='07-Paper Priority'!$D$15),AND($E156&lt;='07-Paper Priority'!$D$15,$F156&lt;='07-Paper Priority'!$C$15))),'07-Paper Priority'!$A$15,"")</f>
        <v>11</v>
      </c>
      <c r="AD156">
        <f>IF(AND('07-Paper Priority'!$A$16&gt;=MATCH($J156,'07-Paper Priority'!$B$5:$B$26,0),OR(AND($E156&lt;='07-Paper Priority'!$C$16,$F156&lt;='07-Paper Priority'!$D$16),AND($E156&lt;='07-Paper Priority'!$D$16,$F156&lt;='07-Paper Priority'!$C$16))),'07-Paper Priority'!$A$16,"")</f>
        <v>12</v>
      </c>
      <c r="AE156">
        <f>IF(AND('07-Paper Priority'!$A$17&gt;=MATCH($J156,'07-Paper Priority'!$B$5:$B$26,0),OR(AND($E156&lt;='07-Paper Priority'!$C$17,$F156&lt;='07-Paper Priority'!$D$17),AND($E156&lt;='07-Paper Priority'!$D$17,$F156&lt;='07-Paper Priority'!$C$17))),'07-Paper Priority'!$A$17,"")</f>
        <v>13</v>
      </c>
      <c r="AF156">
        <f>IF(AND('07-Paper Priority'!$A$18&gt;=MATCH($J156,'07-Paper Priority'!$B$5:$B$26,0),OR(AND($E156&lt;='07-Paper Priority'!$C$18,$F156&lt;='07-Paper Priority'!$D$18),AND($E156&lt;='07-Paper Priority'!$D$18,$F156&lt;='07-Paper Priority'!$C$18))),'07-Paper Priority'!$A$18,"")</f>
        <v>14</v>
      </c>
      <c r="AG156">
        <f>IF(AND('07-Paper Priority'!$A$19&gt;=MATCH($J156,'07-Paper Priority'!$B$5:$B$26,0),OR(AND($E156&lt;='07-Paper Priority'!$C$19,$F156&lt;='07-Paper Priority'!$D$19),AND($E156&lt;='07-Paper Priority'!$D$19,$F156&lt;='07-Paper Priority'!$C$19))),'07-Paper Priority'!$A$19,"")</f>
        <v>15</v>
      </c>
      <c r="AH156">
        <f>IF(AND('07-Paper Priority'!$A$20&gt;=MATCH($J156,'07-Paper Priority'!$B$5:$B$26,0),OR(AND($E156&lt;='07-Paper Priority'!$C$20,$F156&lt;='07-Paper Priority'!$D$20),AND($E156&lt;='07-Paper Priority'!$D$20,$F156&lt;='07-Paper Priority'!$C$20))),'07-Paper Priority'!$A$20,"")</f>
        <v>16</v>
      </c>
      <c r="AI156">
        <f>IF(AND('07-Paper Priority'!$A$21&gt;=MATCH($J156,'07-Paper Priority'!$B$5:$B$26,0),OR(AND($E156&lt;='07-Paper Priority'!$C$21,$F156&lt;='07-Paper Priority'!$D$21),AND($E156&lt;='07-Paper Priority'!$D$21,$F156&lt;='07-Paper Priority'!$C$21))),'07-Paper Priority'!$A$21,"")</f>
        <v>17</v>
      </c>
      <c r="AJ156">
        <f>IF(AND('07-Paper Priority'!$A$22&gt;=MATCH($J156,'07-Paper Priority'!$B$5:$B$26,0),OR(AND($E156&lt;='07-Paper Priority'!$C$22,$F156&lt;='07-Paper Priority'!$D$22),AND($E156&lt;='07-Paper Priority'!$D$22,$F156&lt;='07-Paper Priority'!$C$22))),'07-Paper Priority'!$A$22,"")</f>
        <v>18</v>
      </c>
      <c r="AK156">
        <f>IF(AND('07-Paper Priority'!$A$23&gt;=MATCH($J156,'07-Paper Priority'!$B$5:$B$26,0),OR(AND($E156&lt;='07-Paper Priority'!$C$23,$F156&lt;='07-Paper Priority'!$D$23),AND($E156&lt;='07-Paper Priority'!$D$23,$F156&lt;='07-Paper Priority'!$C$23))),'07-Paper Priority'!$A$23,"")</f>
        <v>19</v>
      </c>
      <c r="AL156">
        <f>IF(AND('07-Paper Priority'!$A$24&gt;=MATCH($J156,'07-Paper Priority'!$B$5:$B$26,0),OR(AND($E156&lt;='07-Paper Priority'!$C$24,$F156&lt;='07-Paper Priority'!$D$24),AND($E156&lt;='07-Paper Priority'!$D$24,$F156&lt;='07-Paper Priority'!$C$24))),'07-Paper Priority'!$A$24,"")</f>
        <v>20</v>
      </c>
      <c r="AM156">
        <f>IF(AND('07-Paper Priority'!$A$25&gt;=MATCH($J156,'07-Paper Priority'!$B$5:$B$26,0),OR(AND($E156&lt;='07-Paper Priority'!$C$25,$F156&lt;='07-Paper Priority'!$D$25),AND($E156&lt;='07-Paper Priority'!$D$25,$F156&lt;='07-Paper Priority'!$C$25))),'07-Paper Priority'!$A$25,"")</f>
        <v>21</v>
      </c>
      <c r="AN156">
        <f>IF(AND('07-Paper Priority'!$A$26&gt;=MATCH($J156,'07-Paper Priority'!$B$5:$B$26,0),OR(AND($E156&lt;='07-Paper Priority'!$C$26,$F156&lt;='07-Paper Priority'!$D$26),AND($E156&lt;='07-Paper Priority'!$D$26,$F156&lt;='07-Paper Priority'!$C$26))),'07-Paper Priority'!$A$26,"")</f>
        <v>22</v>
      </c>
    </row>
    <row r="157" spans="1:40" ht="33.950000000000003" customHeight="1">
      <c r="A157" s="22" t="s">
        <v>2560</v>
      </c>
      <c r="B157" s="22" t="s">
        <v>2548</v>
      </c>
      <c r="C157" s="22" t="s">
        <v>2549</v>
      </c>
      <c r="D157" s="22" t="s">
        <v>2550</v>
      </c>
      <c r="E157" s="23">
        <v>200</v>
      </c>
      <c r="F157" s="23">
        <v>200</v>
      </c>
      <c r="G157" s="22" t="s">
        <v>2561</v>
      </c>
      <c r="H157" s="22" t="s">
        <v>2562</v>
      </c>
      <c r="I157" s="24" t="s">
        <v>2553</v>
      </c>
      <c r="J157" s="25" t="s">
        <v>504</v>
      </c>
      <c r="K157" s="26" t="str">
        <f>IF(COUNT(S157:AN157)=0,"NO FIT",INDEX('07-Paper Priority'!$B$5:$B$26,MIN(S157:AN157)))</f>
        <v>A4</v>
      </c>
      <c r="L157" s="26" t="str">
        <f>IF($K157="NO FIT","",IF(AND($E157&lt;=INDEX('07-Paper Priority'!$C$5:$C$26,MATCH($K157,'07-Paper Priority'!$B$5:$B$26,0)),$F157&lt;=INDEX('07-Paper Priority'!$D$5:$D$26,MATCH($K157,'07-Paper Priority'!$B$5:$B$26,0))),"PORTRAIT","ROTATED"))</f>
        <v>PORTRAIT</v>
      </c>
      <c r="M157" s="27">
        <f>IF($K157="NO FIT","",IF($L157="PORTRAIT",INDEX('07-Paper Priority'!$C$5:$C$26,MATCH($K157,'07-Paper Priority'!$B$5:$B$26,0)),INDEX('07-Paper Priority'!$D$5:$D$26,MATCH($K157,'07-Paper Priority'!$B$5:$B$26,0))))</f>
        <v>210</v>
      </c>
      <c r="N157" s="27">
        <f>IF($K157="NO FIT","",IF($L157="PORTRAIT",INDEX('07-Paper Priority'!$D$5:$D$26,MATCH($K157,'07-Paper Priority'!$B$5:$B$26,0)),INDEX('07-Paper Priority'!$C$5:$C$26,MATCH($K157,'07-Paper Priority'!$B$5:$B$26,0))))</f>
        <v>297</v>
      </c>
      <c r="O157" s="27">
        <f>IF($K157="NO FIT","",$M157-$E157)</f>
        <v>10</v>
      </c>
      <c r="P157" s="27">
        <f>IF($K157="NO FIT","",$N157-$F157)</f>
        <v>97</v>
      </c>
      <c r="Q157" s="28" t="str">
        <f>IF($K157="NO FIT","REVIEW - NO PAPER FIT",IF(OR($O157&lt;0,$P157&lt;0),"ERROR - FIT",IF(COUNTIF('02-Printing Size'!$A$2:$A$2169,$K157)=0,"ERROR - CODE MISSING","VALID - LOWEST PAPER")))</f>
        <v>VALID - LOWEST PAPER</v>
      </c>
      <c r="R157" s="22" t="s">
        <v>2563</v>
      </c>
      <c r="S157" t="str">
        <f>IF(AND('07-Paper Priority'!$A$5&gt;=MATCH($J157,'07-Paper Priority'!$B$5:$B$26,0),OR(AND($E157&lt;='07-Paper Priority'!$C$5,$F157&lt;='07-Paper Priority'!$D$5),AND($E157&lt;='07-Paper Priority'!$D$5,$F157&lt;='07-Paper Priority'!$C$5))),'07-Paper Priority'!$A$5,"")</f>
        <v/>
      </c>
      <c r="T157" t="str">
        <f>IF(AND('07-Paper Priority'!$A$6&gt;=MATCH($J157,'07-Paper Priority'!$B$5:$B$26,0),OR(AND($E157&lt;='07-Paper Priority'!$C$6,$F157&lt;='07-Paper Priority'!$D$6),AND($E157&lt;='07-Paper Priority'!$D$6,$F157&lt;='07-Paper Priority'!$C$6))),'07-Paper Priority'!$A$6,"")</f>
        <v/>
      </c>
      <c r="U157" t="str">
        <f>IF(AND('07-Paper Priority'!$A$7&gt;=MATCH($J157,'07-Paper Priority'!$B$5:$B$26,0),OR(AND($E157&lt;='07-Paper Priority'!$C$7,$F157&lt;='07-Paper Priority'!$D$7),AND($E157&lt;='07-Paper Priority'!$D$7,$F157&lt;='07-Paper Priority'!$C$7))),'07-Paper Priority'!$A$7,"")</f>
        <v/>
      </c>
      <c r="V157" t="str">
        <f>IF(AND('07-Paper Priority'!$A$8&gt;=MATCH($J157,'07-Paper Priority'!$B$5:$B$26,0),OR(AND($E157&lt;='07-Paper Priority'!$C$8,$F157&lt;='07-Paper Priority'!$D$8),AND($E157&lt;='07-Paper Priority'!$D$8,$F157&lt;='07-Paper Priority'!$C$8))),'07-Paper Priority'!$A$8,"")</f>
        <v/>
      </c>
      <c r="W157" t="str">
        <f>IF(AND('07-Paper Priority'!$A$9&gt;=MATCH($J157,'07-Paper Priority'!$B$5:$B$26,0),OR(AND($E157&lt;='07-Paper Priority'!$C$9,$F157&lt;='07-Paper Priority'!$D$9),AND($E157&lt;='07-Paper Priority'!$D$9,$F157&lt;='07-Paper Priority'!$C$9))),'07-Paper Priority'!$A$9,"")</f>
        <v/>
      </c>
      <c r="X157" t="str">
        <f>IF(AND('07-Paper Priority'!$A$10&gt;=MATCH($J157,'07-Paper Priority'!$B$5:$B$26,0),OR(AND($E157&lt;='07-Paper Priority'!$C$10,$F157&lt;='07-Paper Priority'!$D$10),AND($E157&lt;='07-Paper Priority'!$D$10,$F157&lt;='07-Paper Priority'!$C$10))),'07-Paper Priority'!$A$10,"")</f>
        <v/>
      </c>
      <c r="Y157" t="str">
        <f>IF(AND('07-Paper Priority'!$A$11&gt;=MATCH($J157,'07-Paper Priority'!$B$5:$B$26,0),OR(AND($E157&lt;='07-Paper Priority'!$C$11,$F157&lt;='07-Paper Priority'!$D$11),AND($E157&lt;='07-Paper Priority'!$D$11,$F157&lt;='07-Paper Priority'!$C$11))),'07-Paper Priority'!$A$11,"")</f>
        <v/>
      </c>
      <c r="Z157" t="str">
        <f>IF(AND('07-Paper Priority'!$A$12&gt;=MATCH($J157,'07-Paper Priority'!$B$5:$B$26,0),OR(AND($E157&lt;='07-Paper Priority'!$C$12,$F157&lt;='07-Paper Priority'!$D$12),AND($E157&lt;='07-Paper Priority'!$D$12,$F157&lt;='07-Paper Priority'!$C$12))),'07-Paper Priority'!$A$12,"")</f>
        <v/>
      </c>
      <c r="AA157" t="str">
        <f>IF(AND('07-Paper Priority'!$A$13&gt;=MATCH($J157,'07-Paper Priority'!$B$5:$B$26,0),OR(AND($E157&lt;='07-Paper Priority'!$C$13,$F157&lt;='07-Paper Priority'!$D$13),AND($E157&lt;='07-Paper Priority'!$D$13,$F157&lt;='07-Paper Priority'!$C$13))),'07-Paper Priority'!$A$13,"")</f>
        <v/>
      </c>
      <c r="AB157" t="str">
        <f>IF(AND('07-Paper Priority'!$A$14&gt;=MATCH($J157,'07-Paper Priority'!$B$5:$B$26,0),OR(AND($E157&lt;='07-Paper Priority'!$C$14,$F157&lt;='07-Paper Priority'!$D$14),AND($E157&lt;='07-Paper Priority'!$D$14,$F157&lt;='07-Paper Priority'!$C$14))),'07-Paper Priority'!$A$14,"")</f>
        <v/>
      </c>
      <c r="AC157" t="str">
        <f>IF(AND('07-Paper Priority'!$A$15&gt;=MATCH($J157,'07-Paper Priority'!$B$5:$B$26,0),OR(AND($E157&lt;='07-Paper Priority'!$C$15,$F157&lt;='07-Paper Priority'!$D$15),AND($E157&lt;='07-Paper Priority'!$D$15,$F157&lt;='07-Paper Priority'!$C$15))),'07-Paper Priority'!$A$15,"")</f>
        <v/>
      </c>
      <c r="AD157" t="str">
        <f>IF(AND('07-Paper Priority'!$A$16&gt;=MATCH($J157,'07-Paper Priority'!$B$5:$B$26,0),OR(AND($E157&lt;='07-Paper Priority'!$C$16,$F157&lt;='07-Paper Priority'!$D$16),AND($E157&lt;='07-Paper Priority'!$D$16,$F157&lt;='07-Paper Priority'!$C$16))),'07-Paper Priority'!$A$16,"")</f>
        <v/>
      </c>
      <c r="AE157">
        <f>IF(AND('07-Paper Priority'!$A$17&gt;=MATCH($J157,'07-Paper Priority'!$B$5:$B$26,0),OR(AND($E157&lt;='07-Paper Priority'!$C$17,$F157&lt;='07-Paper Priority'!$D$17),AND($E157&lt;='07-Paper Priority'!$D$17,$F157&lt;='07-Paper Priority'!$C$17))),'07-Paper Priority'!$A$17,"")</f>
        <v>13</v>
      </c>
      <c r="AF157">
        <f>IF(AND('07-Paper Priority'!$A$18&gt;=MATCH($J157,'07-Paper Priority'!$B$5:$B$26,0),OR(AND($E157&lt;='07-Paper Priority'!$C$18,$F157&lt;='07-Paper Priority'!$D$18),AND($E157&lt;='07-Paper Priority'!$D$18,$F157&lt;='07-Paper Priority'!$C$18))),'07-Paper Priority'!$A$18,"")</f>
        <v>14</v>
      </c>
      <c r="AG157">
        <f>IF(AND('07-Paper Priority'!$A$19&gt;=MATCH($J157,'07-Paper Priority'!$B$5:$B$26,0),OR(AND($E157&lt;='07-Paper Priority'!$C$19,$F157&lt;='07-Paper Priority'!$D$19),AND($E157&lt;='07-Paper Priority'!$D$19,$F157&lt;='07-Paper Priority'!$C$19))),'07-Paper Priority'!$A$19,"")</f>
        <v>15</v>
      </c>
      <c r="AH157">
        <f>IF(AND('07-Paper Priority'!$A$20&gt;=MATCH($J157,'07-Paper Priority'!$B$5:$B$26,0),OR(AND($E157&lt;='07-Paper Priority'!$C$20,$F157&lt;='07-Paper Priority'!$D$20),AND($E157&lt;='07-Paper Priority'!$D$20,$F157&lt;='07-Paper Priority'!$C$20))),'07-Paper Priority'!$A$20,"")</f>
        <v>16</v>
      </c>
      <c r="AI157">
        <f>IF(AND('07-Paper Priority'!$A$21&gt;=MATCH($J157,'07-Paper Priority'!$B$5:$B$26,0),OR(AND($E157&lt;='07-Paper Priority'!$C$21,$F157&lt;='07-Paper Priority'!$D$21),AND($E157&lt;='07-Paper Priority'!$D$21,$F157&lt;='07-Paper Priority'!$C$21))),'07-Paper Priority'!$A$21,"")</f>
        <v>17</v>
      </c>
      <c r="AJ157">
        <f>IF(AND('07-Paper Priority'!$A$22&gt;=MATCH($J157,'07-Paper Priority'!$B$5:$B$26,0),OR(AND($E157&lt;='07-Paper Priority'!$C$22,$F157&lt;='07-Paper Priority'!$D$22),AND($E157&lt;='07-Paper Priority'!$D$22,$F157&lt;='07-Paper Priority'!$C$22))),'07-Paper Priority'!$A$22,"")</f>
        <v>18</v>
      </c>
      <c r="AK157">
        <f>IF(AND('07-Paper Priority'!$A$23&gt;=MATCH($J157,'07-Paper Priority'!$B$5:$B$26,0),OR(AND($E157&lt;='07-Paper Priority'!$C$23,$F157&lt;='07-Paper Priority'!$D$23),AND($E157&lt;='07-Paper Priority'!$D$23,$F157&lt;='07-Paper Priority'!$C$23))),'07-Paper Priority'!$A$23,"")</f>
        <v>19</v>
      </c>
      <c r="AL157">
        <f>IF(AND('07-Paper Priority'!$A$24&gt;=MATCH($J157,'07-Paper Priority'!$B$5:$B$26,0),OR(AND($E157&lt;='07-Paper Priority'!$C$24,$F157&lt;='07-Paper Priority'!$D$24),AND($E157&lt;='07-Paper Priority'!$D$24,$F157&lt;='07-Paper Priority'!$C$24))),'07-Paper Priority'!$A$24,"")</f>
        <v>20</v>
      </c>
      <c r="AM157">
        <f>IF(AND('07-Paper Priority'!$A$25&gt;=MATCH($J157,'07-Paper Priority'!$B$5:$B$26,0),OR(AND($E157&lt;='07-Paper Priority'!$C$25,$F157&lt;='07-Paper Priority'!$D$25),AND($E157&lt;='07-Paper Priority'!$D$25,$F157&lt;='07-Paper Priority'!$C$25))),'07-Paper Priority'!$A$25,"")</f>
        <v>21</v>
      </c>
      <c r="AN157">
        <f>IF(AND('07-Paper Priority'!$A$26&gt;=MATCH($J157,'07-Paper Priority'!$B$5:$B$26,0),OR(AND($E157&lt;='07-Paper Priority'!$C$26,$F157&lt;='07-Paper Priority'!$D$26),AND($E157&lt;='07-Paper Priority'!$D$26,$F157&lt;='07-Paper Priority'!$C$26))),'07-Paper Priority'!$A$26,"")</f>
        <v>22</v>
      </c>
    </row>
    <row r="158" spans="1:40" ht="33.950000000000003" customHeight="1">
      <c r="A158" s="22" t="s">
        <v>2564</v>
      </c>
      <c r="B158" s="22" t="s">
        <v>2548</v>
      </c>
      <c r="C158" s="22" t="s">
        <v>2549</v>
      </c>
      <c r="D158" s="22" t="s">
        <v>2565</v>
      </c>
      <c r="E158" s="23">
        <v>280</v>
      </c>
      <c r="F158" s="23">
        <v>350</v>
      </c>
      <c r="G158" s="22" t="s">
        <v>2566</v>
      </c>
      <c r="H158" s="22" t="s">
        <v>2567</v>
      </c>
      <c r="I158" s="24" t="s">
        <v>2568</v>
      </c>
      <c r="J158" s="25" t="s">
        <v>430</v>
      </c>
      <c r="K158" s="26" t="str">
        <f>IF(COUNT(S158:AN158)=0,"NO FIT",INDEX('07-Paper Priority'!$B$5:$B$26,MIN(S158:AN158)))</f>
        <v>A3</v>
      </c>
      <c r="L158" s="26" t="str">
        <f>IF($K158="NO FIT","",IF(AND($E158&lt;=INDEX('07-Paper Priority'!$C$5:$C$26,MATCH($K158,'07-Paper Priority'!$B$5:$B$26,0)),$F158&lt;=INDEX('07-Paper Priority'!$D$5:$D$26,MATCH($K158,'07-Paper Priority'!$B$5:$B$26,0))),"PORTRAIT","ROTATED"))</f>
        <v>PORTRAIT</v>
      </c>
      <c r="M158" s="27">
        <f>IF($K158="NO FIT","",IF($L158="PORTRAIT",INDEX('07-Paper Priority'!$C$5:$C$26,MATCH($K158,'07-Paper Priority'!$B$5:$B$26,0)),INDEX('07-Paper Priority'!$D$5:$D$26,MATCH($K158,'07-Paper Priority'!$B$5:$B$26,0))))</f>
        <v>297</v>
      </c>
      <c r="N158" s="27">
        <f>IF($K158="NO FIT","",IF($L158="PORTRAIT",INDEX('07-Paper Priority'!$D$5:$D$26,MATCH($K158,'07-Paper Priority'!$B$5:$B$26,0)),INDEX('07-Paper Priority'!$C$5:$C$26,MATCH($K158,'07-Paper Priority'!$B$5:$B$26,0))))</f>
        <v>420</v>
      </c>
      <c r="O158" s="27">
        <f>IF($K158="NO FIT","",$M158-$E158)</f>
        <v>17</v>
      </c>
      <c r="P158" s="27">
        <f>IF($K158="NO FIT","",$N158-$F158)</f>
        <v>70</v>
      </c>
      <c r="Q158" s="28" t="str">
        <f>IF($K158="NO FIT","REVIEW - NO PAPER FIT",IF(OR($O158&lt;0,$P158&lt;0),"ERROR - FIT",IF(COUNTIF('02-Printing Size'!$A$2:$A$2169,$K158)=0,"ERROR - CODE MISSING","VALID - LOWEST PAPER")))</f>
        <v>VALID - LOWEST PAPER</v>
      </c>
      <c r="R158" s="22" t="s">
        <v>2569</v>
      </c>
      <c r="S158" t="str">
        <f>IF(AND('07-Paper Priority'!$A$5&gt;=MATCH($J158,'07-Paper Priority'!$B$5:$B$26,0),OR(AND($E158&lt;='07-Paper Priority'!$C$5,$F158&lt;='07-Paper Priority'!$D$5),AND($E158&lt;='07-Paper Priority'!$D$5,$F158&lt;='07-Paper Priority'!$C$5))),'07-Paper Priority'!$A$5,"")</f>
        <v/>
      </c>
      <c r="T158" t="str">
        <f>IF(AND('07-Paper Priority'!$A$6&gt;=MATCH($J158,'07-Paper Priority'!$B$5:$B$26,0),OR(AND($E158&lt;='07-Paper Priority'!$C$6,$F158&lt;='07-Paper Priority'!$D$6),AND($E158&lt;='07-Paper Priority'!$D$6,$F158&lt;='07-Paper Priority'!$C$6))),'07-Paper Priority'!$A$6,"")</f>
        <v/>
      </c>
      <c r="U158" t="str">
        <f>IF(AND('07-Paper Priority'!$A$7&gt;=MATCH($J158,'07-Paper Priority'!$B$5:$B$26,0),OR(AND($E158&lt;='07-Paper Priority'!$C$7,$F158&lt;='07-Paper Priority'!$D$7),AND($E158&lt;='07-Paper Priority'!$D$7,$F158&lt;='07-Paper Priority'!$C$7))),'07-Paper Priority'!$A$7,"")</f>
        <v/>
      </c>
      <c r="V158" t="str">
        <f>IF(AND('07-Paper Priority'!$A$8&gt;=MATCH($J158,'07-Paper Priority'!$B$5:$B$26,0),OR(AND($E158&lt;='07-Paper Priority'!$C$8,$F158&lt;='07-Paper Priority'!$D$8),AND($E158&lt;='07-Paper Priority'!$D$8,$F158&lt;='07-Paper Priority'!$C$8))),'07-Paper Priority'!$A$8,"")</f>
        <v/>
      </c>
      <c r="W158" t="str">
        <f>IF(AND('07-Paper Priority'!$A$9&gt;=MATCH($J158,'07-Paper Priority'!$B$5:$B$26,0),OR(AND($E158&lt;='07-Paper Priority'!$C$9,$F158&lt;='07-Paper Priority'!$D$9),AND($E158&lt;='07-Paper Priority'!$D$9,$F158&lt;='07-Paper Priority'!$C$9))),'07-Paper Priority'!$A$9,"")</f>
        <v/>
      </c>
      <c r="X158" t="str">
        <f>IF(AND('07-Paper Priority'!$A$10&gt;=MATCH($J158,'07-Paper Priority'!$B$5:$B$26,0),OR(AND($E158&lt;='07-Paper Priority'!$C$10,$F158&lt;='07-Paper Priority'!$D$10),AND($E158&lt;='07-Paper Priority'!$D$10,$F158&lt;='07-Paper Priority'!$C$10))),'07-Paper Priority'!$A$10,"")</f>
        <v/>
      </c>
      <c r="Y158" t="str">
        <f>IF(AND('07-Paper Priority'!$A$11&gt;=MATCH($J158,'07-Paper Priority'!$B$5:$B$26,0),OR(AND($E158&lt;='07-Paper Priority'!$C$11,$F158&lt;='07-Paper Priority'!$D$11),AND($E158&lt;='07-Paper Priority'!$D$11,$F158&lt;='07-Paper Priority'!$C$11))),'07-Paper Priority'!$A$11,"")</f>
        <v/>
      </c>
      <c r="Z158" t="str">
        <f>IF(AND('07-Paper Priority'!$A$12&gt;=MATCH($J158,'07-Paper Priority'!$B$5:$B$26,0),OR(AND($E158&lt;='07-Paper Priority'!$C$12,$F158&lt;='07-Paper Priority'!$D$12),AND($E158&lt;='07-Paper Priority'!$D$12,$F158&lt;='07-Paper Priority'!$C$12))),'07-Paper Priority'!$A$12,"")</f>
        <v/>
      </c>
      <c r="AA158" t="str">
        <f>IF(AND('07-Paper Priority'!$A$13&gt;=MATCH($J158,'07-Paper Priority'!$B$5:$B$26,0),OR(AND($E158&lt;='07-Paper Priority'!$C$13,$F158&lt;='07-Paper Priority'!$D$13),AND($E158&lt;='07-Paper Priority'!$D$13,$F158&lt;='07-Paper Priority'!$C$13))),'07-Paper Priority'!$A$13,"")</f>
        <v/>
      </c>
      <c r="AB158" t="str">
        <f>IF(AND('07-Paper Priority'!$A$14&gt;=MATCH($J158,'07-Paper Priority'!$B$5:$B$26,0),OR(AND($E158&lt;='07-Paper Priority'!$C$14,$F158&lt;='07-Paper Priority'!$D$14),AND($E158&lt;='07-Paper Priority'!$D$14,$F158&lt;='07-Paper Priority'!$C$14))),'07-Paper Priority'!$A$14,"")</f>
        <v/>
      </c>
      <c r="AC158" t="str">
        <f>IF(AND('07-Paper Priority'!$A$15&gt;=MATCH($J158,'07-Paper Priority'!$B$5:$B$26,0),OR(AND($E158&lt;='07-Paper Priority'!$C$15,$F158&lt;='07-Paper Priority'!$D$15),AND($E158&lt;='07-Paper Priority'!$D$15,$F158&lt;='07-Paper Priority'!$C$15))),'07-Paper Priority'!$A$15,"")</f>
        <v/>
      </c>
      <c r="AD158" t="str">
        <f>IF(AND('07-Paper Priority'!$A$16&gt;=MATCH($J158,'07-Paper Priority'!$B$5:$B$26,0),OR(AND($E158&lt;='07-Paper Priority'!$C$16,$F158&lt;='07-Paper Priority'!$D$16),AND($E158&lt;='07-Paper Priority'!$D$16,$F158&lt;='07-Paper Priority'!$C$16))),'07-Paper Priority'!$A$16,"")</f>
        <v/>
      </c>
      <c r="AE158" t="str">
        <f>IF(AND('07-Paper Priority'!$A$17&gt;=MATCH($J158,'07-Paper Priority'!$B$5:$B$26,0),OR(AND($E158&lt;='07-Paper Priority'!$C$17,$F158&lt;='07-Paper Priority'!$D$17),AND($E158&lt;='07-Paper Priority'!$D$17,$F158&lt;='07-Paper Priority'!$C$17))),'07-Paper Priority'!$A$17,"")</f>
        <v/>
      </c>
      <c r="AF158" t="str">
        <f>IF(AND('07-Paper Priority'!$A$18&gt;=MATCH($J158,'07-Paper Priority'!$B$5:$B$26,0),OR(AND($E158&lt;='07-Paper Priority'!$C$18,$F158&lt;='07-Paper Priority'!$D$18),AND($E158&lt;='07-Paper Priority'!$D$18,$F158&lt;='07-Paper Priority'!$C$18))),'07-Paper Priority'!$A$18,"")</f>
        <v/>
      </c>
      <c r="AG158">
        <f>IF(AND('07-Paper Priority'!$A$19&gt;=MATCH($J158,'07-Paper Priority'!$B$5:$B$26,0),OR(AND($E158&lt;='07-Paper Priority'!$C$19,$F158&lt;='07-Paper Priority'!$D$19),AND($E158&lt;='07-Paper Priority'!$D$19,$F158&lt;='07-Paper Priority'!$C$19))),'07-Paper Priority'!$A$19,"")</f>
        <v>15</v>
      </c>
      <c r="AH158">
        <f>IF(AND('07-Paper Priority'!$A$20&gt;=MATCH($J158,'07-Paper Priority'!$B$5:$B$26,0),OR(AND($E158&lt;='07-Paper Priority'!$C$20,$F158&lt;='07-Paper Priority'!$D$20),AND($E158&lt;='07-Paper Priority'!$D$20,$F158&lt;='07-Paper Priority'!$C$20))),'07-Paper Priority'!$A$20,"")</f>
        <v>16</v>
      </c>
      <c r="AI158">
        <f>IF(AND('07-Paper Priority'!$A$21&gt;=MATCH($J158,'07-Paper Priority'!$B$5:$B$26,0),OR(AND($E158&lt;='07-Paper Priority'!$C$21,$F158&lt;='07-Paper Priority'!$D$21),AND($E158&lt;='07-Paper Priority'!$D$21,$F158&lt;='07-Paper Priority'!$C$21))),'07-Paper Priority'!$A$21,"")</f>
        <v>17</v>
      </c>
      <c r="AJ158">
        <f>IF(AND('07-Paper Priority'!$A$22&gt;=MATCH($J158,'07-Paper Priority'!$B$5:$B$26,0),OR(AND($E158&lt;='07-Paper Priority'!$C$22,$F158&lt;='07-Paper Priority'!$D$22),AND($E158&lt;='07-Paper Priority'!$D$22,$F158&lt;='07-Paper Priority'!$C$22))),'07-Paper Priority'!$A$22,"")</f>
        <v>18</v>
      </c>
      <c r="AK158">
        <f>IF(AND('07-Paper Priority'!$A$23&gt;=MATCH($J158,'07-Paper Priority'!$B$5:$B$26,0),OR(AND($E158&lt;='07-Paper Priority'!$C$23,$F158&lt;='07-Paper Priority'!$D$23),AND($E158&lt;='07-Paper Priority'!$D$23,$F158&lt;='07-Paper Priority'!$C$23))),'07-Paper Priority'!$A$23,"")</f>
        <v>19</v>
      </c>
      <c r="AL158">
        <f>IF(AND('07-Paper Priority'!$A$24&gt;=MATCH($J158,'07-Paper Priority'!$B$5:$B$26,0),OR(AND($E158&lt;='07-Paper Priority'!$C$24,$F158&lt;='07-Paper Priority'!$D$24),AND($E158&lt;='07-Paper Priority'!$D$24,$F158&lt;='07-Paper Priority'!$C$24))),'07-Paper Priority'!$A$24,"")</f>
        <v>20</v>
      </c>
      <c r="AM158">
        <f>IF(AND('07-Paper Priority'!$A$25&gt;=MATCH($J158,'07-Paper Priority'!$B$5:$B$26,0),OR(AND($E158&lt;='07-Paper Priority'!$C$25,$F158&lt;='07-Paper Priority'!$D$25),AND($E158&lt;='07-Paper Priority'!$D$25,$F158&lt;='07-Paper Priority'!$C$25))),'07-Paper Priority'!$A$25,"")</f>
        <v>21</v>
      </c>
      <c r="AN158">
        <f>IF(AND('07-Paper Priority'!$A$26&gt;=MATCH($J158,'07-Paper Priority'!$B$5:$B$26,0),OR(AND($E158&lt;='07-Paper Priority'!$C$26,$F158&lt;='07-Paper Priority'!$D$26),AND($E158&lt;='07-Paper Priority'!$D$26,$F158&lt;='07-Paper Priority'!$C$26))),'07-Paper Priority'!$A$26,"")</f>
        <v>22</v>
      </c>
    </row>
    <row r="159" spans="1:40" ht="33.950000000000003" customHeight="1">
      <c r="A159" s="22" t="s">
        <v>2570</v>
      </c>
      <c r="B159" s="22" t="s">
        <v>2548</v>
      </c>
      <c r="C159" s="22" t="s">
        <v>2549</v>
      </c>
      <c r="D159" s="22" t="s">
        <v>2571</v>
      </c>
      <c r="E159" s="23">
        <v>318</v>
      </c>
      <c r="F159" s="23">
        <v>432</v>
      </c>
      <c r="G159" s="22" t="s">
        <v>2572</v>
      </c>
      <c r="H159" s="22" t="s">
        <v>2573</v>
      </c>
      <c r="I159" s="24" t="s">
        <v>2568</v>
      </c>
      <c r="J159" s="25" t="s">
        <v>1906</v>
      </c>
      <c r="K159" s="26" t="str">
        <f>IF(COUNT(S159:AN159)=0,"NO FIT",INDEX('07-Paper Priority'!$B$5:$B$26,MIN(S159:AN159)))</f>
        <v>B3</v>
      </c>
      <c r="L159" s="26" t="str">
        <f>IF($K159="NO FIT","",IF(AND($E159&lt;=INDEX('07-Paper Priority'!$C$5:$C$26,MATCH($K159,'07-Paper Priority'!$B$5:$B$26,0)),$F159&lt;=INDEX('07-Paper Priority'!$D$5:$D$26,MATCH($K159,'07-Paper Priority'!$B$5:$B$26,0))),"PORTRAIT","ROTATED"))</f>
        <v>PORTRAIT</v>
      </c>
      <c r="M159" s="27">
        <f>IF($K159="NO FIT","",IF($L159="PORTRAIT",INDEX('07-Paper Priority'!$C$5:$C$26,MATCH($K159,'07-Paper Priority'!$B$5:$B$26,0)),INDEX('07-Paper Priority'!$D$5:$D$26,MATCH($K159,'07-Paper Priority'!$B$5:$B$26,0))))</f>
        <v>353</v>
      </c>
      <c r="N159" s="27">
        <f>IF($K159="NO FIT","",IF($L159="PORTRAIT",INDEX('07-Paper Priority'!$D$5:$D$26,MATCH($K159,'07-Paper Priority'!$B$5:$B$26,0)),INDEX('07-Paper Priority'!$C$5:$C$26,MATCH($K159,'07-Paper Priority'!$B$5:$B$26,0))))</f>
        <v>500</v>
      </c>
      <c r="O159" s="27">
        <f>IF($K159="NO FIT","",$M159-$E159)</f>
        <v>35</v>
      </c>
      <c r="P159" s="27">
        <f>IF($K159="NO FIT","",$N159-$F159)</f>
        <v>68</v>
      </c>
      <c r="Q159" s="28" t="str">
        <f>IF($K159="NO FIT","REVIEW - NO PAPER FIT",IF(OR($O159&lt;0,$P159&lt;0),"ERROR - FIT",IF(COUNTIF('02-Printing Size'!$A$2:$A$2169,$K159)=0,"ERROR - CODE MISSING","VALID - LOWEST PAPER")))</f>
        <v>VALID - LOWEST PAPER</v>
      </c>
      <c r="R159" s="22" t="s">
        <v>2574</v>
      </c>
      <c r="S159" t="str">
        <f>IF(AND('07-Paper Priority'!$A$5&gt;=MATCH($J159,'07-Paper Priority'!$B$5:$B$26,0),OR(AND($E159&lt;='07-Paper Priority'!$C$5,$F159&lt;='07-Paper Priority'!$D$5),AND($E159&lt;='07-Paper Priority'!$D$5,$F159&lt;='07-Paper Priority'!$C$5))),'07-Paper Priority'!$A$5,"")</f>
        <v/>
      </c>
      <c r="T159" t="str">
        <f>IF(AND('07-Paper Priority'!$A$6&gt;=MATCH($J159,'07-Paper Priority'!$B$5:$B$26,0),OR(AND($E159&lt;='07-Paper Priority'!$C$6,$F159&lt;='07-Paper Priority'!$D$6),AND($E159&lt;='07-Paper Priority'!$D$6,$F159&lt;='07-Paper Priority'!$C$6))),'07-Paper Priority'!$A$6,"")</f>
        <v/>
      </c>
      <c r="U159" t="str">
        <f>IF(AND('07-Paper Priority'!$A$7&gt;=MATCH($J159,'07-Paper Priority'!$B$5:$B$26,0),OR(AND($E159&lt;='07-Paper Priority'!$C$7,$F159&lt;='07-Paper Priority'!$D$7),AND($E159&lt;='07-Paper Priority'!$D$7,$F159&lt;='07-Paper Priority'!$C$7))),'07-Paper Priority'!$A$7,"")</f>
        <v/>
      </c>
      <c r="V159" t="str">
        <f>IF(AND('07-Paper Priority'!$A$8&gt;=MATCH($J159,'07-Paper Priority'!$B$5:$B$26,0),OR(AND($E159&lt;='07-Paper Priority'!$C$8,$F159&lt;='07-Paper Priority'!$D$8),AND($E159&lt;='07-Paper Priority'!$D$8,$F159&lt;='07-Paper Priority'!$C$8))),'07-Paper Priority'!$A$8,"")</f>
        <v/>
      </c>
      <c r="W159" t="str">
        <f>IF(AND('07-Paper Priority'!$A$9&gt;=MATCH($J159,'07-Paper Priority'!$B$5:$B$26,0),OR(AND($E159&lt;='07-Paper Priority'!$C$9,$F159&lt;='07-Paper Priority'!$D$9),AND($E159&lt;='07-Paper Priority'!$D$9,$F159&lt;='07-Paper Priority'!$C$9))),'07-Paper Priority'!$A$9,"")</f>
        <v/>
      </c>
      <c r="X159" t="str">
        <f>IF(AND('07-Paper Priority'!$A$10&gt;=MATCH($J159,'07-Paper Priority'!$B$5:$B$26,0),OR(AND($E159&lt;='07-Paper Priority'!$C$10,$F159&lt;='07-Paper Priority'!$D$10),AND($E159&lt;='07-Paper Priority'!$D$10,$F159&lt;='07-Paper Priority'!$C$10))),'07-Paper Priority'!$A$10,"")</f>
        <v/>
      </c>
      <c r="Y159" t="str">
        <f>IF(AND('07-Paper Priority'!$A$11&gt;=MATCH($J159,'07-Paper Priority'!$B$5:$B$26,0),OR(AND($E159&lt;='07-Paper Priority'!$C$11,$F159&lt;='07-Paper Priority'!$D$11),AND($E159&lt;='07-Paper Priority'!$D$11,$F159&lt;='07-Paper Priority'!$C$11))),'07-Paper Priority'!$A$11,"")</f>
        <v/>
      </c>
      <c r="Z159" t="str">
        <f>IF(AND('07-Paper Priority'!$A$12&gt;=MATCH($J159,'07-Paper Priority'!$B$5:$B$26,0),OR(AND($E159&lt;='07-Paper Priority'!$C$12,$F159&lt;='07-Paper Priority'!$D$12),AND($E159&lt;='07-Paper Priority'!$D$12,$F159&lt;='07-Paper Priority'!$C$12))),'07-Paper Priority'!$A$12,"")</f>
        <v/>
      </c>
      <c r="AA159" t="str">
        <f>IF(AND('07-Paper Priority'!$A$13&gt;=MATCH($J159,'07-Paper Priority'!$B$5:$B$26,0),OR(AND($E159&lt;='07-Paper Priority'!$C$13,$F159&lt;='07-Paper Priority'!$D$13),AND($E159&lt;='07-Paper Priority'!$D$13,$F159&lt;='07-Paper Priority'!$C$13))),'07-Paper Priority'!$A$13,"")</f>
        <v/>
      </c>
      <c r="AB159" t="str">
        <f>IF(AND('07-Paper Priority'!$A$14&gt;=MATCH($J159,'07-Paper Priority'!$B$5:$B$26,0),OR(AND($E159&lt;='07-Paper Priority'!$C$14,$F159&lt;='07-Paper Priority'!$D$14),AND($E159&lt;='07-Paper Priority'!$D$14,$F159&lt;='07-Paper Priority'!$C$14))),'07-Paper Priority'!$A$14,"")</f>
        <v/>
      </c>
      <c r="AC159" t="str">
        <f>IF(AND('07-Paper Priority'!$A$15&gt;=MATCH($J159,'07-Paper Priority'!$B$5:$B$26,0),OR(AND($E159&lt;='07-Paper Priority'!$C$15,$F159&lt;='07-Paper Priority'!$D$15),AND($E159&lt;='07-Paper Priority'!$D$15,$F159&lt;='07-Paper Priority'!$C$15))),'07-Paper Priority'!$A$15,"")</f>
        <v/>
      </c>
      <c r="AD159" t="str">
        <f>IF(AND('07-Paper Priority'!$A$16&gt;=MATCH($J159,'07-Paper Priority'!$B$5:$B$26,0),OR(AND($E159&lt;='07-Paper Priority'!$C$16,$F159&lt;='07-Paper Priority'!$D$16),AND($E159&lt;='07-Paper Priority'!$D$16,$F159&lt;='07-Paper Priority'!$C$16))),'07-Paper Priority'!$A$16,"")</f>
        <v/>
      </c>
      <c r="AE159" t="str">
        <f>IF(AND('07-Paper Priority'!$A$17&gt;=MATCH($J159,'07-Paper Priority'!$B$5:$B$26,0),OR(AND($E159&lt;='07-Paper Priority'!$C$17,$F159&lt;='07-Paper Priority'!$D$17),AND($E159&lt;='07-Paper Priority'!$D$17,$F159&lt;='07-Paper Priority'!$C$17))),'07-Paper Priority'!$A$17,"")</f>
        <v/>
      </c>
      <c r="AF159" t="str">
        <f>IF(AND('07-Paper Priority'!$A$18&gt;=MATCH($J159,'07-Paper Priority'!$B$5:$B$26,0),OR(AND($E159&lt;='07-Paper Priority'!$C$18,$F159&lt;='07-Paper Priority'!$D$18),AND($E159&lt;='07-Paper Priority'!$D$18,$F159&lt;='07-Paper Priority'!$C$18))),'07-Paper Priority'!$A$18,"")</f>
        <v/>
      </c>
      <c r="AG159" t="str">
        <f>IF(AND('07-Paper Priority'!$A$19&gt;=MATCH($J159,'07-Paper Priority'!$B$5:$B$26,0),OR(AND($E159&lt;='07-Paper Priority'!$C$19,$F159&lt;='07-Paper Priority'!$D$19),AND($E159&lt;='07-Paper Priority'!$D$19,$F159&lt;='07-Paper Priority'!$C$19))),'07-Paper Priority'!$A$19,"")</f>
        <v/>
      </c>
      <c r="AH159">
        <f>IF(AND('07-Paper Priority'!$A$20&gt;=MATCH($J159,'07-Paper Priority'!$B$5:$B$26,0),OR(AND($E159&lt;='07-Paper Priority'!$C$20,$F159&lt;='07-Paper Priority'!$D$20),AND($E159&lt;='07-Paper Priority'!$D$20,$F159&lt;='07-Paper Priority'!$C$20))),'07-Paper Priority'!$A$20,"")</f>
        <v>16</v>
      </c>
      <c r="AI159">
        <f>IF(AND('07-Paper Priority'!$A$21&gt;=MATCH($J159,'07-Paper Priority'!$B$5:$B$26,0),OR(AND($E159&lt;='07-Paper Priority'!$C$21,$F159&lt;='07-Paper Priority'!$D$21),AND($E159&lt;='07-Paper Priority'!$D$21,$F159&lt;='07-Paper Priority'!$C$21))),'07-Paper Priority'!$A$21,"")</f>
        <v>17</v>
      </c>
      <c r="AJ159">
        <f>IF(AND('07-Paper Priority'!$A$22&gt;=MATCH($J159,'07-Paper Priority'!$B$5:$B$26,0),OR(AND($E159&lt;='07-Paper Priority'!$C$22,$F159&lt;='07-Paper Priority'!$D$22),AND($E159&lt;='07-Paper Priority'!$D$22,$F159&lt;='07-Paper Priority'!$C$22))),'07-Paper Priority'!$A$22,"")</f>
        <v>18</v>
      </c>
      <c r="AK159">
        <f>IF(AND('07-Paper Priority'!$A$23&gt;=MATCH($J159,'07-Paper Priority'!$B$5:$B$26,0),OR(AND($E159&lt;='07-Paper Priority'!$C$23,$F159&lt;='07-Paper Priority'!$D$23),AND($E159&lt;='07-Paper Priority'!$D$23,$F159&lt;='07-Paper Priority'!$C$23))),'07-Paper Priority'!$A$23,"")</f>
        <v>19</v>
      </c>
      <c r="AL159">
        <f>IF(AND('07-Paper Priority'!$A$24&gt;=MATCH($J159,'07-Paper Priority'!$B$5:$B$26,0),OR(AND($E159&lt;='07-Paper Priority'!$C$24,$F159&lt;='07-Paper Priority'!$D$24),AND($E159&lt;='07-Paper Priority'!$D$24,$F159&lt;='07-Paper Priority'!$C$24))),'07-Paper Priority'!$A$24,"")</f>
        <v>20</v>
      </c>
      <c r="AM159">
        <f>IF(AND('07-Paper Priority'!$A$25&gt;=MATCH($J159,'07-Paper Priority'!$B$5:$B$26,0),OR(AND($E159&lt;='07-Paper Priority'!$C$25,$F159&lt;='07-Paper Priority'!$D$25),AND($E159&lt;='07-Paper Priority'!$D$25,$F159&lt;='07-Paper Priority'!$C$25))),'07-Paper Priority'!$A$25,"")</f>
        <v>21</v>
      </c>
      <c r="AN159">
        <f>IF(AND('07-Paper Priority'!$A$26&gt;=MATCH($J159,'07-Paper Priority'!$B$5:$B$26,0),OR(AND($E159&lt;='07-Paper Priority'!$C$26,$F159&lt;='07-Paper Priority'!$D$26),AND($E159&lt;='07-Paper Priority'!$D$26,$F159&lt;='07-Paper Priority'!$C$26))),'07-Paper Priority'!$A$26,"")</f>
        <v>22</v>
      </c>
    </row>
    <row r="160" spans="1:40" ht="33.950000000000003" customHeight="1">
      <c r="A160" s="22" t="s">
        <v>2575</v>
      </c>
      <c r="B160" s="22" t="s">
        <v>2548</v>
      </c>
      <c r="C160" s="22" t="s">
        <v>2549</v>
      </c>
      <c r="D160" s="22" t="s">
        <v>2571</v>
      </c>
      <c r="E160" s="23">
        <v>350</v>
      </c>
      <c r="F160" s="23">
        <v>150</v>
      </c>
      <c r="G160" s="22" t="s">
        <v>2576</v>
      </c>
      <c r="H160" s="22" t="s">
        <v>2577</v>
      </c>
      <c r="I160" s="24" t="s">
        <v>2558</v>
      </c>
      <c r="J160" s="25" t="s">
        <v>1980</v>
      </c>
      <c r="K160" s="26" t="str">
        <f>IF(COUNT(S160:AN160)=0,"NO FIT",INDEX('07-Paper Priority'!$B$5:$B$26,MIN(S160:AN160)))</f>
        <v>B4</v>
      </c>
      <c r="L160" s="26" t="str">
        <f>IF($K160="NO FIT","",IF(AND($E160&lt;=INDEX('07-Paper Priority'!$C$5:$C$26,MATCH($K160,'07-Paper Priority'!$B$5:$B$26,0)),$F160&lt;=INDEX('07-Paper Priority'!$D$5:$D$26,MATCH($K160,'07-Paper Priority'!$B$5:$B$26,0))),"PORTRAIT","ROTATED"))</f>
        <v>ROTATED</v>
      </c>
      <c r="M160" s="27">
        <f>IF($K160="NO FIT","",IF($L160="PORTRAIT",INDEX('07-Paper Priority'!$C$5:$C$26,MATCH($K160,'07-Paper Priority'!$B$5:$B$26,0)),INDEX('07-Paper Priority'!$D$5:$D$26,MATCH($K160,'07-Paper Priority'!$B$5:$B$26,0))))</f>
        <v>353</v>
      </c>
      <c r="N160" s="27">
        <f>IF($K160="NO FIT","",IF($L160="PORTRAIT",INDEX('07-Paper Priority'!$D$5:$D$26,MATCH($K160,'07-Paper Priority'!$B$5:$B$26,0)),INDEX('07-Paper Priority'!$C$5:$C$26,MATCH($K160,'07-Paper Priority'!$B$5:$B$26,0))))</f>
        <v>250</v>
      </c>
      <c r="O160" s="27">
        <f>IF($K160="NO FIT","",$M160-$E160)</f>
        <v>3</v>
      </c>
      <c r="P160" s="27">
        <f>IF($K160="NO FIT","",$N160-$F160)</f>
        <v>100</v>
      </c>
      <c r="Q160" s="28" t="str">
        <f>IF($K160="NO FIT","REVIEW - NO PAPER FIT",IF(OR($O160&lt;0,$P160&lt;0),"ERROR - FIT",IF(COUNTIF('02-Printing Size'!$A$2:$A$2169,$K160)=0,"ERROR - CODE MISSING","VALID - LOWEST PAPER")))</f>
        <v>VALID - LOWEST PAPER</v>
      </c>
      <c r="R160" s="22" t="s">
        <v>2578</v>
      </c>
      <c r="S160" t="str">
        <f>IF(AND('07-Paper Priority'!$A$5&gt;=MATCH($J160,'07-Paper Priority'!$B$5:$B$26,0),OR(AND($E160&lt;='07-Paper Priority'!$C$5,$F160&lt;='07-Paper Priority'!$D$5),AND($E160&lt;='07-Paper Priority'!$D$5,$F160&lt;='07-Paper Priority'!$C$5))),'07-Paper Priority'!$A$5,"")</f>
        <v/>
      </c>
      <c r="T160" t="str">
        <f>IF(AND('07-Paper Priority'!$A$6&gt;=MATCH($J160,'07-Paper Priority'!$B$5:$B$26,0),OR(AND($E160&lt;='07-Paper Priority'!$C$6,$F160&lt;='07-Paper Priority'!$D$6),AND($E160&lt;='07-Paper Priority'!$D$6,$F160&lt;='07-Paper Priority'!$C$6))),'07-Paper Priority'!$A$6,"")</f>
        <v/>
      </c>
      <c r="U160" t="str">
        <f>IF(AND('07-Paper Priority'!$A$7&gt;=MATCH($J160,'07-Paper Priority'!$B$5:$B$26,0),OR(AND($E160&lt;='07-Paper Priority'!$C$7,$F160&lt;='07-Paper Priority'!$D$7),AND($E160&lt;='07-Paper Priority'!$D$7,$F160&lt;='07-Paper Priority'!$C$7))),'07-Paper Priority'!$A$7,"")</f>
        <v/>
      </c>
      <c r="V160" t="str">
        <f>IF(AND('07-Paper Priority'!$A$8&gt;=MATCH($J160,'07-Paper Priority'!$B$5:$B$26,0),OR(AND($E160&lt;='07-Paper Priority'!$C$8,$F160&lt;='07-Paper Priority'!$D$8),AND($E160&lt;='07-Paper Priority'!$D$8,$F160&lt;='07-Paper Priority'!$C$8))),'07-Paper Priority'!$A$8,"")</f>
        <v/>
      </c>
      <c r="W160" t="str">
        <f>IF(AND('07-Paper Priority'!$A$9&gt;=MATCH($J160,'07-Paper Priority'!$B$5:$B$26,0),OR(AND($E160&lt;='07-Paper Priority'!$C$9,$F160&lt;='07-Paper Priority'!$D$9),AND($E160&lt;='07-Paper Priority'!$D$9,$F160&lt;='07-Paper Priority'!$C$9))),'07-Paper Priority'!$A$9,"")</f>
        <v/>
      </c>
      <c r="X160" t="str">
        <f>IF(AND('07-Paper Priority'!$A$10&gt;=MATCH($J160,'07-Paper Priority'!$B$5:$B$26,0),OR(AND($E160&lt;='07-Paper Priority'!$C$10,$F160&lt;='07-Paper Priority'!$D$10),AND($E160&lt;='07-Paper Priority'!$D$10,$F160&lt;='07-Paper Priority'!$C$10))),'07-Paper Priority'!$A$10,"")</f>
        <v/>
      </c>
      <c r="Y160" t="str">
        <f>IF(AND('07-Paper Priority'!$A$11&gt;=MATCH($J160,'07-Paper Priority'!$B$5:$B$26,0),OR(AND($E160&lt;='07-Paper Priority'!$C$11,$F160&lt;='07-Paper Priority'!$D$11),AND($E160&lt;='07-Paper Priority'!$D$11,$F160&lt;='07-Paper Priority'!$C$11))),'07-Paper Priority'!$A$11,"")</f>
        <v/>
      </c>
      <c r="Z160" t="str">
        <f>IF(AND('07-Paper Priority'!$A$12&gt;=MATCH($J160,'07-Paper Priority'!$B$5:$B$26,0),OR(AND($E160&lt;='07-Paper Priority'!$C$12,$F160&lt;='07-Paper Priority'!$D$12),AND($E160&lt;='07-Paper Priority'!$D$12,$F160&lt;='07-Paper Priority'!$C$12))),'07-Paper Priority'!$A$12,"")</f>
        <v/>
      </c>
      <c r="AA160" t="str">
        <f>IF(AND('07-Paper Priority'!$A$13&gt;=MATCH($J160,'07-Paper Priority'!$B$5:$B$26,0),OR(AND($E160&lt;='07-Paper Priority'!$C$13,$F160&lt;='07-Paper Priority'!$D$13),AND($E160&lt;='07-Paper Priority'!$D$13,$F160&lt;='07-Paper Priority'!$C$13))),'07-Paper Priority'!$A$13,"")</f>
        <v/>
      </c>
      <c r="AB160" t="str">
        <f>IF(AND('07-Paper Priority'!$A$14&gt;=MATCH($J160,'07-Paper Priority'!$B$5:$B$26,0),OR(AND($E160&lt;='07-Paper Priority'!$C$14,$F160&lt;='07-Paper Priority'!$D$14),AND($E160&lt;='07-Paper Priority'!$D$14,$F160&lt;='07-Paper Priority'!$C$14))),'07-Paper Priority'!$A$14,"")</f>
        <v/>
      </c>
      <c r="AC160" t="str">
        <f>IF(AND('07-Paper Priority'!$A$15&gt;=MATCH($J160,'07-Paper Priority'!$B$5:$B$26,0),OR(AND($E160&lt;='07-Paper Priority'!$C$15,$F160&lt;='07-Paper Priority'!$D$15),AND($E160&lt;='07-Paper Priority'!$D$15,$F160&lt;='07-Paper Priority'!$C$15))),'07-Paper Priority'!$A$15,"")</f>
        <v/>
      </c>
      <c r="AD160" t="str">
        <f>IF(AND('07-Paper Priority'!$A$16&gt;=MATCH($J160,'07-Paper Priority'!$B$5:$B$26,0),OR(AND($E160&lt;='07-Paper Priority'!$C$16,$F160&lt;='07-Paper Priority'!$D$16),AND($E160&lt;='07-Paper Priority'!$D$16,$F160&lt;='07-Paper Priority'!$C$16))),'07-Paper Priority'!$A$16,"")</f>
        <v/>
      </c>
      <c r="AE160" t="str">
        <f>IF(AND('07-Paper Priority'!$A$17&gt;=MATCH($J160,'07-Paper Priority'!$B$5:$B$26,0),OR(AND($E160&lt;='07-Paper Priority'!$C$17,$F160&lt;='07-Paper Priority'!$D$17),AND($E160&lt;='07-Paper Priority'!$D$17,$F160&lt;='07-Paper Priority'!$C$17))),'07-Paper Priority'!$A$17,"")</f>
        <v/>
      </c>
      <c r="AF160">
        <f>IF(AND('07-Paper Priority'!$A$18&gt;=MATCH($J160,'07-Paper Priority'!$B$5:$B$26,0),OR(AND($E160&lt;='07-Paper Priority'!$C$18,$F160&lt;='07-Paper Priority'!$D$18),AND($E160&lt;='07-Paper Priority'!$D$18,$F160&lt;='07-Paper Priority'!$C$18))),'07-Paper Priority'!$A$18,"")</f>
        <v>14</v>
      </c>
      <c r="AG160">
        <f>IF(AND('07-Paper Priority'!$A$19&gt;=MATCH($J160,'07-Paper Priority'!$B$5:$B$26,0),OR(AND($E160&lt;='07-Paper Priority'!$C$19,$F160&lt;='07-Paper Priority'!$D$19),AND($E160&lt;='07-Paper Priority'!$D$19,$F160&lt;='07-Paper Priority'!$C$19))),'07-Paper Priority'!$A$19,"")</f>
        <v>15</v>
      </c>
      <c r="AH160">
        <f>IF(AND('07-Paper Priority'!$A$20&gt;=MATCH($J160,'07-Paper Priority'!$B$5:$B$26,0),OR(AND($E160&lt;='07-Paper Priority'!$C$20,$F160&lt;='07-Paper Priority'!$D$20),AND($E160&lt;='07-Paper Priority'!$D$20,$F160&lt;='07-Paper Priority'!$C$20))),'07-Paper Priority'!$A$20,"")</f>
        <v>16</v>
      </c>
      <c r="AI160">
        <f>IF(AND('07-Paper Priority'!$A$21&gt;=MATCH($J160,'07-Paper Priority'!$B$5:$B$26,0),OR(AND($E160&lt;='07-Paper Priority'!$C$21,$F160&lt;='07-Paper Priority'!$D$21),AND($E160&lt;='07-Paper Priority'!$D$21,$F160&lt;='07-Paper Priority'!$C$21))),'07-Paper Priority'!$A$21,"")</f>
        <v>17</v>
      </c>
      <c r="AJ160">
        <f>IF(AND('07-Paper Priority'!$A$22&gt;=MATCH($J160,'07-Paper Priority'!$B$5:$B$26,0),OR(AND($E160&lt;='07-Paper Priority'!$C$22,$F160&lt;='07-Paper Priority'!$D$22),AND($E160&lt;='07-Paper Priority'!$D$22,$F160&lt;='07-Paper Priority'!$C$22))),'07-Paper Priority'!$A$22,"")</f>
        <v>18</v>
      </c>
      <c r="AK160">
        <f>IF(AND('07-Paper Priority'!$A$23&gt;=MATCH($J160,'07-Paper Priority'!$B$5:$B$26,0),OR(AND($E160&lt;='07-Paper Priority'!$C$23,$F160&lt;='07-Paper Priority'!$D$23),AND($E160&lt;='07-Paper Priority'!$D$23,$F160&lt;='07-Paper Priority'!$C$23))),'07-Paper Priority'!$A$23,"")</f>
        <v>19</v>
      </c>
      <c r="AL160">
        <f>IF(AND('07-Paper Priority'!$A$24&gt;=MATCH($J160,'07-Paper Priority'!$B$5:$B$26,0),OR(AND($E160&lt;='07-Paper Priority'!$C$24,$F160&lt;='07-Paper Priority'!$D$24),AND($E160&lt;='07-Paper Priority'!$D$24,$F160&lt;='07-Paper Priority'!$C$24))),'07-Paper Priority'!$A$24,"")</f>
        <v>20</v>
      </c>
      <c r="AM160">
        <f>IF(AND('07-Paper Priority'!$A$25&gt;=MATCH($J160,'07-Paper Priority'!$B$5:$B$26,0),OR(AND($E160&lt;='07-Paper Priority'!$C$25,$F160&lt;='07-Paper Priority'!$D$25),AND($E160&lt;='07-Paper Priority'!$D$25,$F160&lt;='07-Paper Priority'!$C$25))),'07-Paper Priority'!$A$25,"")</f>
        <v>21</v>
      </c>
      <c r="AN160">
        <f>IF(AND('07-Paper Priority'!$A$26&gt;=MATCH($J160,'07-Paper Priority'!$B$5:$B$26,0),OR(AND($E160&lt;='07-Paper Priority'!$C$26,$F160&lt;='07-Paper Priority'!$D$26),AND($E160&lt;='07-Paper Priority'!$D$26,$F160&lt;='07-Paper Priority'!$C$26))),'07-Paper Priority'!$A$26,"")</f>
        <v>22</v>
      </c>
    </row>
    <row r="161" spans="1:40" ht="33.950000000000003" customHeight="1">
      <c r="A161" s="22" t="s">
        <v>2579</v>
      </c>
      <c r="B161" s="22" t="s">
        <v>2548</v>
      </c>
      <c r="C161" s="22" t="s">
        <v>2549</v>
      </c>
      <c r="D161" s="22" t="s">
        <v>2565</v>
      </c>
      <c r="E161" s="23">
        <v>300</v>
      </c>
      <c r="F161" s="23">
        <v>380</v>
      </c>
      <c r="G161" s="22" t="s">
        <v>2580</v>
      </c>
      <c r="H161" s="22" t="s">
        <v>2581</v>
      </c>
      <c r="I161" s="24" t="s">
        <v>2553</v>
      </c>
      <c r="J161" s="25" t="s">
        <v>1906</v>
      </c>
      <c r="K161" s="26" t="str">
        <f>IF(COUNT(S161:AN161)=0,"NO FIT",INDEX('07-Paper Priority'!$B$5:$B$26,MIN(S161:AN161)))</f>
        <v>B3</v>
      </c>
      <c r="L161" s="26" t="str">
        <f>IF($K161="NO FIT","",IF(AND($E161&lt;=INDEX('07-Paper Priority'!$C$5:$C$26,MATCH($K161,'07-Paper Priority'!$B$5:$B$26,0)),$F161&lt;=INDEX('07-Paper Priority'!$D$5:$D$26,MATCH($K161,'07-Paper Priority'!$B$5:$B$26,0))),"PORTRAIT","ROTATED"))</f>
        <v>PORTRAIT</v>
      </c>
      <c r="M161" s="27">
        <f>IF($K161="NO FIT","",IF($L161="PORTRAIT",INDEX('07-Paper Priority'!$C$5:$C$26,MATCH($K161,'07-Paper Priority'!$B$5:$B$26,0)),INDEX('07-Paper Priority'!$D$5:$D$26,MATCH($K161,'07-Paper Priority'!$B$5:$B$26,0))))</f>
        <v>353</v>
      </c>
      <c r="N161" s="27">
        <f>IF($K161="NO FIT","",IF($L161="PORTRAIT",INDEX('07-Paper Priority'!$D$5:$D$26,MATCH($K161,'07-Paper Priority'!$B$5:$B$26,0)),INDEX('07-Paper Priority'!$C$5:$C$26,MATCH($K161,'07-Paper Priority'!$B$5:$B$26,0))))</f>
        <v>500</v>
      </c>
      <c r="O161" s="27">
        <f>IF($K161="NO FIT","",$M161-$E161)</f>
        <v>53</v>
      </c>
      <c r="P161" s="27">
        <f>IF($K161="NO FIT","",$N161-$F161)</f>
        <v>120</v>
      </c>
      <c r="Q161" s="28" t="str">
        <f>IF($K161="NO FIT","REVIEW - NO PAPER FIT",IF(OR($O161&lt;0,$P161&lt;0),"ERROR - FIT",IF(COUNTIF('02-Printing Size'!$A$2:$A$2169,$K161)=0,"ERROR - CODE MISSING","VALID - LOWEST PAPER")))</f>
        <v>VALID - LOWEST PAPER</v>
      </c>
      <c r="R161" s="22" t="s">
        <v>2582</v>
      </c>
      <c r="S161" t="str">
        <f>IF(AND('07-Paper Priority'!$A$5&gt;=MATCH($J161,'07-Paper Priority'!$B$5:$B$26,0),OR(AND($E161&lt;='07-Paper Priority'!$C$5,$F161&lt;='07-Paper Priority'!$D$5),AND($E161&lt;='07-Paper Priority'!$D$5,$F161&lt;='07-Paper Priority'!$C$5))),'07-Paper Priority'!$A$5,"")</f>
        <v/>
      </c>
      <c r="T161" t="str">
        <f>IF(AND('07-Paper Priority'!$A$6&gt;=MATCH($J161,'07-Paper Priority'!$B$5:$B$26,0),OR(AND($E161&lt;='07-Paper Priority'!$C$6,$F161&lt;='07-Paper Priority'!$D$6),AND($E161&lt;='07-Paper Priority'!$D$6,$F161&lt;='07-Paper Priority'!$C$6))),'07-Paper Priority'!$A$6,"")</f>
        <v/>
      </c>
      <c r="U161" t="str">
        <f>IF(AND('07-Paper Priority'!$A$7&gt;=MATCH($J161,'07-Paper Priority'!$B$5:$B$26,0),OR(AND($E161&lt;='07-Paper Priority'!$C$7,$F161&lt;='07-Paper Priority'!$D$7),AND($E161&lt;='07-Paper Priority'!$D$7,$F161&lt;='07-Paper Priority'!$C$7))),'07-Paper Priority'!$A$7,"")</f>
        <v/>
      </c>
      <c r="V161" t="str">
        <f>IF(AND('07-Paper Priority'!$A$8&gt;=MATCH($J161,'07-Paper Priority'!$B$5:$B$26,0),OR(AND($E161&lt;='07-Paper Priority'!$C$8,$F161&lt;='07-Paper Priority'!$D$8),AND($E161&lt;='07-Paper Priority'!$D$8,$F161&lt;='07-Paper Priority'!$C$8))),'07-Paper Priority'!$A$8,"")</f>
        <v/>
      </c>
      <c r="W161" t="str">
        <f>IF(AND('07-Paper Priority'!$A$9&gt;=MATCH($J161,'07-Paper Priority'!$B$5:$B$26,0),OR(AND($E161&lt;='07-Paper Priority'!$C$9,$F161&lt;='07-Paper Priority'!$D$9),AND($E161&lt;='07-Paper Priority'!$D$9,$F161&lt;='07-Paper Priority'!$C$9))),'07-Paper Priority'!$A$9,"")</f>
        <v/>
      </c>
      <c r="X161" t="str">
        <f>IF(AND('07-Paper Priority'!$A$10&gt;=MATCH($J161,'07-Paper Priority'!$B$5:$B$26,0),OR(AND($E161&lt;='07-Paper Priority'!$C$10,$F161&lt;='07-Paper Priority'!$D$10),AND($E161&lt;='07-Paper Priority'!$D$10,$F161&lt;='07-Paper Priority'!$C$10))),'07-Paper Priority'!$A$10,"")</f>
        <v/>
      </c>
      <c r="Y161" t="str">
        <f>IF(AND('07-Paper Priority'!$A$11&gt;=MATCH($J161,'07-Paper Priority'!$B$5:$B$26,0),OR(AND($E161&lt;='07-Paper Priority'!$C$11,$F161&lt;='07-Paper Priority'!$D$11),AND($E161&lt;='07-Paper Priority'!$D$11,$F161&lt;='07-Paper Priority'!$C$11))),'07-Paper Priority'!$A$11,"")</f>
        <v/>
      </c>
      <c r="Z161" t="str">
        <f>IF(AND('07-Paper Priority'!$A$12&gt;=MATCH($J161,'07-Paper Priority'!$B$5:$B$26,0),OR(AND($E161&lt;='07-Paper Priority'!$C$12,$F161&lt;='07-Paper Priority'!$D$12),AND($E161&lt;='07-Paper Priority'!$D$12,$F161&lt;='07-Paper Priority'!$C$12))),'07-Paper Priority'!$A$12,"")</f>
        <v/>
      </c>
      <c r="AA161" t="str">
        <f>IF(AND('07-Paper Priority'!$A$13&gt;=MATCH($J161,'07-Paper Priority'!$B$5:$B$26,0),OR(AND($E161&lt;='07-Paper Priority'!$C$13,$F161&lt;='07-Paper Priority'!$D$13),AND($E161&lt;='07-Paper Priority'!$D$13,$F161&lt;='07-Paper Priority'!$C$13))),'07-Paper Priority'!$A$13,"")</f>
        <v/>
      </c>
      <c r="AB161" t="str">
        <f>IF(AND('07-Paper Priority'!$A$14&gt;=MATCH($J161,'07-Paper Priority'!$B$5:$B$26,0),OR(AND($E161&lt;='07-Paper Priority'!$C$14,$F161&lt;='07-Paper Priority'!$D$14),AND($E161&lt;='07-Paper Priority'!$D$14,$F161&lt;='07-Paper Priority'!$C$14))),'07-Paper Priority'!$A$14,"")</f>
        <v/>
      </c>
      <c r="AC161" t="str">
        <f>IF(AND('07-Paper Priority'!$A$15&gt;=MATCH($J161,'07-Paper Priority'!$B$5:$B$26,0),OR(AND($E161&lt;='07-Paper Priority'!$C$15,$F161&lt;='07-Paper Priority'!$D$15),AND($E161&lt;='07-Paper Priority'!$D$15,$F161&lt;='07-Paper Priority'!$C$15))),'07-Paper Priority'!$A$15,"")</f>
        <v/>
      </c>
      <c r="AD161" t="str">
        <f>IF(AND('07-Paper Priority'!$A$16&gt;=MATCH($J161,'07-Paper Priority'!$B$5:$B$26,0),OR(AND($E161&lt;='07-Paper Priority'!$C$16,$F161&lt;='07-Paper Priority'!$D$16),AND($E161&lt;='07-Paper Priority'!$D$16,$F161&lt;='07-Paper Priority'!$C$16))),'07-Paper Priority'!$A$16,"")</f>
        <v/>
      </c>
      <c r="AE161" t="str">
        <f>IF(AND('07-Paper Priority'!$A$17&gt;=MATCH($J161,'07-Paper Priority'!$B$5:$B$26,0),OR(AND($E161&lt;='07-Paper Priority'!$C$17,$F161&lt;='07-Paper Priority'!$D$17),AND($E161&lt;='07-Paper Priority'!$D$17,$F161&lt;='07-Paper Priority'!$C$17))),'07-Paper Priority'!$A$17,"")</f>
        <v/>
      </c>
      <c r="AF161" t="str">
        <f>IF(AND('07-Paper Priority'!$A$18&gt;=MATCH($J161,'07-Paper Priority'!$B$5:$B$26,0),OR(AND($E161&lt;='07-Paper Priority'!$C$18,$F161&lt;='07-Paper Priority'!$D$18),AND($E161&lt;='07-Paper Priority'!$D$18,$F161&lt;='07-Paper Priority'!$C$18))),'07-Paper Priority'!$A$18,"")</f>
        <v/>
      </c>
      <c r="AG161" t="str">
        <f>IF(AND('07-Paper Priority'!$A$19&gt;=MATCH($J161,'07-Paper Priority'!$B$5:$B$26,0),OR(AND($E161&lt;='07-Paper Priority'!$C$19,$F161&lt;='07-Paper Priority'!$D$19),AND($E161&lt;='07-Paper Priority'!$D$19,$F161&lt;='07-Paper Priority'!$C$19))),'07-Paper Priority'!$A$19,"")</f>
        <v/>
      </c>
      <c r="AH161">
        <f>IF(AND('07-Paper Priority'!$A$20&gt;=MATCH($J161,'07-Paper Priority'!$B$5:$B$26,0),OR(AND($E161&lt;='07-Paper Priority'!$C$20,$F161&lt;='07-Paper Priority'!$D$20),AND($E161&lt;='07-Paper Priority'!$D$20,$F161&lt;='07-Paper Priority'!$C$20))),'07-Paper Priority'!$A$20,"")</f>
        <v>16</v>
      </c>
      <c r="AI161">
        <f>IF(AND('07-Paper Priority'!$A$21&gt;=MATCH($J161,'07-Paper Priority'!$B$5:$B$26,0),OR(AND($E161&lt;='07-Paper Priority'!$C$21,$F161&lt;='07-Paper Priority'!$D$21),AND($E161&lt;='07-Paper Priority'!$D$21,$F161&lt;='07-Paper Priority'!$C$21))),'07-Paper Priority'!$A$21,"")</f>
        <v>17</v>
      </c>
      <c r="AJ161">
        <f>IF(AND('07-Paper Priority'!$A$22&gt;=MATCH($J161,'07-Paper Priority'!$B$5:$B$26,0),OR(AND($E161&lt;='07-Paper Priority'!$C$22,$F161&lt;='07-Paper Priority'!$D$22),AND($E161&lt;='07-Paper Priority'!$D$22,$F161&lt;='07-Paper Priority'!$C$22))),'07-Paper Priority'!$A$22,"")</f>
        <v>18</v>
      </c>
      <c r="AK161">
        <f>IF(AND('07-Paper Priority'!$A$23&gt;=MATCH($J161,'07-Paper Priority'!$B$5:$B$26,0),OR(AND($E161&lt;='07-Paper Priority'!$C$23,$F161&lt;='07-Paper Priority'!$D$23),AND($E161&lt;='07-Paper Priority'!$D$23,$F161&lt;='07-Paper Priority'!$C$23))),'07-Paper Priority'!$A$23,"")</f>
        <v>19</v>
      </c>
      <c r="AL161">
        <f>IF(AND('07-Paper Priority'!$A$24&gt;=MATCH($J161,'07-Paper Priority'!$B$5:$B$26,0),OR(AND($E161&lt;='07-Paper Priority'!$C$24,$F161&lt;='07-Paper Priority'!$D$24),AND($E161&lt;='07-Paper Priority'!$D$24,$F161&lt;='07-Paper Priority'!$C$24))),'07-Paper Priority'!$A$24,"")</f>
        <v>20</v>
      </c>
      <c r="AM161">
        <f>IF(AND('07-Paper Priority'!$A$25&gt;=MATCH($J161,'07-Paper Priority'!$B$5:$B$26,0),OR(AND($E161&lt;='07-Paper Priority'!$C$25,$F161&lt;='07-Paper Priority'!$D$25),AND($E161&lt;='07-Paper Priority'!$D$25,$F161&lt;='07-Paper Priority'!$C$25))),'07-Paper Priority'!$A$25,"")</f>
        <v>21</v>
      </c>
      <c r="AN161">
        <f>IF(AND('07-Paper Priority'!$A$26&gt;=MATCH($J161,'07-Paper Priority'!$B$5:$B$26,0),OR(AND($E161&lt;='07-Paper Priority'!$C$26,$F161&lt;='07-Paper Priority'!$D$26),AND($E161&lt;='07-Paper Priority'!$D$26,$F161&lt;='07-Paper Priority'!$C$26))),'07-Paper Priority'!$A$26,"")</f>
        <v>22</v>
      </c>
    </row>
    <row r="162" spans="1:40" ht="33.950000000000003" customHeight="1">
      <c r="A162" s="22" t="s">
        <v>2583</v>
      </c>
      <c r="B162" s="22" t="s">
        <v>2548</v>
      </c>
      <c r="C162" s="22" t="s">
        <v>2549</v>
      </c>
      <c r="D162" s="22" t="s">
        <v>2571</v>
      </c>
      <c r="E162" s="23">
        <v>340</v>
      </c>
      <c r="F162" s="23">
        <v>430</v>
      </c>
      <c r="G162" s="22" t="s">
        <v>2584</v>
      </c>
      <c r="H162" s="22" t="s">
        <v>2585</v>
      </c>
      <c r="I162" s="24" t="s">
        <v>2558</v>
      </c>
      <c r="J162" s="25" t="s">
        <v>1906</v>
      </c>
      <c r="K162" s="26" t="str">
        <f>IF(COUNT(S162:AN162)=0,"NO FIT",INDEX('07-Paper Priority'!$B$5:$B$26,MIN(S162:AN162)))</f>
        <v>B3</v>
      </c>
      <c r="L162" s="26" t="str">
        <f>IF($K162="NO FIT","",IF(AND($E162&lt;=INDEX('07-Paper Priority'!$C$5:$C$26,MATCH($K162,'07-Paper Priority'!$B$5:$B$26,0)),$F162&lt;=INDEX('07-Paper Priority'!$D$5:$D$26,MATCH($K162,'07-Paper Priority'!$B$5:$B$26,0))),"PORTRAIT","ROTATED"))</f>
        <v>PORTRAIT</v>
      </c>
      <c r="M162" s="27">
        <f>IF($K162="NO FIT","",IF($L162="PORTRAIT",INDEX('07-Paper Priority'!$C$5:$C$26,MATCH($K162,'07-Paper Priority'!$B$5:$B$26,0)),INDEX('07-Paper Priority'!$D$5:$D$26,MATCH($K162,'07-Paper Priority'!$B$5:$B$26,0))))</f>
        <v>353</v>
      </c>
      <c r="N162" s="27">
        <f>IF($K162="NO FIT","",IF($L162="PORTRAIT",INDEX('07-Paper Priority'!$D$5:$D$26,MATCH($K162,'07-Paper Priority'!$B$5:$B$26,0)),INDEX('07-Paper Priority'!$C$5:$C$26,MATCH($K162,'07-Paper Priority'!$B$5:$B$26,0))))</f>
        <v>500</v>
      </c>
      <c r="O162" s="27">
        <f>IF($K162="NO FIT","",$M162-$E162)</f>
        <v>13</v>
      </c>
      <c r="P162" s="27">
        <f>IF($K162="NO FIT","",$N162-$F162)</f>
        <v>70</v>
      </c>
      <c r="Q162" s="28" t="str">
        <f>IF($K162="NO FIT","REVIEW - NO PAPER FIT",IF(OR($O162&lt;0,$P162&lt;0),"ERROR - FIT",IF(COUNTIF('02-Printing Size'!$A$2:$A$2169,$K162)=0,"ERROR - CODE MISSING","VALID - LOWEST PAPER")))</f>
        <v>VALID - LOWEST PAPER</v>
      </c>
      <c r="R162" s="22" t="s">
        <v>2586</v>
      </c>
      <c r="S162" t="str">
        <f>IF(AND('07-Paper Priority'!$A$5&gt;=MATCH($J162,'07-Paper Priority'!$B$5:$B$26,0),OR(AND($E162&lt;='07-Paper Priority'!$C$5,$F162&lt;='07-Paper Priority'!$D$5),AND($E162&lt;='07-Paper Priority'!$D$5,$F162&lt;='07-Paper Priority'!$C$5))),'07-Paper Priority'!$A$5,"")</f>
        <v/>
      </c>
      <c r="T162" t="str">
        <f>IF(AND('07-Paper Priority'!$A$6&gt;=MATCH($J162,'07-Paper Priority'!$B$5:$B$26,0),OR(AND($E162&lt;='07-Paper Priority'!$C$6,$F162&lt;='07-Paper Priority'!$D$6),AND($E162&lt;='07-Paper Priority'!$D$6,$F162&lt;='07-Paper Priority'!$C$6))),'07-Paper Priority'!$A$6,"")</f>
        <v/>
      </c>
      <c r="U162" t="str">
        <f>IF(AND('07-Paper Priority'!$A$7&gt;=MATCH($J162,'07-Paper Priority'!$B$5:$B$26,0),OR(AND($E162&lt;='07-Paper Priority'!$C$7,$F162&lt;='07-Paper Priority'!$D$7),AND($E162&lt;='07-Paper Priority'!$D$7,$F162&lt;='07-Paper Priority'!$C$7))),'07-Paper Priority'!$A$7,"")</f>
        <v/>
      </c>
      <c r="V162" t="str">
        <f>IF(AND('07-Paper Priority'!$A$8&gt;=MATCH($J162,'07-Paper Priority'!$B$5:$B$26,0),OR(AND($E162&lt;='07-Paper Priority'!$C$8,$F162&lt;='07-Paper Priority'!$D$8),AND($E162&lt;='07-Paper Priority'!$D$8,$F162&lt;='07-Paper Priority'!$C$8))),'07-Paper Priority'!$A$8,"")</f>
        <v/>
      </c>
      <c r="W162" t="str">
        <f>IF(AND('07-Paper Priority'!$A$9&gt;=MATCH($J162,'07-Paper Priority'!$B$5:$B$26,0),OR(AND($E162&lt;='07-Paper Priority'!$C$9,$F162&lt;='07-Paper Priority'!$D$9),AND($E162&lt;='07-Paper Priority'!$D$9,$F162&lt;='07-Paper Priority'!$C$9))),'07-Paper Priority'!$A$9,"")</f>
        <v/>
      </c>
      <c r="X162" t="str">
        <f>IF(AND('07-Paper Priority'!$A$10&gt;=MATCH($J162,'07-Paper Priority'!$B$5:$B$26,0),OR(AND($E162&lt;='07-Paper Priority'!$C$10,$F162&lt;='07-Paper Priority'!$D$10),AND($E162&lt;='07-Paper Priority'!$D$10,$F162&lt;='07-Paper Priority'!$C$10))),'07-Paper Priority'!$A$10,"")</f>
        <v/>
      </c>
      <c r="Y162" t="str">
        <f>IF(AND('07-Paper Priority'!$A$11&gt;=MATCH($J162,'07-Paper Priority'!$B$5:$B$26,0),OR(AND($E162&lt;='07-Paper Priority'!$C$11,$F162&lt;='07-Paper Priority'!$D$11),AND($E162&lt;='07-Paper Priority'!$D$11,$F162&lt;='07-Paper Priority'!$C$11))),'07-Paper Priority'!$A$11,"")</f>
        <v/>
      </c>
      <c r="Z162" t="str">
        <f>IF(AND('07-Paper Priority'!$A$12&gt;=MATCH($J162,'07-Paper Priority'!$B$5:$B$26,0),OR(AND($E162&lt;='07-Paper Priority'!$C$12,$F162&lt;='07-Paper Priority'!$D$12),AND($E162&lt;='07-Paper Priority'!$D$12,$F162&lt;='07-Paper Priority'!$C$12))),'07-Paper Priority'!$A$12,"")</f>
        <v/>
      </c>
      <c r="AA162" t="str">
        <f>IF(AND('07-Paper Priority'!$A$13&gt;=MATCH($J162,'07-Paper Priority'!$B$5:$B$26,0),OR(AND($E162&lt;='07-Paper Priority'!$C$13,$F162&lt;='07-Paper Priority'!$D$13),AND($E162&lt;='07-Paper Priority'!$D$13,$F162&lt;='07-Paper Priority'!$C$13))),'07-Paper Priority'!$A$13,"")</f>
        <v/>
      </c>
      <c r="AB162" t="str">
        <f>IF(AND('07-Paper Priority'!$A$14&gt;=MATCH($J162,'07-Paper Priority'!$B$5:$B$26,0),OR(AND($E162&lt;='07-Paper Priority'!$C$14,$F162&lt;='07-Paper Priority'!$D$14),AND($E162&lt;='07-Paper Priority'!$D$14,$F162&lt;='07-Paper Priority'!$C$14))),'07-Paper Priority'!$A$14,"")</f>
        <v/>
      </c>
      <c r="AC162" t="str">
        <f>IF(AND('07-Paper Priority'!$A$15&gt;=MATCH($J162,'07-Paper Priority'!$B$5:$B$26,0),OR(AND($E162&lt;='07-Paper Priority'!$C$15,$F162&lt;='07-Paper Priority'!$D$15),AND($E162&lt;='07-Paper Priority'!$D$15,$F162&lt;='07-Paper Priority'!$C$15))),'07-Paper Priority'!$A$15,"")</f>
        <v/>
      </c>
      <c r="AD162" t="str">
        <f>IF(AND('07-Paper Priority'!$A$16&gt;=MATCH($J162,'07-Paper Priority'!$B$5:$B$26,0),OR(AND($E162&lt;='07-Paper Priority'!$C$16,$F162&lt;='07-Paper Priority'!$D$16),AND($E162&lt;='07-Paper Priority'!$D$16,$F162&lt;='07-Paper Priority'!$C$16))),'07-Paper Priority'!$A$16,"")</f>
        <v/>
      </c>
      <c r="AE162" t="str">
        <f>IF(AND('07-Paper Priority'!$A$17&gt;=MATCH($J162,'07-Paper Priority'!$B$5:$B$26,0),OR(AND($E162&lt;='07-Paper Priority'!$C$17,$F162&lt;='07-Paper Priority'!$D$17),AND($E162&lt;='07-Paper Priority'!$D$17,$F162&lt;='07-Paper Priority'!$C$17))),'07-Paper Priority'!$A$17,"")</f>
        <v/>
      </c>
      <c r="AF162" t="str">
        <f>IF(AND('07-Paper Priority'!$A$18&gt;=MATCH($J162,'07-Paper Priority'!$B$5:$B$26,0),OR(AND($E162&lt;='07-Paper Priority'!$C$18,$F162&lt;='07-Paper Priority'!$D$18),AND($E162&lt;='07-Paper Priority'!$D$18,$F162&lt;='07-Paper Priority'!$C$18))),'07-Paper Priority'!$A$18,"")</f>
        <v/>
      </c>
      <c r="AG162" t="str">
        <f>IF(AND('07-Paper Priority'!$A$19&gt;=MATCH($J162,'07-Paper Priority'!$B$5:$B$26,0),OR(AND($E162&lt;='07-Paper Priority'!$C$19,$F162&lt;='07-Paper Priority'!$D$19),AND($E162&lt;='07-Paper Priority'!$D$19,$F162&lt;='07-Paper Priority'!$C$19))),'07-Paper Priority'!$A$19,"")</f>
        <v/>
      </c>
      <c r="AH162">
        <f>IF(AND('07-Paper Priority'!$A$20&gt;=MATCH($J162,'07-Paper Priority'!$B$5:$B$26,0),OR(AND($E162&lt;='07-Paper Priority'!$C$20,$F162&lt;='07-Paper Priority'!$D$20),AND($E162&lt;='07-Paper Priority'!$D$20,$F162&lt;='07-Paper Priority'!$C$20))),'07-Paper Priority'!$A$20,"")</f>
        <v>16</v>
      </c>
      <c r="AI162">
        <f>IF(AND('07-Paper Priority'!$A$21&gt;=MATCH($J162,'07-Paper Priority'!$B$5:$B$26,0),OR(AND($E162&lt;='07-Paper Priority'!$C$21,$F162&lt;='07-Paper Priority'!$D$21),AND($E162&lt;='07-Paper Priority'!$D$21,$F162&lt;='07-Paper Priority'!$C$21))),'07-Paper Priority'!$A$21,"")</f>
        <v>17</v>
      </c>
      <c r="AJ162">
        <f>IF(AND('07-Paper Priority'!$A$22&gt;=MATCH($J162,'07-Paper Priority'!$B$5:$B$26,0),OR(AND($E162&lt;='07-Paper Priority'!$C$22,$F162&lt;='07-Paper Priority'!$D$22),AND($E162&lt;='07-Paper Priority'!$D$22,$F162&lt;='07-Paper Priority'!$C$22))),'07-Paper Priority'!$A$22,"")</f>
        <v>18</v>
      </c>
      <c r="AK162">
        <f>IF(AND('07-Paper Priority'!$A$23&gt;=MATCH($J162,'07-Paper Priority'!$B$5:$B$26,0),OR(AND($E162&lt;='07-Paper Priority'!$C$23,$F162&lt;='07-Paper Priority'!$D$23),AND($E162&lt;='07-Paper Priority'!$D$23,$F162&lt;='07-Paper Priority'!$C$23))),'07-Paper Priority'!$A$23,"")</f>
        <v>19</v>
      </c>
      <c r="AL162">
        <f>IF(AND('07-Paper Priority'!$A$24&gt;=MATCH($J162,'07-Paper Priority'!$B$5:$B$26,0),OR(AND($E162&lt;='07-Paper Priority'!$C$24,$F162&lt;='07-Paper Priority'!$D$24),AND($E162&lt;='07-Paper Priority'!$D$24,$F162&lt;='07-Paper Priority'!$C$24))),'07-Paper Priority'!$A$24,"")</f>
        <v>20</v>
      </c>
      <c r="AM162">
        <f>IF(AND('07-Paper Priority'!$A$25&gt;=MATCH($J162,'07-Paper Priority'!$B$5:$B$26,0),OR(AND($E162&lt;='07-Paper Priority'!$C$25,$F162&lt;='07-Paper Priority'!$D$25),AND($E162&lt;='07-Paper Priority'!$D$25,$F162&lt;='07-Paper Priority'!$C$25))),'07-Paper Priority'!$A$25,"")</f>
        <v>21</v>
      </c>
      <c r="AN162">
        <f>IF(AND('07-Paper Priority'!$A$26&gt;=MATCH($J162,'07-Paper Priority'!$B$5:$B$26,0),OR(AND($E162&lt;='07-Paper Priority'!$C$26,$F162&lt;='07-Paper Priority'!$D$26),AND($E162&lt;='07-Paper Priority'!$D$26,$F162&lt;='07-Paper Priority'!$C$26))),'07-Paper Priority'!$A$26,"")</f>
        <v>22</v>
      </c>
    </row>
    <row r="163" spans="1:40" ht="33.950000000000003" customHeight="1">
      <c r="A163" s="22" t="s">
        <v>2587</v>
      </c>
      <c r="B163" s="22" t="s">
        <v>2548</v>
      </c>
      <c r="C163" s="22" t="s">
        <v>2549</v>
      </c>
      <c r="D163" s="22" t="s">
        <v>2550</v>
      </c>
      <c r="E163" s="23">
        <v>250</v>
      </c>
      <c r="F163" s="23">
        <v>120</v>
      </c>
      <c r="G163" s="22" t="s">
        <v>2588</v>
      </c>
      <c r="H163" s="22" t="s">
        <v>2589</v>
      </c>
      <c r="I163" s="24" t="s">
        <v>2558</v>
      </c>
      <c r="J163" s="25" t="s">
        <v>504</v>
      </c>
      <c r="K163" s="26" t="str">
        <f>IF(COUNT(S163:AN163)=0,"NO FIT",INDEX('07-Paper Priority'!$B$5:$B$26,MIN(S163:AN163)))</f>
        <v>A4</v>
      </c>
      <c r="L163" s="26" t="str">
        <f>IF($K163="NO FIT","",IF(AND($E163&lt;=INDEX('07-Paper Priority'!$C$5:$C$26,MATCH($K163,'07-Paper Priority'!$B$5:$B$26,0)),$F163&lt;=INDEX('07-Paper Priority'!$D$5:$D$26,MATCH($K163,'07-Paper Priority'!$B$5:$B$26,0))),"PORTRAIT","ROTATED"))</f>
        <v>ROTATED</v>
      </c>
      <c r="M163" s="27">
        <f>IF($K163="NO FIT","",IF($L163="PORTRAIT",INDEX('07-Paper Priority'!$C$5:$C$26,MATCH($K163,'07-Paper Priority'!$B$5:$B$26,0)),INDEX('07-Paper Priority'!$D$5:$D$26,MATCH($K163,'07-Paper Priority'!$B$5:$B$26,0))))</f>
        <v>297</v>
      </c>
      <c r="N163" s="27">
        <f>IF($K163="NO FIT","",IF($L163="PORTRAIT",INDEX('07-Paper Priority'!$D$5:$D$26,MATCH($K163,'07-Paper Priority'!$B$5:$B$26,0)),INDEX('07-Paper Priority'!$C$5:$C$26,MATCH($K163,'07-Paper Priority'!$B$5:$B$26,0))))</f>
        <v>210</v>
      </c>
      <c r="O163" s="27">
        <f>IF($K163="NO FIT","",$M163-$E163)</f>
        <v>47</v>
      </c>
      <c r="P163" s="27">
        <f>IF($K163="NO FIT","",$N163-$F163)</f>
        <v>90</v>
      </c>
      <c r="Q163" s="28" t="str">
        <f>IF($K163="NO FIT","REVIEW - NO PAPER FIT",IF(OR($O163&lt;0,$P163&lt;0),"ERROR - FIT",IF(COUNTIF('02-Printing Size'!$A$2:$A$2169,$K163)=0,"ERROR - CODE MISSING","VALID - LOWEST PAPER")))</f>
        <v>VALID - LOWEST PAPER</v>
      </c>
      <c r="R163" s="22" t="s">
        <v>2590</v>
      </c>
      <c r="S163" t="str">
        <f>IF(AND('07-Paper Priority'!$A$5&gt;=MATCH($J163,'07-Paper Priority'!$B$5:$B$26,0),OR(AND($E163&lt;='07-Paper Priority'!$C$5,$F163&lt;='07-Paper Priority'!$D$5),AND($E163&lt;='07-Paper Priority'!$D$5,$F163&lt;='07-Paper Priority'!$C$5))),'07-Paper Priority'!$A$5,"")</f>
        <v/>
      </c>
      <c r="T163" t="str">
        <f>IF(AND('07-Paper Priority'!$A$6&gt;=MATCH($J163,'07-Paper Priority'!$B$5:$B$26,0),OR(AND($E163&lt;='07-Paper Priority'!$C$6,$F163&lt;='07-Paper Priority'!$D$6),AND($E163&lt;='07-Paper Priority'!$D$6,$F163&lt;='07-Paper Priority'!$C$6))),'07-Paper Priority'!$A$6,"")</f>
        <v/>
      </c>
      <c r="U163" t="str">
        <f>IF(AND('07-Paper Priority'!$A$7&gt;=MATCH($J163,'07-Paper Priority'!$B$5:$B$26,0),OR(AND($E163&lt;='07-Paper Priority'!$C$7,$F163&lt;='07-Paper Priority'!$D$7),AND($E163&lt;='07-Paper Priority'!$D$7,$F163&lt;='07-Paper Priority'!$C$7))),'07-Paper Priority'!$A$7,"")</f>
        <v/>
      </c>
      <c r="V163" t="str">
        <f>IF(AND('07-Paper Priority'!$A$8&gt;=MATCH($J163,'07-Paper Priority'!$B$5:$B$26,0),OR(AND($E163&lt;='07-Paper Priority'!$C$8,$F163&lt;='07-Paper Priority'!$D$8),AND($E163&lt;='07-Paper Priority'!$D$8,$F163&lt;='07-Paper Priority'!$C$8))),'07-Paper Priority'!$A$8,"")</f>
        <v/>
      </c>
      <c r="W163" t="str">
        <f>IF(AND('07-Paper Priority'!$A$9&gt;=MATCH($J163,'07-Paper Priority'!$B$5:$B$26,0),OR(AND($E163&lt;='07-Paper Priority'!$C$9,$F163&lt;='07-Paper Priority'!$D$9),AND($E163&lt;='07-Paper Priority'!$D$9,$F163&lt;='07-Paper Priority'!$C$9))),'07-Paper Priority'!$A$9,"")</f>
        <v/>
      </c>
      <c r="X163" t="str">
        <f>IF(AND('07-Paper Priority'!$A$10&gt;=MATCH($J163,'07-Paper Priority'!$B$5:$B$26,0),OR(AND($E163&lt;='07-Paper Priority'!$C$10,$F163&lt;='07-Paper Priority'!$D$10),AND($E163&lt;='07-Paper Priority'!$D$10,$F163&lt;='07-Paper Priority'!$C$10))),'07-Paper Priority'!$A$10,"")</f>
        <v/>
      </c>
      <c r="Y163" t="str">
        <f>IF(AND('07-Paper Priority'!$A$11&gt;=MATCH($J163,'07-Paper Priority'!$B$5:$B$26,0),OR(AND($E163&lt;='07-Paper Priority'!$C$11,$F163&lt;='07-Paper Priority'!$D$11),AND($E163&lt;='07-Paper Priority'!$D$11,$F163&lt;='07-Paper Priority'!$C$11))),'07-Paper Priority'!$A$11,"")</f>
        <v/>
      </c>
      <c r="Z163" t="str">
        <f>IF(AND('07-Paper Priority'!$A$12&gt;=MATCH($J163,'07-Paper Priority'!$B$5:$B$26,0),OR(AND($E163&lt;='07-Paper Priority'!$C$12,$F163&lt;='07-Paper Priority'!$D$12),AND($E163&lt;='07-Paper Priority'!$D$12,$F163&lt;='07-Paper Priority'!$C$12))),'07-Paper Priority'!$A$12,"")</f>
        <v/>
      </c>
      <c r="AA163" t="str">
        <f>IF(AND('07-Paper Priority'!$A$13&gt;=MATCH($J163,'07-Paper Priority'!$B$5:$B$26,0),OR(AND($E163&lt;='07-Paper Priority'!$C$13,$F163&lt;='07-Paper Priority'!$D$13),AND($E163&lt;='07-Paper Priority'!$D$13,$F163&lt;='07-Paper Priority'!$C$13))),'07-Paper Priority'!$A$13,"")</f>
        <v/>
      </c>
      <c r="AB163" t="str">
        <f>IF(AND('07-Paper Priority'!$A$14&gt;=MATCH($J163,'07-Paper Priority'!$B$5:$B$26,0),OR(AND($E163&lt;='07-Paper Priority'!$C$14,$F163&lt;='07-Paper Priority'!$D$14),AND($E163&lt;='07-Paper Priority'!$D$14,$F163&lt;='07-Paper Priority'!$C$14))),'07-Paper Priority'!$A$14,"")</f>
        <v/>
      </c>
      <c r="AC163" t="str">
        <f>IF(AND('07-Paper Priority'!$A$15&gt;=MATCH($J163,'07-Paper Priority'!$B$5:$B$26,0),OR(AND($E163&lt;='07-Paper Priority'!$C$15,$F163&lt;='07-Paper Priority'!$D$15),AND($E163&lt;='07-Paper Priority'!$D$15,$F163&lt;='07-Paper Priority'!$C$15))),'07-Paper Priority'!$A$15,"")</f>
        <v/>
      </c>
      <c r="AD163" t="str">
        <f>IF(AND('07-Paper Priority'!$A$16&gt;=MATCH($J163,'07-Paper Priority'!$B$5:$B$26,0),OR(AND($E163&lt;='07-Paper Priority'!$C$16,$F163&lt;='07-Paper Priority'!$D$16),AND($E163&lt;='07-Paper Priority'!$D$16,$F163&lt;='07-Paper Priority'!$C$16))),'07-Paper Priority'!$A$16,"")</f>
        <v/>
      </c>
      <c r="AE163">
        <f>IF(AND('07-Paper Priority'!$A$17&gt;=MATCH($J163,'07-Paper Priority'!$B$5:$B$26,0),OR(AND($E163&lt;='07-Paper Priority'!$C$17,$F163&lt;='07-Paper Priority'!$D$17),AND($E163&lt;='07-Paper Priority'!$D$17,$F163&lt;='07-Paper Priority'!$C$17))),'07-Paper Priority'!$A$17,"")</f>
        <v>13</v>
      </c>
      <c r="AF163">
        <f>IF(AND('07-Paper Priority'!$A$18&gt;=MATCH($J163,'07-Paper Priority'!$B$5:$B$26,0),OR(AND($E163&lt;='07-Paper Priority'!$C$18,$F163&lt;='07-Paper Priority'!$D$18),AND($E163&lt;='07-Paper Priority'!$D$18,$F163&lt;='07-Paper Priority'!$C$18))),'07-Paper Priority'!$A$18,"")</f>
        <v>14</v>
      </c>
      <c r="AG163">
        <f>IF(AND('07-Paper Priority'!$A$19&gt;=MATCH($J163,'07-Paper Priority'!$B$5:$B$26,0),OR(AND($E163&lt;='07-Paper Priority'!$C$19,$F163&lt;='07-Paper Priority'!$D$19),AND($E163&lt;='07-Paper Priority'!$D$19,$F163&lt;='07-Paper Priority'!$C$19))),'07-Paper Priority'!$A$19,"")</f>
        <v>15</v>
      </c>
      <c r="AH163">
        <f>IF(AND('07-Paper Priority'!$A$20&gt;=MATCH($J163,'07-Paper Priority'!$B$5:$B$26,0),OR(AND($E163&lt;='07-Paper Priority'!$C$20,$F163&lt;='07-Paper Priority'!$D$20),AND($E163&lt;='07-Paper Priority'!$D$20,$F163&lt;='07-Paper Priority'!$C$20))),'07-Paper Priority'!$A$20,"")</f>
        <v>16</v>
      </c>
      <c r="AI163">
        <f>IF(AND('07-Paper Priority'!$A$21&gt;=MATCH($J163,'07-Paper Priority'!$B$5:$B$26,0),OR(AND($E163&lt;='07-Paper Priority'!$C$21,$F163&lt;='07-Paper Priority'!$D$21),AND($E163&lt;='07-Paper Priority'!$D$21,$F163&lt;='07-Paper Priority'!$C$21))),'07-Paper Priority'!$A$21,"")</f>
        <v>17</v>
      </c>
      <c r="AJ163">
        <f>IF(AND('07-Paper Priority'!$A$22&gt;=MATCH($J163,'07-Paper Priority'!$B$5:$B$26,0),OR(AND($E163&lt;='07-Paper Priority'!$C$22,$F163&lt;='07-Paper Priority'!$D$22),AND($E163&lt;='07-Paper Priority'!$D$22,$F163&lt;='07-Paper Priority'!$C$22))),'07-Paper Priority'!$A$22,"")</f>
        <v>18</v>
      </c>
      <c r="AK163">
        <f>IF(AND('07-Paper Priority'!$A$23&gt;=MATCH($J163,'07-Paper Priority'!$B$5:$B$26,0),OR(AND($E163&lt;='07-Paper Priority'!$C$23,$F163&lt;='07-Paper Priority'!$D$23),AND($E163&lt;='07-Paper Priority'!$D$23,$F163&lt;='07-Paper Priority'!$C$23))),'07-Paper Priority'!$A$23,"")</f>
        <v>19</v>
      </c>
      <c r="AL163">
        <f>IF(AND('07-Paper Priority'!$A$24&gt;=MATCH($J163,'07-Paper Priority'!$B$5:$B$26,0),OR(AND($E163&lt;='07-Paper Priority'!$C$24,$F163&lt;='07-Paper Priority'!$D$24),AND($E163&lt;='07-Paper Priority'!$D$24,$F163&lt;='07-Paper Priority'!$C$24))),'07-Paper Priority'!$A$24,"")</f>
        <v>20</v>
      </c>
      <c r="AM163">
        <f>IF(AND('07-Paper Priority'!$A$25&gt;=MATCH($J163,'07-Paper Priority'!$B$5:$B$26,0),OR(AND($E163&lt;='07-Paper Priority'!$C$25,$F163&lt;='07-Paper Priority'!$D$25),AND($E163&lt;='07-Paper Priority'!$D$25,$F163&lt;='07-Paper Priority'!$C$25))),'07-Paper Priority'!$A$25,"")</f>
        <v>21</v>
      </c>
      <c r="AN163">
        <f>IF(AND('07-Paper Priority'!$A$26&gt;=MATCH($J163,'07-Paper Priority'!$B$5:$B$26,0),OR(AND($E163&lt;='07-Paper Priority'!$C$26,$F163&lt;='07-Paper Priority'!$D$26),AND($E163&lt;='07-Paper Priority'!$D$26,$F163&lt;='07-Paper Priority'!$C$26))),'07-Paper Priority'!$A$26,"")</f>
        <v>22</v>
      </c>
    </row>
    <row r="164" spans="1:40" ht="33.950000000000003" customHeight="1">
      <c r="A164" s="22" t="s">
        <v>2591</v>
      </c>
      <c r="B164" s="22" t="s">
        <v>2548</v>
      </c>
      <c r="C164" s="22" t="s">
        <v>2549</v>
      </c>
      <c r="D164" s="22" t="s">
        <v>2550</v>
      </c>
      <c r="E164" s="23">
        <v>60</v>
      </c>
      <c r="F164" s="23">
        <v>60</v>
      </c>
      <c r="G164" s="22" t="s">
        <v>2592</v>
      </c>
      <c r="H164" s="22" t="s">
        <v>2593</v>
      </c>
      <c r="I164" s="24" t="s">
        <v>2553</v>
      </c>
      <c r="J164" s="25" t="s">
        <v>800</v>
      </c>
      <c r="K164" s="26" t="str">
        <f>IF(COUNT(S164:AN164)=0,"NO FIT",INDEX('07-Paper Priority'!$B$5:$B$26,MIN(S164:AN164)))</f>
        <v>B8</v>
      </c>
      <c r="L164" s="26" t="str">
        <f>IF($K164="NO FIT","",IF(AND($E164&lt;=INDEX('07-Paper Priority'!$C$5:$C$26,MATCH($K164,'07-Paper Priority'!$B$5:$B$26,0)),$F164&lt;=INDEX('07-Paper Priority'!$D$5:$D$26,MATCH($K164,'07-Paper Priority'!$B$5:$B$26,0))),"PORTRAIT","ROTATED"))</f>
        <v>PORTRAIT</v>
      </c>
      <c r="M164" s="27">
        <f>IF($K164="NO FIT","",IF($L164="PORTRAIT",INDEX('07-Paper Priority'!$C$5:$C$26,MATCH($K164,'07-Paper Priority'!$B$5:$B$26,0)),INDEX('07-Paper Priority'!$D$5:$D$26,MATCH($K164,'07-Paper Priority'!$B$5:$B$26,0))))</f>
        <v>62</v>
      </c>
      <c r="N164" s="27">
        <f>IF($K164="NO FIT","",IF($L164="PORTRAIT",INDEX('07-Paper Priority'!$D$5:$D$26,MATCH($K164,'07-Paper Priority'!$B$5:$B$26,0)),INDEX('07-Paper Priority'!$C$5:$C$26,MATCH($K164,'07-Paper Priority'!$B$5:$B$26,0))))</f>
        <v>88</v>
      </c>
      <c r="O164" s="27">
        <f>IF($K164="NO FIT","",$M164-$E164)</f>
        <v>2</v>
      </c>
      <c r="P164" s="27">
        <f>IF($K164="NO FIT","",$N164-$F164)</f>
        <v>28</v>
      </c>
      <c r="Q164" s="28" t="str">
        <f>IF($K164="NO FIT","REVIEW - NO PAPER FIT",IF(OR($O164&lt;0,$P164&lt;0),"ERROR - FIT",IF(COUNTIF('02-Printing Size'!$A$2:$A$2169,$K164)=0,"ERROR - CODE MISSING","VALID - LOWEST PAPER")))</f>
        <v>VALID - LOWEST PAPER</v>
      </c>
      <c r="R164" s="22" t="s">
        <v>2594</v>
      </c>
      <c r="S164" t="str">
        <f>IF(AND('07-Paper Priority'!$A$5&gt;=MATCH($J164,'07-Paper Priority'!$B$5:$B$26,0),OR(AND($E164&lt;='07-Paper Priority'!$C$5,$F164&lt;='07-Paper Priority'!$D$5),AND($E164&lt;='07-Paper Priority'!$D$5,$F164&lt;='07-Paper Priority'!$C$5))),'07-Paper Priority'!$A$5,"")</f>
        <v/>
      </c>
      <c r="T164" t="str">
        <f>IF(AND('07-Paper Priority'!$A$6&gt;=MATCH($J164,'07-Paper Priority'!$B$5:$B$26,0),OR(AND($E164&lt;='07-Paper Priority'!$C$6,$F164&lt;='07-Paper Priority'!$D$6),AND($E164&lt;='07-Paper Priority'!$D$6,$F164&lt;='07-Paper Priority'!$C$6))),'07-Paper Priority'!$A$6,"")</f>
        <v/>
      </c>
      <c r="U164" t="str">
        <f>IF(AND('07-Paper Priority'!$A$7&gt;=MATCH($J164,'07-Paper Priority'!$B$5:$B$26,0),OR(AND($E164&lt;='07-Paper Priority'!$C$7,$F164&lt;='07-Paper Priority'!$D$7),AND($E164&lt;='07-Paper Priority'!$D$7,$F164&lt;='07-Paper Priority'!$C$7))),'07-Paper Priority'!$A$7,"")</f>
        <v/>
      </c>
      <c r="V164" t="str">
        <f>IF(AND('07-Paper Priority'!$A$8&gt;=MATCH($J164,'07-Paper Priority'!$B$5:$B$26,0),OR(AND($E164&lt;='07-Paper Priority'!$C$8,$F164&lt;='07-Paper Priority'!$D$8),AND($E164&lt;='07-Paper Priority'!$D$8,$F164&lt;='07-Paper Priority'!$C$8))),'07-Paper Priority'!$A$8,"")</f>
        <v/>
      </c>
      <c r="W164" t="str">
        <f>IF(AND('07-Paper Priority'!$A$9&gt;=MATCH($J164,'07-Paper Priority'!$B$5:$B$26,0),OR(AND($E164&lt;='07-Paper Priority'!$C$9,$F164&lt;='07-Paper Priority'!$D$9),AND($E164&lt;='07-Paper Priority'!$D$9,$F164&lt;='07-Paper Priority'!$C$9))),'07-Paper Priority'!$A$9,"")</f>
        <v/>
      </c>
      <c r="X164">
        <f>IF(AND('07-Paper Priority'!$A$10&gt;=MATCH($J164,'07-Paper Priority'!$B$5:$B$26,0),OR(AND($E164&lt;='07-Paper Priority'!$C$10,$F164&lt;='07-Paper Priority'!$D$10),AND($E164&lt;='07-Paper Priority'!$D$10,$F164&lt;='07-Paper Priority'!$C$10))),'07-Paper Priority'!$A$10,"")</f>
        <v>6</v>
      </c>
      <c r="Y164">
        <f>IF(AND('07-Paper Priority'!$A$11&gt;=MATCH($J164,'07-Paper Priority'!$B$5:$B$26,0),OR(AND($E164&lt;='07-Paper Priority'!$C$11,$F164&lt;='07-Paper Priority'!$D$11),AND($E164&lt;='07-Paper Priority'!$D$11,$F164&lt;='07-Paper Priority'!$C$11))),'07-Paper Priority'!$A$11,"")</f>
        <v>7</v>
      </c>
      <c r="Z164">
        <f>IF(AND('07-Paper Priority'!$A$12&gt;=MATCH($J164,'07-Paper Priority'!$B$5:$B$26,0),OR(AND($E164&lt;='07-Paper Priority'!$C$12,$F164&lt;='07-Paper Priority'!$D$12),AND($E164&lt;='07-Paper Priority'!$D$12,$F164&lt;='07-Paper Priority'!$C$12))),'07-Paper Priority'!$A$12,"")</f>
        <v>8</v>
      </c>
      <c r="AA164">
        <f>IF(AND('07-Paper Priority'!$A$13&gt;=MATCH($J164,'07-Paper Priority'!$B$5:$B$26,0),OR(AND($E164&lt;='07-Paper Priority'!$C$13,$F164&lt;='07-Paper Priority'!$D$13),AND($E164&lt;='07-Paper Priority'!$D$13,$F164&lt;='07-Paper Priority'!$C$13))),'07-Paper Priority'!$A$13,"")</f>
        <v>9</v>
      </c>
      <c r="AB164">
        <f>IF(AND('07-Paper Priority'!$A$14&gt;=MATCH($J164,'07-Paper Priority'!$B$5:$B$26,0),OR(AND($E164&lt;='07-Paper Priority'!$C$14,$F164&lt;='07-Paper Priority'!$D$14),AND($E164&lt;='07-Paper Priority'!$D$14,$F164&lt;='07-Paper Priority'!$C$14))),'07-Paper Priority'!$A$14,"")</f>
        <v>10</v>
      </c>
      <c r="AC164">
        <f>IF(AND('07-Paper Priority'!$A$15&gt;=MATCH($J164,'07-Paper Priority'!$B$5:$B$26,0),OR(AND($E164&lt;='07-Paper Priority'!$C$15,$F164&lt;='07-Paper Priority'!$D$15),AND($E164&lt;='07-Paper Priority'!$D$15,$F164&lt;='07-Paper Priority'!$C$15))),'07-Paper Priority'!$A$15,"")</f>
        <v>11</v>
      </c>
      <c r="AD164">
        <f>IF(AND('07-Paper Priority'!$A$16&gt;=MATCH($J164,'07-Paper Priority'!$B$5:$B$26,0),OR(AND($E164&lt;='07-Paper Priority'!$C$16,$F164&lt;='07-Paper Priority'!$D$16),AND($E164&lt;='07-Paper Priority'!$D$16,$F164&lt;='07-Paper Priority'!$C$16))),'07-Paper Priority'!$A$16,"")</f>
        <v>12</v>
      </c>
      <c r="AE164">
        <f>IF(AND('07-Paper Priority'!$A$17&gt;=MATCH($J164,'07-Paper Priority'!$B$5:$B$26,0),OR(AND($E164&lt;='07-Paper Priority'!$C$17,$F164&lt;='07-Paper Priority'!$D$17),AND($E164&lt;='07-Paper Priority'!$D$17,$F164&lt;='07-Paper Priority'!$C$17))),'07-Paper Priority'!$A$17,"")</f>
        <v>13</v>
      </c>
      <c r="AF164">
        <f>IF(AND('07-Paper Priority'!$A$18&gt;=MATCH($J164,'07-Paper Priority'!$B$5:$B$26,0),OR(AND($E164&lt;='07-Paper Priority'!$C$18,$F164&lt;='07-Paper Priority'!$D$18),AND($E164&lt;='07-Paper Priority'!$D$18,$F164&lt;='07-Paper Priority'!$C$18))),'07-Paper Priority'!$A$18,"")</f>
        <v>14</v>
      </c>
      <c r="AG164">
        <f>IF(AND('07-Paper Priority'!$A$19&gt;=MATCH($J164,'07-Paper Priority'!$B$5:$B$26,0),OR(AND($E164&lt;='07-Paper Priority'!$C$19,$F164&lt;='07-Paper Priority'!$D$19),AND($E164&lt;='07-Paper Priority'!$D$19,$F164&lt;='07-Paper Priority'!$C$19))),'07-Paper Priority'!$A$19,"")</f>
        <v>15</v>
      </c>
      <c r="AH164">
        <f>IF(AND('07-Paper Priority'!$A$20&gt;=MATCH($J164,'07-Paper Priority'!$B$5:$B$26,0),OR(AND($E164&lt;='07-Paper Priority'!$C$20,$F164&lt;='07-Paper Priority'!$D$20),AND($E164&lt;='07-Paper Priority'!$D$20,$F164&lt;='07-Paper Priority'!$C$20))),'07-Paper Priority'!$A$20,"")</f>
        <v>16</v>
      </c>
      <c r="AI164">
        <f>IF(AND('07-Paper Priority'!$A$21&gt;=MATCH($J164,'07-Paper Priority'!$B$5:$B$26,0),OR(AND($E164&lt;='07-Paper Priority'!$C$21,$F164&lt;='07-Paper Priority'!$D$21),AND($E164&lt;='07-Paper Priority'!$D$21,$F164&lt;='07-Paper Priority'!$C$21))),'07-Paper Priority'!$A$21,"")</f>
        <v>17</v>
      </c>
      <c r="AJ164">
        <f>IF(AND('07-Paper Priority'!$A$22&gt;=MATCH($J164,'07-Paper Priority'!$B$5:$B$26,0),OR(AND($E164&lt;='07-Paper Priority'!$C$22,$F164&lt;='07-Paper Priority'!$D$22),AND($E164&lt;='07-Paper Priority'!$D$22,$F164&lt;='07-Paper Priority'!$C$22))),'07-Paper Priority'!$A$22,"")</f>
        <v>18</v>
      </c>
      <c r="AK164">
        <f>IF(AND('07-Paper Priority'!$A$23&gt;=MATCH($J164,'07-Paper Priority'!$B$5:$B$26,0),OR(AND($E164&lt;='07-Paper Priority'!$C$23,$F164&lt;='07-Paper Priority'!$D$23),AND($E164&lt;='07-Paper Priority'!$D$23,$F164&lt;='07-Paper Priority'!$C$23))),'07-Paper Priority'!$A$23,"")</f>
        <v>19</v>
      </c>
      <c r="AL164">
        <f>IF(AND('07-Paper Priority'!$A$24&gt;=MATCH($J164,'07-Paper Priority'!$B$5:$B$26,0),OR(AND($E164&lt;='07-Paper Priority'!$C$24,$F164&lt;='07-Paper Priority'!$D$24),AND($E164&lt;='07-Paper Priority'!$D$24,$F164&lt;='07-Paper Priority'!$C$24))),'07-Paper Priority'!$A$24,"")</f>
        <v>20</v>
      </c>
      <c r="AM164">
        <f>IF(AND('07-Paper Priority'!$A$25&gt;=MATCH($J164,'07-Paper Priority'!$B$5:$B$26,0),OR(AND($E164&lt;='07-Paper Priority'!$C$25,$F164&lt;='07-Paper Priority'!$D$25),AND($E164&lt;='07-Paper Priority'!$D$25,$F164&lt;='07-Paper Priority'!$C$25))),'07-Paper Priority'!$A$25,"")</f>
        <v>21</v>
      </c>
      <c r="AN164">
        <f>IF(AND('07-Paper Priority'!$A$26&gt;=MATCH($J164,'07-Paper Priority'!$B$5:$B$26,0),OR(AND($E164&lt;='07-Paper Priority'!$C$26,$F164&lt;='07-Paper Priority'!$D$26),AND($E164&lt;='07-Paper Priority'!$D$26,$F164&lt;='07-Paper Priority'!$C$26))),'07-Paper Priority'!$A$26,"")</f>
        <v>22</v>
      </c>
    </row>
    <row r="165" spans="1:40" ht="33.950000000000003" customHeight="1">
      <c r="A165" s="22" t="s">
        <v>2595</v>
      </c>
      <c r="B165" s="22" t="s">
        <v>2548</v>
      </c>
      <c r="C165" s="22" t="s">
        <v>2596</v>
      </c>
      <c r="D165" s="22" t="s">
        <v>2550</v>
      </c>
      <c r="E165" s="23">
        <v>70</v>
      </c>
      <c r="F165" s="23">
        <v>70</v>
      </c>
      <c r="G165" s="22" t="s">
        <v>2597</v>
      </c>
      <c r="H165" s="22" t="s">
        <v>2598</v>
      </c>
      <c r="I165" s="24" t="s">
        <v>2599</v>
      </c>
      <c r="J165" s="25" t="s">
        <v>726</v>
      </c>
      <c r="K165" s="26" t="str">
        <f>IF(COUNT(S165:AN165)=0,"NO FIT",INDEX('07-Paper Priority'!$B$5:$B$26,MIN(S165:AN165)))</f>
        <v>A7</v>
      </c>
      <c r="L165" s="26" t="str">
        <f>IF($K165="NO FIT","",IF(AND($E165&lt;=INDEX('07-Paper Priority'!$C$5:$C$26,MATCH($K165,'07-Paper Priority'!$B$5:$B$26,0)),$F165&lt;=INDEX('07-Paper Priority'!$D$5:$D$26,MATCH($K165,'07-Paper Priority'!$B$5:$B$26,0))),"PORTRAIT","ROTATED"))</f>
        <v>PORTRAIT</v>
      </c>
      <c r="M165" s="27">
        <f>IF($K165="NO FIT","",IF($L165="PORTRAIT",INDEX('07-Paper Priority'!$C$5:$C$26,MATCH($K165,'07-Paper Priority'!$B$5:$B$26,0)),INDEX('07-Paper Priority'!$D$5:$D$26,MATCH($K165,'07-Paper Priority'!$B$5:$B$26,0))))</f>
        <v>74</v>
      </c>
      <c r="N165" s="27">
        <f>IF($K165="NO FIT","",IF($L165="PORTRAIT",INDEX('07-Paper Priority'!$D$5:$D$26,MATCH($K165,'07-Paper Priority'!$B$5:$B$26,0)),INDEX('07-Paper Priority'!$C$5:$C$26,MATCH($K165,'07-Paper Priority'!$B$5:$B$26,0))))</f>
        <v>105</v>
      </c>
      <c r="O165" s="27">
        <f>IF($K165="NO FIT","",$M165-$E165)</f>
        <v>4</v>
      </c>
      <c r="P165" s="27">
        <f>IF($K165="NO FIT","",$N165-$F165)</f>
        <v>35</v>
      </c>
      <c r="Q165" s="28" t="str">
        <f>IF($K165="NO FIT","REVIEW - NO PAPER FIT",IF(OR($O165&lt;0,$P165&lt;0),"ERROR - FIT",IF(COUNTIF('02-Printing Size'!$A$2:$A$2169,$K165)=0,"ERROR - CODE MISSING","VALID - LOWEST PAPER")))</f>
        <v>VALID - LOWEST PAPER</v>
      </c>
      <c r="R165" s="22" t="s">
        <v>2600</v>
      </c>
      <c r="S165" t="str">
        <f>IF(AND('07-Paper Priority'!$A$5&gt;=MATCH($J165,'07-Paper Priority'!$B$5:$B$26,0),OR(AND($E165&lt;='07-Paper Priority'!$C$5,$F165&lt;='07-Paper Priority'!$D$5),AND($E165&lt;='07-Paper Priority'!$D$5,$F165&lt;='07-Paper Priority'!$C$5))),'07-Paper Priority'!$A$5,"")</f>
        <v/>
      </c>
      <c r="T165" t="str">
        <f>IF(AND('07-Paper Priority'!$A$6&gt;=MATCH($J165,'07-Paper Priority'!$B$5:$B$26,0),OR(AND($E165&lt;='07-Paper Priority'!$C$6,$F165&lt;='07-Paper Priority'!$D$6),AND($E165&lt;='07-Paper Priority'!$D$6,$F165&lt;='07-Paper Priority'!$C$6))),'07-Paper Priority'!$A$6,"")</f>
        <v/>
      </c>
      <c r="U165" t="str">
        <f>IF(AND('07-Paper Priority'!$A$7&gt;=MATCH($J165,'07-Paper Priority'!$B$5:$B$26,0),OR(AND($E165&lt;='07-Paper Priority'!$C$7,$F165&lt;='07-Paper Priority'!$D$7),AND($E165&lt;='07-Paper Priority'!$D$7,$F165&lt;='07-Paper Priority'!$C$7))),'07-Paper Priority'!$A$7,"")</f>
        <v/>
      </c>
      <c r="V165" t="str">
        <f>IF(AND('07-Paper Priority'!$A$8&gt;=MATCH($J165,'07-Paper Priority'!$B$5:$B$26,0),OR(AND($E165&lt;='07-Paper Priority'!$C$8,$F165&lt;='07-Paper Priority'!$D$8),AND($E165&lt;='07-Paper Priority'!$D$8,$F165&lt;='07-Paper Priority'!$C$8))),'07-Paper Priority'!$A$8,"")</f>
        <v/>
      </c>
      <c r="W165" t="str">
        <f>IF(AND('07-Paper Priority'!$A$9&gt;=MATCH($J165,'07-Paper Priority'!$B$5:$B$26,0),OR(AND($E165&lt;='07-Paper Priority'!$C$9,$F165&lt;='07-Paper Priority'!$D$9),AND($E165&lt;='07-Paper Priority'!$D$9,$F165&lt;='07-Paper Priority'!$C$9))),'07-Paper Priority'!$A$9,"")</f>
        <v/>
      </c>
      <c r="X165" t="str">
        <f>IF(AND('07-Paper Priority'!$A$10&gt;=MATCH($J165,'07-Paper Priority'!$B$5:$B$26,0),OR(AND($E165&lt;='07-Paper Priority'!$C$10,$F165&lt;='07-Paper Priority'!$D$10),AND($E165&lt;='07-Paper Priority'!$D$10,$F165&lt;='07-Paper Priority'!$C$10))),'07-Paper Priority'!$A$10,"")</f>
        <v/>
      </c>
      <c r="Y165">
        <f>IF(AND('07-Paper Priority'!$A$11&gt;=MATCH($J165,'07-Paper Priority'!$B$5:$B$26,0),OR(AND($E165&lt;='07-Paper Priority'!$C$11,$F165&lt;='07-Paper Priority'!$D$11),AND($E165&lt;='07-Paper Priority'!$D$11,$F165&lt;='07-Paper Priority'!$C$11))),'07-Paper Priority'!$A$11,"")</f>
        <v>7</v>
      </c>
      <c r="Z165">
        <f>IF(AND('07-Paper Priority'!$A$12&gt;=MATCH($J165,'07-Paper Priority'!$B$5:$B$26,0),OR(AND($E165&lt;='07-Paper Priority'!$C$12,$F165&lt;='07-Paper Priority'!$D$12),AND($E165&lt;='07-Paper Priority'!$D$12,$F165&lt;='07-Paper Priority'!$C$12))),'07-Paper Priority'!$A$12,"")</f>
        <v>8</v>
      </c>
      <c r="AA165">
        <f>IF(AND('07-Paper Priority'!$A$13&gt;=MATCH($J165,'07-Paper Priority'!$B$5:$B$26,0),OR(AND($E165&lt;='07-Paper Priority'!$C$13,$F165&lt;='07-Paper Priority'!$D$13),AND($E165&lt;='07-Paper Priority'!$D$13,$F165&lt;='07-Paper Priority'!$C$13))),'07-Paper Priority'!$A$13,"")</f>
        <v>9</v>
      </c>
      <c r="AB165">
        <f>IF(AND('07-Paper Priority'!$A$14&gt;=MATCH($J165,'07-Paper Priority'!$B$5:$B$26,0),OR(AND($E165&lt;='07-Paper Priority'!$C$14,$F165&lt;='07-Paper Priority'!$D$14),AND($E165&lt;='07-Paper Priority'!$D$14,$F165&lt;='07-Paper Priority'!$C$14))),'07-Paper Priority'!$A$14,"")</f>
        <v>10</v>
      </c>
      <c r="AC165">
        <f>IF(AND('07-Paper Priority'!$A$15&gt;=MATCH($J165,'07-Paper Priority'!$B$5:$B$26,0),OR(AND($E165&lt;='07-Paper Priority'!$C$15,$F165&lt;='07-Paper Priority'!$D$15),AND($E165&lt;='07-Paper Priority'!$D$15,$F165&lt;='07-Paper Priority'!$C$15))),'07-Paper Priority'!$A$15,"")</f>
        <v>11</v>
      </c>
      <c r="AD165">
        <f>IF(AND('07-Paper Priority'!$A$16&gt;=MATCH($J165,'07-Paper Priority'!$B$5:$B$26,0),OR(AND($E165&lt;='07-Paper Priority'!$C$16,$F165&lt;='07-Paper Priority'!$D$16),AND($E165&lt;='07-Paper Priority'!$D$16,$F165&lt;='07-Paper Priority'!$C$16))),'07-Paper Priority'!$A$16,"")</f>
        <v>12</v>
      </c>
      <c r="AE165">
        <f>IF(AND('07-Paper Priority'!$A$17&gt;=MATCH($J165,'07-Paper Priority'!$B$5:$B$26,0),OR(AND($E165&lt;='07-Paper Priority'!$C$17,$F165&lt;='07-Paper Priority'!$D$17),AND($E165&lt;='07-Paper Priority'!$D$17,$F165&lt;='07-Paper Priority'!$C$17))),'07-Paper Priority'!$A$17,"")</f>
        <v>13</v>
      </c>
      <c r="AF165">
        <f>IF(AND('07-Paper Priority'!$A$18&gt;=MATCH($J165,'07-Paper Priority'!$B$5:$B$26,0),OR(AND($E165&lt;='07-Paper Priority'!$C$18,$F165&lt;='07-Paper Priority'!$D$18),AND($E165&lt;='07-Paper Priority'!$D$18,$F165&lt;='07-Paper Priority'!$C$18))),'07-Paper Priority'!$A$18,"")</f>
        <v>14</v>
      </c>
      <c r="AG165">
        <f>IF(AND('07-Paper Priority'!$A$19&gt;=MATCH($J165,'07-Paper Priority'!$B$5:$B$26,0),OR(AND($E165&lt;='07-Paper Priority'!$C$19,$F165&lt;='07-Paper Priority'!$D$19),AND($E165&lt;='07-Paper Priority'!$D$19,$F165&lt;='07-Paper Priority'!$C$19))),'07-Paper Priority'!$A$19,"")</f>
        <v>15</v>
      </c>
      <c r="AH165">
        <f>IF(AND('07-Paper Priority'!$A$20&gt;=MATCH($J165,'07-Paper Priority'!$B$5:$B$26,0),OR(AND($E165&lt;='07-Paper Priority'!$C$20,$F165&lt;='07-Paper Priority'!$D$20),AND($E165&lt;='07-Paper Priority'!$D$20,$F165&lt;='07-Paper Priority'!$C$20))),'07-Paper Priority'!$A$20,"")</f>
        <v>16</v>
      </c>
      <c r="AI165">
        <f>IF(AND('07-Paper Priority'!$A$21&gt;=MATCH($J165,'07-Paper Priority'!$B$5:$B$26,0),OR(AND($E165&lt;='07-Paper Priority'!$C$21,$F165&lt;='07-Paper Priority'!$D$21),AND($E165&lt;='07-Paper Priority'!$D$21,$F165&lt;='07-Paper Priority'!$C$21))),'07-Paper Priority'!$A$21,"")</f>
        <v>17</v>
      </c>
      <c r="AJ165">
        <f>IF(AND('07-Paper Priority'!$A$22&gt;=MATCH($J165,'07-Paper Priority'!$B$5:$B$26,0),OR(AND($E165&lt;='07-Paper Priority'!$C$22,$F165&lt;='07-Paper Priority'!$D$22),AND($E165&lt;='07-Paper Priority'!$D$22,$F165&lt;='07-Paper Priority'!$C$22))),'07-Paper Priority'!$A$22,"")</f>
        <v>18</v>
      </c>
      <c r="AK165">
        <f>IF(AND('07-Paper Priority'!$A$23&gt;=MATCH($J165,'07-Paper Priority'!$B$5:$B$26,0),OR(AND($E165&lt;='07-Paper Priority'!$C$23,$F165&lt;='07-Paper Priority'!$D$23),AND($E165&lt;='07-Paper Priority'!$D$23,$F165&lt;='07-Paper Priority'!$C$23))),'07-Paper Priority'!$A$23,"")</f>
        <v>19</v>
      </c>
      <c r="AL165">
        <f>IF(AND('07-Paper Priority'!$A$24&gt;=MATCH($J165,'07-Paper Priority'!$B$5:$B$26,0),OR(AND($E165&lt;='07-Paper Priority'!$C$24,$F165&lt;='07-Paper Priority'!$D$24),AND($E165&lt;='07-Paper Priority'!$D$24,$F165&lt;='07-Paper Priority'!$C$24))),'07-Paper Priority'!$A$24,"")</f>
        <v>20</v>
      </c>
      <c r="AM165">
        <f>IF(AND('07-Paper Priority'!$A$25&gt;=MATCH($J165,'07-Paper Priority'!$B$5:$B$26,0),OR(AND($E165&lt;='07-Paper Priority'!$C$25,$F165&lt;='07-Paper Priority'!$D$25),AND($E165&lt;='07-Paper Priority'!$D$25,$F165&lt;='07-Paper Priority'!$C$25))),'07-Paper Priority'!$A$25,"")</f>
        <v>21</v>
      </c>
      <c r="AN165">
        <f>IF(AND('07-Paper Priority'!$A$26&gt;=MATCH($J165,'07-Paper Priority'!$B$5:$B$26,0),OR(AND($E165&lt;='07-Paper Priority'!$C$26,$F165&lt;='07-Paper Priority'!$D$26),AND($E165&lt;='07-Paper Priority'!$D$26,$F165&lt;='07-Paper Priority'!$C$26))),'07-Paper Priority'!$A$26,"")</f>
        <v>22</v>
      </c>
    </row>
    <row r="166" spans="1:40" ht="33.950000000000003" customHeight="1">
      <c r="A166" s="22" t="s">
        <v>2601</v>
      </c>
      <c r="B166" s="22" t="s">
        <v>2548</v>
      </c>
      <c r="C166" s="22" t="s">
        <v>2602</v>
      </c>
      <c r="D166" s="22" t="s">
        <v>2550</v>
      </c>
      <c r="E166" s="23">
        <v>90</v>
      </c>
      <c r="F166" s="23">
        <v>90</v>
      </c>
      <c r="G166" s="22" t="s">
        <v>2603</v>
      </c>
      <c r="H166" s="22" t="s">
        <v>2604</v>
      </c>
      <c r="I166" s="24" t="s">
        <v>2568</v>
      </c>
      <c r="J166" s="25" t="s">
        <v>652</v>
      </c>
      <c r="K166" s="26" t="str">
        <f>IF(COUNT(S166:AN166)=0,"NO FIT",INDEX('07-Paper Priority'!$B$5:$B$26,MIN(S166:AN166)))</f>
        <v>A6</v>
      </c>
      <c r="L166" s="26" t="str">
        <f>IF($K166="NO FIT","",IF(AND($E166&lt;=INDEX('07-Paper Priority'!$C$5:$C$26,MATCH($K166,'07-Paper Priority'!$B$5:$B$26,0)),$F166&lt;=INDEX('07-Paper Priority'!$D$5:$D$26,MATCH($K166,'07-Paper Priority'!$B$5:$B$26,0))),"PORTRAIT","ROTATED"))</f>
        <v>PORTRAIT</v>
      </c>
      <c r="M166" s="27">
        <f>IF($K166="NO FIT","",IF($L166="PORTRAIT",INDEX('07-Paper Priority'!$C$5:$C$26,MATCH($K166,'07-Paper Priority'!$B$5:$B$26,0)),INDEX('07-Paper Priority'!$D$5:$D$26,MATCH($K166,'07-Paper Priority'!$B$5:$B$26,0))))</f>
        <v>105</v>
      </c>
      <c r="N166" s="27">
        <f>IF($K166="NO FIT","",IF($L166="PORTRAIT",INDEX('07-Paper Priority'!$D$5:$D$26,MATCH($K166,'07-Paper Priority'!$B$5:$B$26,0)),INDEX('07-Paper Priority'!$C$5:$C$26,MATCH($K166,'07-Paper Priority'!$B$5:$B$26,0))))</f>
        <v>148</v>
      </c>
      <c r="O166" s="27">
        <f>IF($K166="NO FIT","",$M166-$E166)</f>
        <v>15</v>
      </c>
      <c r="P166" s="27">
        <f>IF($K166="NO FIT","",$N166-$F166)</f>
        <v>58</v>
      </c>
      <c r="Q166" s="28" t="str">
        <f>IF($K166="NO FIT","REVIEW - NO PAPER FIT",IF(OR($O166&lt;0,$P166&lt;0),"ERROR - FIT",IF(COUNTIF('02-Printing Size'!$A$2:$A$2169,$K166)=0,"ERROR - CODE MISSING","VALID - LOWEST PAPER")))</f>
        <v>VALID - LOWEST PAPER</v>
      </c>
      <c r="R166" s="22" t="s">
        <v>2605</v>
      </c>
      <c r="S166" t="str">
        <f>IF(AND('07-Paper Priority'!$A$5&gt;=MATCH($J166,'07-Paper Priority'!$B$5:$B$26,0),OR(AND($E166&lt;='07-Paper Priority'!$C$5,$F166&lt;='07-Paper Priority'!$D$5),AND($E166&lt;='07-Paper Priority'!$D$5,$F166&lt;='07-Paper Priority'!$C$5))),'07-Paper Priority'!$A$5,"")</f>
        <v/>
      </c>
      <c r="T166" t="str">
        <f>IF(AND('07-Paper Priority'!$A$6&gt;=MATCH($J166,'07-Paper Priority'!$B$5:$B$26,0),OR(AND($E166&lt;='07-Paper Priority'!$C$6,$F166&lt;='07-Paper Priority'!$D$6),AND($E166&lt;='07-Paper Priority'!$D$6,$F166&lt;='07-Paper Priority'!$C$6))),'07-Paper Priority'!$A$6,"")</f>
        <v/>
      </c>
      <c r="U166" t="str">
        <f>IF(AND('07-Paper Priority'!$A$7&gt;=MATCH($J166,'07-Paper Priority'!$B$5:$B$26,0),OR(AND($E166&lt;='07-Paper Priority'!$C$7,$F166&lt;='07-Paper Priority'!$D$7),AND($E166&lt;='07-Paper Priority'!$D$7,$F166&lt;='07-Paper Priority'!$C$7))),'07-Paper Priority'!$A$7,"")</f>
        <v/>
      </c>
      <c r="V166" t="str">
        <f>IF(AND('07-Paper Priority'!$A$8&gt;=MATCH($J166,'07-Paper Priority'!$B$5:$B$26,0),OR(AND($E166&lt;='07-Paper Priority'!$C$8,$F166&lt;='07-Paper Priority'!$D$8),AND($E166&lt;='07-Paper Priority'!$D$8,$F166&lt;='07-Paper Priority'!$C$8))),'07-Paper Priority'!$A$8,"")</f>
        <v/>
      </c>
      <c r="W166" t="str">
        <f>IF(AND('07-Paper Priority'!$A$9&gt;=MATCH($J166,'07-Paper Priority'!$B$5:$B$26,0),OR(AND($E166&lt;='07-Paper Priority'!$C$9,$F166&lt;='07-Paper Priority'!$D$9),AND($E166&lt;='07-Paper Priority'!$D$9,$F166&lt;='07-Paper Priority'!$C$9))),'07-Paper Priority'!$A$9,"")</f>
        <v/>
      </c>
      <c r="X166" t="str">
        <f>IF(AND('07-Paper Priority'!$A$10&gt;=MATCH($J166,'07-Paper Priority'!$B$5:$B$26,0),OR(AND($E166&lt;='07-Paper Priority'!$C$10,$F166&lt;='07-Paper Priority'!$D$10),AND($E166&lt;='07-Paper Priority'!$D$10,$F166&lt;='07-Paper Priority'!$C$10))),'07-Paper Priority'!$A$10,"")</f>
        <v/>
      </c>
      <c r="Y166" t="str">
        <f>IF(AND('07-Paper Priority'!$A$11&gt;=MATCH($J166,'07-Paper Priority'!$B$5:$B$26,0),OR(AND($E166&lt;='07-Paper Priority'!$C$11,$F166&lt;='07-Paper Priority'!$D$11),AND($E166&lt;='07-Paper Priority'!$D$11,$F166&lt;='07-Paper Priority'!$C$11))),'07-Paper Priority'!$A$11,"")</f>
        <v/>
      </c>
      <c r="Z166" t="str">
        <f>IF(AND('07-Paper Priority'!$A$12&gt;=MATCH($J166,'07-Paper Priority'!$B$5:$B$26,0),OR(AND($E166&lt;='07-Paper Priority'!$C$12,$F166&lt;='07-Paper Priority'!$D$12),AND($E166&lt;='07-Paper Priority'!$D$12,$F166&lt;='07-Paper Priority'!$C$12))),'07-Paper Priority'!$A$12,"")</f>
        <v/>
      </c>
      <c r="AA166">
        <f>IF(AND('07-Paper Priority'!$A$13&gt;=MATCH($J166,'07-Paper Priority'!$B$5:$B$26,0),OR(AND($E166&lt;='07-Paper Priority'!$C$13,$F166&lt;='07-Paper Priority'!$D$13),AND($E166&lt;='07-Paper Priority'!$D$13,$F166&lt;='07-Paper Priority'!$C$13))),'07-Paper Priority'!$A$13,"")</f>
        <v>9</v>
      </c>
      <c r="AB166">
        <f>IF(AND('07-Paper Priority'!$A$14&gt;=MATCH($J166,'07-Paper Priority'!$B$5:$B$26,0),OR(AND($E166&lt;='07-Paper Priority'!$C$14,$F166&lt;='07-Paper Priority'!$D$14),AND($E166&lt;='07-Paper Priority'!$D$14,$F166&lt;='07-Paper Priority'!$C$14))),'07-Paper Priority'!$A$14,"")</f>
        <v>10</v>
      </c>
      <c r="AC166">
        <f>IF(AND('07-Paper Priority'!$A$15&gt;=MATCH($J166,'07-Paper Priority'!$B$5:$B$26,0),OR(AND($E166&lt;='07-Paper Priority'!$C$15,$F166&lt;='07-Paper Priority'!$D$15),AND($E166&lt;='07-Paper Priority'!$D$15,$F166&lt;='07-Paper Priority'!$C$15))),'07-Paper Priority'!$A$15,"")</f>
        <v>11</v>
      </c>
      <c r="AD166">
        <f>IF(AND('07-Paper Priority'!$A$16&gt;=MATCH($J166,'07-Paper Priority'!$B$5:$B$26,0),OR(AND($E166&lt;='07-Paper Priority'!$C$16,$F166&lt;='07-Paper Priority'!$D$16),AND($E166&lt;='07-Paper Priority'!$D$16,$F166&lt;='07-Paper Priority'!$C$16))),'07-Paper Priority'!$A$16,"")</f>
        <v>12</v>
      </c>
      <c r="AE166">
        <f>IF(AND('07-Paper Priority'!$A$17&gt;=MATCH($J166,'07-Paper Priority'!$B$5:$B$26,0),OR(AND($E166&lt;='07-Paper Priority'!$C$17,$F166&lt;='07-Paper Priority'!$D$17),AND($E166&lt;='07-Paper Priority'!$D$17,$F166&lt;='07-Paper Priority'!$C$17))),'07-Paper Priority'!$A$17,"")</f>
        <v>13</v>
      </c>
      <c r="AF166">
        <f>IF(AND('07-Paper Priority'!$A$18&gt;=MATCH($J166,'07-Paper Priority'!$B$5:$B$26,0),OR(AND($E166&lt;='07-Paper Priority'!$C$18,$F166&lt;='07-Paper Priority'!$D$18),AND($E166&lt;='07-Paper Priority'!$D$18,$F166&lt;='07-Paper Priority'!$C$18))),'07-Paper Priority'!$A$18,"")</f>
        <v>14</v>
      </c>
      <c r="AG166">
        <f>IF(AND('07-Paper Priority'!$A$19&gt;=MATCH($J166,'07-Paper Priority'!$B$5:$B$26,0),OR(AND($E166&lt;='07-Paper Priority'!$C$19,$F166&lt;='07-Paper Priority'!$D$19),AND($E166&lt;='07-Paper Priority'!$D$19,$F166&lt;='07-Paper Priority'!$C$19))),'07-Paper Priority'!$A$19,"")</f>
        <v>15</v>
      </c>
      <c r="AH166">
        <f>IF(AND('07-Paper Priority'!$A$20&gt;=MATCH($J166,'07-Paper Priority'!$B$5:$B$26,0),OR(AND($E166&lt;='07-Paper Priority'!$C$20,$F166&lt;='07-Paper Priority'!$D$20),AND($E166&lt;='07-Paper Priority'!$D$20,$F166&lt;='07-Paper Priority'!$C$20))),'07-Paper Priority'!$A$20,"")</f>
        <v>16</v>
      </c>
      <c r="AI166">
        <f>IF(AND('07-Paper Priority'!$A$21&gt;=MATCH($J166,'07-Paper Priority'!$B$5:$B$26,0),OR(AND($E166&lt;='07-Paper Priority'!$C$21,$F166&lt;='07-Paper Priority'!$D$21),AND($E166&lt;='07-Paper Priority'!$D$21,$F166&lt;='07-Paper Priority'!$C$21))),'07-Paper Priority'!$A$21,"")</f>
        <v>17</v>
      </c>
      <c r="AJ166">
        <f>IF(AND('07-Paper Priority'!$A$22&gt;=MATCH($J166,'07-Paper Priority'!$B$5:$B$26,0),OR(AND($E166&lt;='07-Paper Priority'!$C$22,$F166&lt;='07-Paper Priority'!$D$22),AND($E166&lt;='07-Paper Priority'!$D$22,$F166&lt;='07-Paper Priority'!$C$22))),'07-Paper Priority'!$A$22,"")</f>
        <v>18</v>
      </c>
      <c r="AK166">
        <f>IF(AND('07-Paper Priority'!$A$23&gt;=MATCH($J166,'07-Paper Priority'!$B$5:$B$26,0),OR(AND($E166&lt;='07-Paper Priority'!$C$23,$F166&lt;='07-Paper Priority'!$D$23),AND($E166&lt;='07-Paper Priority'!$D$23,$F166&lt;='07-Paper Priority'!$C$23))),'07-Paper Priority'!$A$23,"")</f>
        <v>19</v>
      </c>
      <c r="AL166">
        <f>IF(AND('07-Paper Priority'!$A$24&gt;=MATCH($J166,'07-Paper Priority'!$B$5:$B$26,0),OR(AND($E166&lt;='07-Paper Priority'!$C$24,$F166&lt;='07-Paper Priority'!$D$24),AND($E166&lt;='07-Paper Priority'!$D$24,$F166&lt;='07-Paper Priority'!$C$24))),'07-Paper Priority'!$A$24,"")</f>
        <v>20</v>
      </c>
      <c r="AM166">
        <f>IF(AND('07-Paper Priority'!$A$25&gt;=MATCH($J166,'07-Paper Priority'!$B$5:$B$26,0),OR(AND($E166&lt;='07-Paper Priority'!$C$25,$F166&lt;='07-Paper Priority'!$D$25),AND($E166&lt;='07-Paper Priority'!$D$25,$F166&lt;='07-Paper Priority'!$C$25))),'07-Paper Priority'!$A$25,"")</f>
        <v>21</v>
      </c>
      <c r="AN166">
        <f>IF(AND('07-Paper Priority'!$A$26&gt;=MATCH($J166,'07-Paper Priority'!$B$5:$B$26,0),OR(AND($E166&lt;='07-Paper Priority'!$C$26,$F166&lt;='07-Paper Priority'!$D$26),AND($E166&lt;='07-Paper Priority'!$D$26,$F166&lt;='07-Paper Priority'!$C$26))),'07-Paper Priority'!$A$26,"")</f>
        <v>22</v>
      </c>
    </row>
    <row r="167" spans="1:40" ht="33.950000000000003" customHeight="1">
      <c r="A167" s="22" t="s">
        <v>2606</v>
      </c>
      <c r="B167" s="22" t="s">
        <v>2548</v>
      </c>
      <c r="C167" s="22" t="s">
        <v>2549</v>
      </c>
      <c r="D167" s="22" t="s">
        <v>2550</v>
      </c>
      <c r="E167" s="23">
        <v>70</v>
      </c>
      <c r="F167" s="23">
        <v>70</v>
      </c>
      <c r="G167" s="22" t="s">
        <v>2607</v>
      </c>
      <c r="H167" s="22" t="s">
        <v>2608</v>
      </c>
      <c r="I167" s="24" t="s">
        <v>2553</v>
      </c>
      <c r="J167" s="25" t="s">
        <v>726</v>
      </c>
      <c r="K167" s="26" t="str">
        <f>IF(COUNT(S167:AN167)=0,"NO FIT",INDEX('07-Paper Priority'!$B$5:$B$26,MIN(S167:AN167)))</f>
        <v>A7</v>
      </c>
      <c r="L167" s="26" t="str">
        <f>IF($K167="NO FIT","",IF(AND($E167&lt;=INDEX('07-Paper Priority'!$C$5:$C$26,MATCH($K167,'07-Paper Priority'!$B$5:$B$26,0)),$F167&lt;=INDEX('07-Paper Priority'!$D$5:$D$26,MATCH($K167,'07-Paper Priority'!$B$5:$B$26,0))),"PORTRAIT","ROTATED"))</f>
        <v>PORTRAIT</v>
      </c>
      <c r="M167" s="27">
        <f>IF($K167="NO FIT","",IF($L167="PORTRAIT",INDEX('07-Paper Priority'!$C$5:$C$26,MATCH($K167,'07-Paper Priority'!$B$5:$B$26,0)),INDEX('07-Paper Priority'!$D$5:$D$26,MATCH($K167,'07-Paper Priority'!$B$5:$B$26,0))))</f>
        <v>74</v>
      </c>
      <c r="N167" s="27">
        <f>IF($K167="NO FIT","",IF($L167="PORTRAIT",INDEX('07-Paper Priority'!$D$5:$D$26,MATCH($K167,'07-Paper Priority'!$B$5:$B$26,0)),INDEX('07-Paper Priority'!$C$5:$C$26,MATCH($K167,'07-Paper Priority'!$B$5:$B$26,0))))</f>
        <v>105</v>
      </c>
      <c r="O167" s="27">
        <f>IF($K167="NO FIT","",$M167-$E167)</f>
        <v>4</v>
      </c>
      <c r="P167" s="27">
        <f>IF($K167="NO FIT","",$N167-$F167)</f>
        <v>35</v>
      </c>
      <c r="Q167" s="28" t="str">
        <f>IF($K167="NO FIT","REVIEW - NO PAPER FIT",IF(OR($O167&lt;0,$P167&lt;0),"ERROR - FIT",IF(COUNTIF('02-Printing Size'!$A$2:$A$2169,$K167)=0,"ERROR - CODE MISSING","VALID - LOWEST PAPER")))</f>
        <v>VALID - LOWEST PAPER</v>
      </c>
      <c r="R167" s="22" t="s">
        <v>2609</v>
      </c>
      <c r="S167" t="str">
        <f>IF(AND('07-Paper Priority'!$A$5&gt;=MATCH($J167,'07-Paper Priority'!$B$5:$B$26,0),OR(AND($E167&lt;='07-Paper Priority'!$C$5,$F167&lt;='07-Paper Priority'!$D$5),AND($E167&lt;='07-Paper Priority'!$D$5,$F167&lt;='07-Paper Priority'!$C$5))),'07-Paper Priority'!$A$5,"")</f>
        <v/>
      </c>
      <c r="T167" t="str">
        <f>IF(AND('07-Paper Priority'!$A$6&gt;=MATCH($J167,'07-Paper Priority'!$B$5:$B$26,0),OR(AND($E167&lt;='07-Paper Priority'!$C$6,$F167&lt;='07-Paper Priority'!$D$6),AND($E167&lt;='07-Paper Priority'!$D$6,$F167&lt;='07-Paper Priority'!$C$6))),'07-Paper Priority'!$A$6,"")</f>
        <v/>
      </c>
      <c r="U167" t="str">
        <f>IF(AND('07-Paper Priority'!$A$7&gt;=MATCH($J167,'07-Paper Priority'!$B$5:$B$26,0),OR(AND($E167&lt;='07-Paper Priority'!$C$7,$F167&lt;='07-Paper Priority'!$D$7),AND($E167&lt;='07-Paper Priority'!$D$7,$F167&lt;='07-Paper Priority'!$C$7))),'07-Paper Priority'!$A$7,"")</f>
        <v/>
      </c>
      <c r="V167" t="str">
        <f>IF(AND('07-Paper Priority'!$A$8&gt;=MATCH($J167,'07-Paper Priority'!$B$5:$B$26,0),OR(AND($E167&lt;='07-Paper Priority'!$C$8,$F167&lt;='07-Paper Priority'!$D$8),AND($E167&lt;='07-Paper Priority'!$D$8,$F167&lt;='07-Paper Priority'!$C$8))),'07-Paper Priority'!$A$8,"")</f>
        <v/>
      </c>
      <c r="W167" t="str">
        <f>IF(AND('07-Paper Priority'!$A$9&gt;=MATCH($J167,'07-Paper Priority'!$B$5:$B$26,0),OR(AND($E167&lt;='07-Paper Priority'!$C$9,$F167&lt;='07-Paper Priority'!$D$9),AND($E167&lt;='07-Paper Priority'!$D$9,$F167&lt;='07-Paper Priority'!$C$9))),'07-Paper Priority'!$A$9,"")</f>
        <v/>
      </c>
      <c r="X167" t="str">
        <f>IF(AND('07-Paper Priority'!$A$10&gt;=MATCH($J167,'07-Paper Priority'!$B$5:$B$26,0),OR(AND($E167&lt;='07-Paper Priority'!$C$10,$F167&lt;='07-Paper Priority'!$D$10),AND($E167&lt;='07-Paper Priority'!$D$10,$F167&lt;='07-Paper Priority'!$C$10))),'07-Paper Priority'!$A$10,"")</f>
        <v/>
      </c>
      <c r="Y167">
        <f>IF(AND('07-Paper Priority'!$A$11&gt;=MATCH($J167,'07-Paper Priority'!$B$5:$B$26,0),OR(AND($E167&lt;='07-Paper Priority'!$C$11,$F167&lt;='07-Paper Priority'!$D$11),AND($E167&lt;='07-Paper Priority'!$D$11,$F167&lt;='07-Paper Priority'!$C$11))),'07-Paper Priority'!$A$11,"")</f>
        <v>7</v>
      </c>
      <c r="Z167">
        <f>IF(AND('07-Paper Priority'!$A$12&gt;=MATCH($J167,'07-Paper Priority'!$B$5:$B$26,0),OR(AND($E167&lt;='07-Paper Priority'!$C$12,$F167&lt;='07-Paper Priority'!$D$12),AND($E167&lt;='07-Paper Priority'!$D$12,$F167&lt;='07-Paper Priority'!$C$12))),'07-Paper Priority'!$A$12,"")</f>
        <v>8</v>
      </c>
      <c r="AA167">
        <f>IF(AND('07-Paper Priority'!$A$13&gt;=MATCH($J167,'07-Paper Priority'!$B$5:$B$26,0),OR(AND($E167&lt;='07-Paper Priority'!$C$13,$F167&lt;='07-Paper Priority'!$D$13),AND($E167&lt;='07-Paper Priority'!$D$13,$F167&lt;='07-Paper Priority'!$C$13))),'07-Paper Priority'!$A$13,"")</f>
        <v>9</v>
      </c>
      <c r="AB167">
        <f>IF(AND('07-Paper Priority'!$A$14&gt;=MATCH($J167,'07-Paper Priority'!$B$5:$B$26,0),OR(AND($E167&lt;='07-Paper Priority'!$C$14,$F167&lt;='07-Paper Priority'!$D$14),AND($E167&lt;='07-Paper Priority'!$D$14,$F167&lt;='07-Paper Priority'!$C$14))),'07-Paper Priority'!$A$14,"")</f>
        <v>10</v>
      </c>
      <c r="AC167">
        <f>IF(AND('07-Paper Priority'!$A$15&gt;=MATCH($J167,'07-Paper Priority'!$B$5:$B$26,0),OR(AND($E167&lt;='07-Paper Priority'!$C$15,$F167&lt;='07-Paper Priority'!$D$15),AND($E167&lt;='07-Paper Priority'!$D$15,$F167&lt;='07-Paper Priority'!$C$15))),'07-Paper Priority'!$A$15,"")</f>
        <v>11</v>
      </c>
      <c r="AD167">
        <f>IF(AND('07-Paper Priority'!$A$16&gt;=MATCH($J167,'07-Paper Priority'!$B$5:$B$26,0),OR(AND($E167&lt;='07-Paper Priority'!$C$16,$F167&lt;='07-Paper Priority'!$D$16),AND($E167&lt;='07-Paper Priority'!$D$16,$F167&lt;='07-Paper Priority'!$C$16))),'07-Paper Priority'!$A$16,"")</f>
        <v>12</v>
      </c>
      <c r="AE167">
        <f>IF(AND('07-Paper Priority'!$A$17&gt;=MATCH($J167,'07-Paper Priority'!$B$5:$B$26,0),OR(AND($E167&lt;='07-Paper Priority'!$C$17,$F167&lt;='07-Paper Priority'!$D$17),AND($E167&lt;='07-Paper Priority'!$D$17,$F167&lt;='07-Paper Priority'!$C$17))),'07-Paper Priority'!$A$17,"")</f>
        <v>13</v>
      </c>
      <c r="AF167">
        <f>IF(AND('07-Paper Priority'!$A$18&gt;=MATCH($J167,'07-Paper Priority'!$B$5:$B$26,0),OR(AND($E167&lt;='07-Paper Priority'!$C$18,$F167&lt;='07-Paper Priority'!$D$18),AND($E167&lt;='07-Paper Priority'!$D$18,$F167&lt;='07-Paper Priority'!$C$18))),'07-Paper Priority'!$A$18,"")</f>
        <v>14</v>
      </c>
      <c r="AG167">
        <f>IF(AND('07-Paper Priority'!$A$19&gt;=MATCH($J167,'07-Paper Priority'!$B$5:$B$26,0),OR(AND($E167&lt;='07-Paper Priority'!$C$19,$F167&lt;='07-Paper Priority'!$D$19),AND($E167&lt;='07-Paper Priority'!$D$19,$F167&lt;='07-Paper Priority'!$C$19))),'07-Paper Priority'!$A$19,"")</f>
        <v>15</v>
      </c>
      <c r="AH167">
        <f>IF(AND('07-Paper Priority'!$A$20&gt;=MATCH($J167,'07-Paper Priority'!$B$5:$B$26,0),OR(AND($E167&lt;='07-Paper Priority'!$C$20,$F167&lt;='07-Paper Priority'!$D$20),AND($E167&lt;='07-Paper Priority'!$D$20,$F167&lt;='07-Paper Priority'!$C$20))),'07-Paper Priority'!$A$20,"")</f>
        <v>16</v>
      </c>
      <c r="AI167">
        <f>IF(AND('07-Paper Priority'!$A$21&gt;=MATCH($J167,'07-Paper Priority'!$B$5:$B$26,0),OR(AND($E167&lt;='07-Paper Priority'!$C$21,$F167&lt;='07-Paper Priority'!$D$21),AND($E167&lt;='07-Paper Priority'!$D$21,$F167&lt;='07-Paper Priority'!$C$21))),'07-Paper Priority'!$A$21,"")</f>
        <v>17</v>
      </c>
      <c r="AJ167">
        <f>IF(AND('07-Paper Priority'!$A$22&gt;=MATCH($J167,'07-Paper Priority'!$B$5:$B$26,0),OR(AND($E167&lt;='07-Paper Priority'!$C$22,$F167&lt;='07-Paper Priority'!$D$22),AND($E167&lt;='07-Paper Priority'!$D$22,$F167&lt;='07-Paper Priority'!$C$22))),'07-Paper Priority'!$A$22,"")</f>
        <v>18</v>
      </c>
      <c r="AK167">
        <f>IF(AND('07-Paper Priority'!$A$23&gt;=MATCH($J167,'07-Paper Priority'!$B$5:$B$26,0),OR(AND($E167&lt;='07-Paper Priority'!$C$23,$F167&lt;='07-Paper Priority'!$D$23),AND($E167&lt;='07-Paper Priority'!$D$23,$F167&lt;='07-Paper Priority'!$C$23))),'07-Paper Priority'!$A$23,"")</f>
        <v>19</v>
      </c>
      <c r="AL167">
        <f>IF(AND('07-Paper Priority'!$A$24&gt;=MATCH($J167,'07-Paper Priority'!$B$5:$B$26,0),OR(AND($E167&lt;='07-Paper Priority'!$C$24,$F167&lt;='07-Paper Priority'!$D$24),AND($E167&lt;='07-Paper Priority'!$D$24,$F167&lt;='07-Paper Priority'!$C$24))),'07-Paper Priority'!$A$24,"")</f>
        <v>20</v>
      </c>
      <c r="AM167">
        <f>IF(AND('07-Paper Priority'!$A$25&gt;=MATCH($J167,'07-Paper Priority'!$B$5:$B$26,0),OR(AND($E167&lt;='07-Paper Priority'!$C$25,$F167&lt;='07-Paper Priority'!$D$25),AND($E167&lt;='07-Paper Priority'!$D$25,$F167&lt;='07-Paper Priority'!$C$25))),'07-Paper Priority'!$A$25,"")</f>
        <v>21</v>
      </c>
      <c r="AN167">
        <f>IF(AND('07-Paper Priority'!$A$26&gt;=MATCH($J167,'07-Paper Priority'!$B$5:$B$26,0),OR(AND($E167&lt;='07-Paper Priority'!$C$26,$F167&lt;='07-Paper Priority'!$D$26),AND($E167&lt;='07-Paper Priority'!$D$26,$F167&lt;='07-Paper Priority'!$C$26))),'07-Paper Priority'!$A$26,"")</f>
        <v>22</v>
      </c>
    </row>
    <row r="168" spans="1:40" ht="33.950000000000003" customHeight="1">
      <c r="A168" s="22" t="s">
        <v>2610</v>
      </c>
      <c r="B168" s="22" t="s">
        <v>2548</v>
      </c>
      <c r="C168" s="22" t="s">
        <v>2549</v>
      </c>
      <c r="D168" s="22" t="s">
        <v>2611</v>
      </c>
      <c r="E168" s="23">
        <v>60</v>
      </c>
      <c r="F168" s="23">
        <v>280</v>
      </c>
      <c r="G168" s="22" t="s">
        <v>2612</v>
      </c>
      <c r="H168" s="22" t="s">
        <v>2613</v>
      </c>
      <c r="I168" s="24" t="s">
        <v>2568</v>
      </c>
      <c r="J168" s="25" t="s">
        <v>504</v>
      </c>
      <c r="K168" s="26" t="str">
        <f>IF(COUNT(S168:AN168)=0,"NO FIT",INDEX('07-Paper Priority'!$B$5:$B$26,MIN(S168:AN168)))</f>
        <v>A4</v>
      </c>
      <c r="L168" s="26" t="str">
        <f>IF($K168="NO FIT","",IF(AND($E168&lt;=INDEX('07-Paper Priority'!$C$5:$C$26,MATCH($K168,'07-Paper Priority'!$B$5:$B$26,0)),$F168&lt;=INDEX('07-Paper Priority'!$D$5:$D$26,MATCH($K168,'07-Paper Priority'!$B$5:$B$26,0))),"PORTRAIT","ROTATED"))</f>
        <v>PORTRAIT</v>
      </c>
      <c r="M168" s="27">
        <f>IF($K168="NO FIT","",IF($L168="PORTRAIT",INDEX('07-Paper Priority'!$C$5:$C$26,MATCH($K168,'07-Paper Priority'!$B$5:$B$26,0)),INDEX('07-Paper Priority'!$D$5:$D$26,MATCH($K168,'07-Paper Priority'!$B$5:$B$26,0))))</f>
        <v>210</v>
      </c>
      <c r="N168" s="27">
        <f>IF($K168="NO FIT","",IF($L168="PORTRAIT",INDEX('07-Paper Priority'!$D$5:$D$26,MATCH($K168,'07-Paper Priority'!$B$5:$B$26,0)),INDEX('07-Paper Priority'!$C$5:$C$26,MATCH($K168,'07-Paper Priority'!$B$5:$B$26,0))))</f>
        <v>297</v>
      </c>
      <c r="O168" s="27">
        <f>IF($K168="NO FIT","",$M168-$E168)</f>
        <v>150</v>
      </c>
      <c r="P168" s="27">
        <f>IF($K168="NO FIT","",$N168-$F168)</f>
        <v>17</v>
      </c>
      <c r="Q168" s="28" t="str">
        <f>IF($K168="NO FIT","REVIEW - NO PAPER FIT",IF(OR($O168&lt;0,$P168&lt;0),"ERROR - FIT",IF(COUNTIF('02-Printing Size'!$A$2:$A$2169,$K168)=0,"ERROR - CODE MISSING","VALID - LOWEST PAPER")))</f>
        <v>VALID - LOWEST PAPER</v>
      </c>
      <c r="R168" s="22" t="s">
        <v>2614</v>
      </c>
      <c r="S168" t="str">
        <f>IF(AND('07-Paper Priority'!$A$5&gt;=MATCH($J168,'07-Paper Priority'!$B$5:$B$26,0),OR(AND($E168&lt;='07-Paper Priority'!$C$5,$F168&lt;='07-Paper Priority'!$D$5),AND($E168&lt;='07-Paper Priority'!$D$5,$F168&lt;='07-Paper Priority'!$C$5))),'07-Paper Priority'!$A$5,"")</f>
        <v/>
      </c>
      <c r="T168" t="str">
        <f>IF(AND('07-Paper Priority'!$A$6&gt;=MATCH($J168,'07-Paper Priority'!$B$5:$B$26,0),OR(AND($E168&lt;='07-Paper Priority'!$C$6,$F168&lt;='07-Paper Priority'!$D$6),AND($E168&lt;='07-Paper Priority'!$D$6,$F168&lt;='07-Paper Priority'!$C$6))),'07-Paper Priority'!$A$6,"")</f>
        <v/>
      </c>
      <c r="U168" t="str">
        <f>IF(AND('07-Paper Priority'!$A$7&gt;=MATCH($J168,'07-Paper Priority'!$B$5:$B$26,0),OR(AND($E168&lt;='07-Paper Priority'!$C$7,$F168&lt;='07-Paper Priority'!$D$7),AND($E168&lt;='07-Paper Priority'!$D$7,$F168&lt;='07-Paper Priority'!$C$7))),'07-Paper Priority'!$A$7,"")</f>
        <v/>
      </c>
      <c r="V168" t="str">
        <f>IF(AND('07-Paper Priority'!$A$8&gt;=MATCH($J168,'07-Paper Priority'!$B$5:$B$26,0),OR(AND($E168&lt;='07-Paper Priority'!$C$8,$F168&lt;='07-Paper Priority'!$D$8),AND($E168&lt;='07-Paper Priority'!$D$8,$F168&lt;='07-Paper Priority'!$C$8))),'07-Paper Priority'!$A$8,"")</f>
        <v/>
      </c>
      <c r="W168" t="str">
        <f>IF(AND('07-Paper Priority'!$A$9&gt;=MATCH($J168,'07-Paper Priority'!$B$5:$B$26,0),OR(AND($E168&lt;='07-Paper Priority'!$C$9,$F168&lt;='07-Paper Priority'!$D$9),AND($E168&lt;='07-Paper Priority'!$D$9,$F168&lt;='07-Paper Priority'!$C$9))),'07-Paper Priority'!$A$9,"")</f>
        <v/>
      </c>
      <c r="X168" t="str">
        <f>IF(AND('07-Paper Priority'!$A$10&gt;=MATCH($J168,'07-Paper Priority'!$B$5:$B$26,0),OR(AND($E168&lt;='07-Paper Priority'!$C$10,$F168&lt;='07-Paper Priority'!$D$10),AND($E168&lt;='07-Paper Priority'!$D$10,$F168&lt;='07-Paper Priority'!$C$10))),'07-Paper Priority'!$A$10,"")</f>
        <v/>
      </c>
      <c r="Y168" t="str">
        <f>IF(AND('07-Paper Priority'!$A$11&gt;=MATCH($J168,'07-Paper Priority'!$B$5:$B$26,0),OR(AND($E168&lt;='07-Paper Priority'!$C$11,$F168&lt;='07-Paper Priority'!$D$11),AND($E168&lt;='07-Paper Priority'!$D$11,$F168&lt;='07-Paper Priority'!$C$11))),'07-Paper Priority'!$A$11,"")</f>
        <v/>
      </c>
      <c r="Z168" t="str">
        <f>IF(AND('07-Paper Priority'!$A$12&gt;=MATCH($J168,'07-Paper Priority'!$B$5:$B$26,0),OR(AND($E168&lt;='07-Paper Priority'!$C$12,$F168&lt;='07-Paper Priority'!$D$12),AND($E168&lt;='07-Paper Priority'!$D$12,$F168&lt;='07-Paper Priority'!$C$12))),'07-Paper Priority'!$A$12,"")</f>
        <v/>
      </c>
      <c r="AA168" t="str">
        <f>IF(AND('07-Paper Priority'!$A$13&gt;=MATCH($J168,'07-Paper Priority'!$B$5:$B$26,0),OR(AND($E168&lt;='07-Paper Priority'!$C$13,$F168&lt;='07-Paper Priority'!$D$13),AND($E168&lt;='07-Paper Priority'!$D$13,$F168&lt;='07-Paper Priority'!$C$13))),'07-Paper Priority'!$A$13,"")</f>
        <v/>
      </c>
      <c r="AB168" t="str">
        <f>IF(AND('07-Paper Priority'!$A$14&gt;=MATCH($J168,'07-Paper Priority'!$B$5:$B$26,0),OR(AND($E168&lt;='07-Paper Priority'!$C$14,$F168&lt;='07-Paper Priority'!$D$14),AND($E168&lt;='07-Paper Priority'!$D$14,$F168&lt;='07-Paper Priority'!$C$14))),'07-Paper Priority'!$A$14,"")</f>
        <v/>
      </c>
      <c r="AC168" t="str">
        <f>IF(AND('07-Paper Priority'!$A$15&gt;=MATCH($J168,'07-Paper Priority'!$B$5:$B$26,0),OR(AND($E168&lt;='07-Paper Priority'!$C$15,$F168&lt;='07-Paper Priority'!$D$15),AND($E168&lt;='07-Paper Priority'!$D$15,$F168&lt;='07-Paper Priority'!$C$15))),'07-Paper Priority'!$A$15,"")</f>
        <v/>
      </c>
      <c r="AD168" t="str">
        <f>IF(AND('07-Paper Priority'!$A$16&gt;=MATCH($J168,'07-Paper Priority'!$B$5:$B$26,0),OR(AND($E168&lt;='07-Paper Priority'!$C$16,$F168&lt;='07-Paper Priority'!$D$16),AND($E168&lt;='07-Paper Priority'!$D$16,$F168&lt;='07-Paper Priority'!$C$16))),'07-Paper Priority'!$A$16,"")</f>
        <v/>
      </c>
      <c r="AE168">
        <f>IF(AND('07-Paper Priority'!$A$17&gt;=MATCH($J168,'07-Paper Priority'!$B$5:$B$26,0),OR(AND($E168&lt;='07-Paper Priority'!$C$17,$F168&lt;='07-Paper Priority'!$D$17),AND($E168&lt;='07-Paper Priority'!$D$17,$F168&lt;='07-Paper Priority'!$C$17))),'07-Paper Priority'!$A$17,"")</f>
        <v>13</v>
      </c>
      <c r="AF168">
        <f>IF(AND('07-Paper Priority'!$A$18&gt;=MATCH($J168,'07-Paper Priority'!$B$5:$B$26,0),OR(AND($E168&lt;='07-Paper Priority'!$C$18,$F168&lt;='07-Paper Priority'!$D$18),AND($E168&lt;='07-Paper Priority'!$D$18,$F168&lt;='07-Paper Priority'!$C$18))),'07-Paper Priority'!$A$18,"")</f>
        <v>14</v>
      </c>
      <c r="AG168">
        <f>IF(AND('07-Paper Priority'!$A$19&gt;=MATCH($J168,'07-Paper Priority'!$B$5:$B$26,0),OR(AND($E168&lt;='07-Paper Priority'!$C$19,$F168&lt;='07-Paper Priority'!$D$19),AND($E168&lt;='07-Paper Priority'!$D$19,$F168&lt;='07-Paper Priority'!$C$19))),'07-Paper Priority'!$A$19,"")</f>
        <v>15</v>
      </c>
      <c r="AH168">
        <f>IF(AND('07-Paper Priority'!$A$20&gt;=MATCH($J168,'07-Paper Priority'!$B$5:$B$26,0),OR(AND($E168&lt;='07-Paper Priority'!$C$20,$F168&lt;='07-Paper Priority'!$D$20),AND($E168&lt;='07-Paper Priority'!$D$20,$F168&lt;='07-Paper Priority'!$C$20))),'07-Paper Priority'!$A$20,"")</f>
        <v>16</v>
      </c>
      <c r="AI168">
        <f>IF(AND('07-Paper Priority'!$A$21&gt;=MATCH($J168,'07-Paper Priority'!$B$5:$B$26,0),OR(AND($E168&lt;='07-Paper Priority'!$C$21,$F168&lt;='07-Paper Priority'!$D$21),AND($E168&lt;='07-Paper Priority'!$D$21,$F168&lt;='07-Paper Priority'!$C$21))),'07-Paper Priority'!$A$21,"")</f>
        <v>17</v>
      </c>
      <c r="AJ168">
        <f>IF(AND('07-Paper Priority'!$A$22&gt;=MATCH($J168,'07-Paper Priority'!$B$5:$B$26,0),OR(AND($E168&lt;='07-Paper Priority'!$C$22,$F168&lt;='07-Paper Priority'!$D$22),AND($E168&lt;='07-Paper Priority'!$D$22,$F168&lt;='07-Paper Priority'!$C$22))),'07-Paper Priority'!$A$22,"")</f>
        <v>18</v>
      </c>
      <c r="AK168">
        <f>IF(AND('07-Paper Priority'!$A$23&gt;=MATCH($J168,'07-Paper Priority'!$B$5:$B$26,0),OR(AND($E168&lt;='07-Paper Priority'!$C$23,$F168&lt;='07-Paper Priority'!$D$23),AND($E168&lt;='07-Paper Priority'!$D$23,$F168&lt;='07-Paper Priority'!$C$23))),'07-Paper Priority'!$A$23,"")</f>
        <v>19</v>
      </c>
      <c r="AL168">
        <f>IF(AND('07-Paper Priority'!$A$24&gt;=MATCH($J168,'07-Paper Priority'!$B$5:$B$26,0),OR(AND($E168&lt;='07-Paper Priority'!$C$24,$F168&lt;='07-Paper Priority'!$D$24),AND($E168&lt;='07-Paper Priority'!$D$24,$F168&lt;='07-Paper Priority'!$C$24))),'07-Paper Priority'!$A$24,"")</f>
        <v>20</v>
      </c>
      <c r="AM168">
        <f>IF(AND('07-Paper Priority'!$A$25&gt;=MATCH($J168,'07-Paper Priority'!$B$5:$B$26,0),OR(AND($E168&lt;='07-Paper Priority'!$C$25,$F168&lt;='07-Paper Priority'!$D$25),AND($E168&lt;='07-Paper Priority'!$D$25,$F168&lt;='07-Paper Priority'!$C$25))),'07-Paper Priority'!$A$25,"")</f>
        <v>21</v>
      </c>
      <c r="AN168">
        <f>IF(AND('07-Paper Priority'!$A$26&gt;=MATCH($J168,'07-Paper Priority'!$B$5:$B$26,0),OR(AND($E168&lt;='07-Paper Priority'!$C$26,$F168&lt;='07-Paper Priority'!$D$26),AND($E168&lt;='07-Paper Priority'!$D$26,$F168&lt;='07-Paper Priority'!$C$26))),'07-Paper Priority'!$A$26,"")</f>
        <v>22</v>
      </c>
    </row>
    <row r="169" spans="1:40" ht="33.950000000000003" customHeight="1">
      <c r="A169" s="22" t="s">
        <v>2615</v>
      </c>
      <c r="B169" s="22" t="s">
        <v>2548</v>
      </c>
      <c r="C169" s="22" t="s">
        <v>2549</v>
      </c>
      <c r="D169" s="22" t="s">
        <v>2611</v>
      </c>
      <c r="E169" s="23">
        <v>80</v>
      </c>
      <c r="F169" s="23">
        <v>50</v>
      </c>
      <c r="G169" s="22" t="s">
        <v>2616</v>
      </c>
      <c r="H169" s="22" t="s">
        <v>2617</v>
      </c>
      <c r="I169" s="24" t="s">
        <v>2553</v>
      </c>
      <c r="J169" s="25" t="s">
        <v>800</v>
      </c>
      <c r="K169" s="26" t="str">
        <f>IF(COUNT(S169:AN169)=0,"NO FIT",INDEX('07-Paper Priority'!$B$5:$B$26,MIN(S169:AN169)))</f>
        <v>B8</v>
      </c>
      <c r="L169" s="26" t="str">
        <f>IF($K169="NO FIT","",IF(AND($E169&lt;=INDEX('07-Paper Priority'!$C$5:$C$26,MATCH($K169,'07-Paper Priority'!$B$5:$B$26,0)),$F169&lt;=INDEX('07-Paper Priority'!$D$5:$D$26,MATCH($K169,'07-Paper Priority'!$B$5:$B$26,0))),"PORTRAIT","ROTATED"))</f>
        <v>ROTATED</v>
      </c>
      <c r="M169" s="27">
        <f>IF($K169="NO FIT","",IF($L169="PORTRAIT",INDEX('07-Paper Priority'!$C$5:$C$26,MATCH($K169,'07-Paper Priority'!$B$5:$B$26,0)),INDEX('07-Paper Priority'!$D$5:$D$26,MATCH($K169,'07-Paper Priority'!$B$5:$B$26,0))))</f>
        <v>88</v>
      </c>
      <c r="N169" s="27">
        <f>IF($K169="NO FIT","",IF($L169="PORTRAIT",INDEX('07-Paper Priority'!$D$5:$D$26,MATCH($K169,'07-Paper Priority'!$B$5:$B$26,0)),INDEX('07-Paper Priority'!$C$5:$C$26,MATCH($K169,'07-Paper Priority'!$B$5:$B$26,0))))</f>
        <v>62</v>
      </c>
      <c r="O169" s="27">
        <f>IF($K169="NO FIT","",$M169-$E169)</f>
        <v>8</v>
      </c>
      <c r="P169" s="27">
        <f>IF($K169="NO FIT","",$N169-$F169)</f>
        <v>12</v>
      </c>
      <c r="Q169" s="28" t="str">
        <f>IF($K169="NO FIT","REVIEW - NO PAPER FIT",IF(OR($O169&lt;0,$P169&lt;0),"ERROR - FIT",IF(COUNTIF('02-Printing Size'!$A$2:$A$2169,$K169)=0,"ERROR - CODE MISSING","VALID - LOWEST PAPER")))</f>
        <v>VALID - LOWEST PAPER</v>
      </c>
      <c r="R169" s="22" t="s">
        <v>2618</v>
      </c>
      <c r="S169" t="str">
        <f>IF(AND('07-Paper Priority'!$A$5&gt;=MATCH($J169,'07-Paper Priority'!$B$5:$B$26,0),OR(AND($E169&lt;='07-Paper Priority'!$C$5,$F169&lt;='07-Paper Priority'!$D$5),AND($E169&lt;='07-Paper Priority'!$D$5,$F169&lt;='07-Paper Priority'!$C$5))),'07-Paper Priority'!$A$5,"")</f>
        <v/>
      </c>
      <c r="T169" t="str">
        <f>IF(AND('07-Paper Priority'!$A$6&gt;=MATCH($J169,'07-Paper Priority'!$B$5:$B$26,0),OR(AND($E169&lt;='07-Paper Priority'!$C$6,$F169&lt;='07-Paper Priority'!$D$6),AND($E169&lt;='07-Paper Priority'!$D$6,$F169&lt;='07-Paper Priority'!$C$6))),'07-Paper Priority'!$A$6,"")</f>
        <v/>
      </c>
      <c r="U169" t="str">
        <f>IF(AND('07-Paper Priority'!$A$7&gt;=MATCH($J169,'07-Paper Priority'!$B$5:$B$26,0),OR(AND($E169&lt;='07-Paper Priority'!$C$7,$F169&lt;='07-Paper Priority'!$D$7),AND($E169&lt;='07-Paper Priority'!$D$7,$F169&lt;='07-Paper Priority'!$C$7))),'07-Paper Priority'!$A$7,"")</f>
        <v/>
      </c>
      <c r="V169" t="str">
        <f>IF(AND('07-Paper Priority'!$A$8&gt;=MATCH($J169,'07-Paper Priority'!$B$5:$B$26,0),OR(AND($E169&lt;='07-Paper Priority'!$C$8,$F169&lt;='07-Paper Priority'!$D$8),AND($E169&lt;='07-Paper Priority'!$D$8,$F169&lt;='07-Paper Priority'!$C$8))),'07-Paper Priority'!$A$8,"")</f>
        <v/>
      </c>
      <c r="W169" t="str">
        <f>IF(AND('07-Paper Priority'!$A$9&gt;=MATCH($J169,'07-Paper Priority'!$B$5:$B$26,0),OR(AND($E169&lt;='07-Paper Priority'!$C$9,$F169&lt;='07-Paper Priority'!$D$9),AND($E169&lt;='07-Paper Priority'!$D$9,$F169&lt;='07-Paper Priority'!$C$9))),'07-Paper Priority'!$A$9,"")</f>
        <v/>
      </c>
      <c r="X169">
        <f>IF(AND('07-Paper Priority'!$A$10&gt;=MATCH($J169,'07-Paper Priority'!$B$5:$B$26,0),OR(AND($E169&lt;='07-Paper Priority'!$C$10,$F169&lt;='07-Paper Priority'!$D$10),AND($E169&lt;='07-Paper Priority'!$D$10,$F169&lt;='07-Paper Priority'!$C$10))),'07-Paper Priority'!$A$10,"")</f>
        <v>6</v>
      </c>
      <c r="Y169">
        <f>IF(AND('07-Paper Priority'!$A$11&gt;=MATCH($J169,'07-Paper Priority'!$B$5:$B$26,0),OR(AND($E169&lt;='07-Paper Priority'!$C$11,$F169&lt;='07-Paper Priority'!$D$11),AND($E169&lt;='07-Paper Priority'!$D$11,$F169&lt;='07-Paper Priority'!$C$11))),'07-Paper Priority'!$A$11,"")</f>
        <v>7</v>
      </c>
      <c r="Z169">
        <f>IF(AND('07-Paper Priority'!$A$12&gt;=MATCH($J169,'07-Paper Priority'!$B$5:$B$26,0),OR(AND($E169&lt;='07-Paper Priority'!$C$12,$F169&lt;='07-Paper Priority'!$D$12),AND($E169&lt;='07-Paper Priority'!$D$12,$F169&lt;='07-Paper Priority'!$C$12))),'07-Paper Priority'!$A$12,"")</f>
        <v>8</v>
      </c>
      <c r="AA169">
        <f>IF(AND('07-Paper Priority'!$A$13&gt;=MATCH($J169,'07-Paper Priority'!$B$5:$B$26,0),OR(AND($E169&lt;='07-Paper Priority'!$C$13,$F169&lt;='07-Paper Priority'!$D$13),AND($E169&lt;='07-Paper Priority'!$D$13,$F169&lt;='07-Paper Priority'!$C$13))),'07-Paper Priority'!$A$13,"")</f>
        <v>9</v>
      </c>
      <c r="AB169">
        <f>IF(AND('07-Paper Priority'!$A$14&gt;=MATCH($J169,'07-Paper Priority'!$B$5:$B$26,0),OR(AND($E169&lt;='07-Paper Priority'!$C$14,$F169&lt;='07-Paper Priority'!$D$14),AND($E169&lt;='07-Paper Priority'!$D$14,$F169&lt;='07-Paper Priority'!$C$14))),'07-Paper Priority'!$A$14,"")</f>
        <v>10</v>
      </c>
      <c r="AC169">
        <f>IF(AND('07-Paper Priority'!$A$15&gt;=MATCH($J169,'07-Paper Priority'!$B$5:$B$26,0),OR(AND($E169&lt;='07-Paper Priority'!$C$15,$F169&lt;='07-Paper Priority'!$D$15),AND($E169&lt;='07-Paper Priority'!$D$15,$F169&lt;='07-Paper Priority'!$C$15))),'07-Paper Priority'!$A$15,"")</f>
        <v>11</v>
      </c>
      <c r="AD169">
        <f>IF(AND('07-Paper Priority'!$A$16&gt;=MATCH($J169,'07-Paper Priority'!$B$5:$B$26,0),OR(AND($E169&lt;='07-Paper Priority'!$C$16,$F169&lt;='07-Paper Priority'!$D$16),AND($E169&lt;='07-Paper Priority'!$D$16,$F169&lt;='07-Paper Priority'!$C$16))),'07-Paper Priority'!$A$16,"")</f>
        <v>12</v>
      </c>
      <c r="AE169">
        <f>IF(AND('07-Paper Priority'!$A$17&gt;=MATCH($J169,'07-Paper Priority'!$B$5:$B$26,0),OR(AND($E169&lt;='07-Paper Priority'!$C$17,$F169&lt;='07-Paper Priority'!$D$17),AND($E169&lt;='07-Paper Priority'!$D$17,$F169&lt;='07-Paper Priority'!$C$17))),'07-Paper Priority'!$A$17,"")</f>
        <v>13</v>
      </c>
      <c r="AF169">
        <f>IF(AND('07-Paper Priority'!$A$18&gt;=MATCH($J169,'07-Paper Priority'!$B$5:$B$26,0),OR(AND($E169&lt;='07-Paper Priority'!$C$18,$F169&lt;='07-Paper Priority'!$D$18),AND($E169&lt;='07-Paper Priority'!$D$18,$F169&lt;='07-Paper Priority'!$C$18))),'07-Paper Priority'!$A$18,"")</f>
        <v>14</v>
      </c>
      <c r="AG169">
        <f>IF(AND('07-Paper Priority'!$A$19&gt;=MATCH($J169,'07-Paper Priority'!$B$5:$B$26,0),OR(AND($E169&lt;='07-Paper Priority'!$C$19,$F169&lt;='07-Paper Priority'!$D$19),AND($E169&lt;='07-Paper Priority'!$D$19,$F169&lt;='07-Paper Priority'!$C$19))),'07-Paper Priority'!$A$19,"")</f>
        <v>15</v>
      </c>
      <c r="AH169">
        <f>IF(AND('07-Paper Priority'!$A$20&gt;=MATCH($J169,'07-Paper Priority'!$B$5:$B$26,0),OR(AND($E169&lt;='07-Paper Priority'!$C$20,$F169&lt;='07-Paper Priority'!$D$20),AND($E169&lt;='07-Paper Priority'!$D$20,$F169&lt;='07-Paper Priority'!$C$20))),'07-Paper Priority'!$A$20,"")</f>
        <v>16</v>
      </c>
      <c r="AI169">
        <f>IF(AND('07-Paper Priority'!$A$21&gt;=MATCH($J169,'07-Paper Priority'!$B$5:$B$26,0),OR(AND($E169&lt;='07-Paper Priority'!$C$21,$F169&lt;='07-Paper Priority'!$D$21),AND($E169&lt;='07-Paper Priority'!$D$21,$F169&lt;='07-Paper Priority'!$C$21))),'07-Paper Priority'!$A$21,"")</f>
        <v>17</v>
      </c>
      <c r="AJ169">
        <f>IF(AND('07-Paper Priority'!$A$22&gt;=MATCH($J169,'07-Paper Priority'!$B$5:$B$26,0),OR(AND($E169&lt;='07-Paper Priority'!$C$22,$F169&lt;='07-Paper Priority'!$D$22),AND($E169&lt;='07-Paper Priority'!$D$22,$F169&lt;='07-Paper Priority'!$C$22))),'07-Paper Priority'!$A$22,"")</f>
        <v>18</v>
      </c>
      <c r="AK169">
        <f>IF(AND('07-Paper Priority'!$A$23&gt;=MATCH($J169,'07-Paper Priority'!$B$5:$B$26,0),OR(AND($E169&lt;='07-Paper Priority'!$C$23,$F169&lt;='07-Paper Priority'!$D$23),AND($E169&lt;='07-Paper Priority'!$D$23,$F169&lt;='07-Paper Priority'!$C$23))),'07-Paper Priority'!$A$23,"")</f>
        <v>19</v>
      </c>
      <c r="AL169">
        <f>IF(AND('07-Paper Priority'!$A$24&gt;=MATCH($J169,'07-Paper Priority'!$B$5:$B$26,0),OR(AND($E169&lt;='07-Paper Priority'!$C$24,$F169&lt;='07-Paper Priority'!$D$24),AND($E169&lt;='07-Paper Priority'!$D$24,$F169&lt;='07-Paper Priority'!$C$24))),'07-Paper Priority'!$A$24,"")</f>
        <v>20</v>
      </c>
      <c r="AM169">
        <f>IF(AND('07-Paper Priority'!$A$25&gt;=MATCH($J169,'07-Paper Priority'!$B$5:$B$26,0),OR(AND($E169&lt;='07-Paper Priority'!$C$25,$F169&lt;='07-Paper Priority'!$D$25),AND($E169&lt;='07-Paper Priority'!$D$25,$F169&lt;='07-Paper Priority'!$C$25))),'07-Paper Priority'!$A$25,"")</f>
        <v>21</v>
      </c>
      <c r="AN169">
        <f>IF(AND('07-Paper Priority'!$A$26&gt;=MATCH($J169,'07-Paper Priority'!$B$5:$B$26,0),OR(AND($E169&lt;='07-Paper Priority'!$C$26,$F169&lt;='07-Paper Priority'!$D$26),AND($E169&lt;='07-Paper Priority'!$D$26,$F169&lt;='07-Paper Priority'!$C$26))),'07-Paper Priority'!$A$26,"")</f>
        <v>22</v>
      </c>
    </row>
    <row r="170" spans="1:40" ht="33.950000000000003" customHeight="1">
      <c r="A170" s="22" t="s">
        <v>2619</v>
      </c>
      <c r="B170" s="22" t="s">
        <v>2548</v>
      </c>
      <c r="C170" s="22" t="s">
        <v>2549</v>
      </c>
      <c r="D170" s="22" t="s">
        <v>2550</v>
      </c>
      <c r="E170" s="23">
        <v>100</v>
      </c>
      <c r="F170" s="23">
        <v>60</v>
      </c>
      <c r="G170" s="22" t="s">
        <v>2620</v>
      </c>
      <c r="H170" s="22" t="s">
        <v>2621</v>
      </c>
      <c r="I170" s="24" t="s">
        <v>2558</v>
      </c>
      <c r="J170" s="25" t="s">
        <v>2202</v>
      </c>
      <c r="K170" s="26" t="str">
        <f>IF(COUNT(S170:AN170)=0,"NO FIT",INDEX('07-Paper Priority'!$B$5:$B$26,MIN(S170:AN170)))</f>
        <v>B7</v>
      </c>
      <c r="L170" s="26" t="str">
        <f>IF($K170="NO FIT","",IF(AND($E170&lt;=INDEX('07-Paper Priority'!$C$5:$C$26,MATCH($K170,'07-Paper Priority'!$B$5:$B$26,0)),$F170&lt;=INDEX('07-Paper Priority'!$D$5:$D$26,MATCH($K170,'07-Paper Priority'!$B$5:$B$26,0))),"PORTRAIT","ROTATED"))</f>
        <v>ROTATED</v>
      </c>
      <c r="M170" s="27">
        <f>IF($K170="NO FIT","",IF($L170="PORTRAIT",INDEX('07-Paper Priority'!$C$5:$C$26,MATCH($K170,'07-Paper Priority'!$B$5:$B$26,0)),INDEX('07-Paper Priority'!$D$5:$D$26,MATCH($K170,'07-Paper Priority'!$B$5:$B$26,0))))</f>
        <v>125</v>
      </c>
      <c r="N170" s="27">
        <f>IF($K170="NO FIT","",IF($L170="PORTRAIT",INDEX('07-Paper Priority'!$D$5:$D$26,MATCH($K170,'07-Paper Priority'!$B$5:$B$26,0)),INDEX('07-Paper Priority'!$C$5:$C$26,MATCH($K170,'07-Paper Priority'!$B$5:$B$26,0))))</f>
        <v>88</v>
      </c>
      <c r="O170" s="27">
        <f>IF($K170="NO FIT","",$M170-$E170)</f>
        <v>25</v>
      </c>
      <c r="P170" s="27">
        <f>IF($K170="NO FIT","",$N170-$F170)</f>
        <v>28</v>
      </c>
      <c r="Q170" s="28" t="str">
        <f>IF($K170="NO FIT","REVIEW - NO PAPER FIT",IF(OR($O170&lt;0,$P170&lt;0),"ERROR - FIT",IF(COUNTIF('02-Printing Size'!$A$2:$A$2169,$K170)=0,"ERROR - CODE MISSING","VALID - LOWEST PAPER")))</f>
        <v>VALID - LOWEST PAPER</v>
      </c>
      <c r="R170" s="22" t="s">
        <v>2622</v>
      </c>
      <c r="S170" t="str">
        <f>IF(AND('07-Paper Priority'!$A$5&gt;=MATCH($J170,'07-Paper Priority'!$B$5:$B$26,0),OR(AND($E170&lt;='07-Paper Priority'!$C$5,$F170&lt;='07-Paper Priority'!$D$5),AND($E170&lt;='07-Paper Priority'!$D$5,$F170&lt;='07-Paper Priority'!$C$5))),'07-Paper Priority'!$A$5,"")</f>
        <v/>
      </c>
      <c r="T170" t="str">
        <f>IF(AND('07-Paper Priority'!$A$6&gt;=MATCH($J170,'07-Paper Priority'!$B$5:$B$26,0),OR(AND($E170&lt;='07-Paper Priority'!$C$6,$F170&lt;='07-Paper Priority'!$D$6),AND($E170&lt;='07-Paper Priority'!$D$6,$F170&lt;='07-Paper Priority'!$C$6))),'07-Paper Priority'!$A$6,"")</f>
        <v/>
      </c>
      <c r="U170" t="str">
        <f>IF(AND('07-Paper Priority'!$A$7&gt;=MATCH($J170,'07-Paper Priority'!$B$5:$B$26,0),OR(AND($E170&lt;='07-Paper Priority'!$C$7,$F170&lt;='07-Paper Priority'!$D$7),AND($E170&lt;='07-Paper Priority'!$D$7,$F170&lt;='07-Paper Priority'!$C$7))),'07-Paper Priority'!$A$7,"")</f>
        <v/>
      </c>
      <c r="V170" t="str">
        <f>IF(AND('07-Paper Priority'!$A$8&gt;=MATCH($J170,'07-Paper Priority'!$B$5:$B$26,0),OR(AND($E170&lt;='07-Paper Priority'!$C$8,$F170&lt;='07-Paper Priority'!$D$8),AND($E170&lt;='07-Paper Priority'!$D$8,$F170&lt;='07-Paper Priority'!$C$8))),'07-Paper Priority'!$A$8,"")</f>
        <v/>
      </c>
      <c r="W170" t="str">
        <f>IF(AND('07-Paper Priority'!$A$9&gt;=MATCH($J170,'07-Paper Priority'!$B$5:$B$26,0),OR(AND($E170&lt;='07-Paper Priority'!$C$9,$F170&lt;='07-Paper Priority'!$D$9),AND($E170&lt;='07-Paper Priority'!$D$9,$F170&lt;='07-Paper Priority'!$C$9))),'07-Paper Priority'!$A$9,"")</f>
        <v/>
      </c>
      <c r="X170" t="str">
        <f>IF(AND('07-Paper Priority'!$A$10&gt;=MATCH($J170,'07-Paper Priority'!$B$5:$B$26,0),OR(AND($E170&lt;='07-Paper Priority'!$C$10,$F170&lt;='07-Paper Priority'!$D$10),AND($E170&lt;='07-Paper Priority'!$D$10,$F170&lt;='07-Paper Priority'!$C$10))),'07-Paper Priority'!$A$10,"")</f>
        <v/>
      </c>
      <c r="Y170" t="str">
        <f>IF(AND('07-Paper Priority'!$A$11&gt;=MATCH($J170,'07-Paper Priority'!$B$5:$B$26,0),OR(AND($E170&lt;='07-Paper Priority'!$C$11,$F170&lt;='07-Paper Priority'!$D$11),AND($E170&lt;='07-Paper Priority'!$D$11,$F170&lt;='07-Paper Priority'!$C$11))),'07-Paper Priority'!$A$11,"")</f>
        <v/>
      </c>
      <c r="Z170">
        <f>IF(AND('07-Paper Priority'!$A$12&gt;=MATCH($J170,'07-Paper Priority'!$B$5:$B$26,0),OR(AND($E170&lt;='07-Paper Priority'!$C$12,$F170&lt;='07-Paper Priority'!$D$12),AND($E170&lt;='07-Paper Priority'!$D$12,$F170&lt;='07-Paper Priority'!$C$12))),'07-Paper Priority'!$A$12,"")</f>
        <v>8</v>
      </c>
      <c r="AA170">
        <f>IF(AND('07-Paper Priority'!$A$13&gt;=MATCH($J170,'07-Paper Priority'!$B$5:$B$26,0),OR(AND($E170&lt;='07-Paper Priority'!$C$13,$F170&lt;='07-Paper Priority'!$D$13),AND($E170&lt;='07-Paper Priority'!$D$13,$F170&lt;='07-Paper Priority'!$C$13))),'07-Paper Priority'!$A$13,"")</f>
        <v>9</v>
      </c>
      <c r="AB170">
        <f>IF(AND('07-Paper Priority'!$A$14&gt;=MATCH($J170,'07-Paper Priority'!$B$5:$B$26,0),OR(AND($E170&lt;='07-Paper Priority'!$C$14,$F170&lt;='07-Paper Priority'!$D$14),AND($E170&lt;='07-Paper Priority'!$D$14,$F170&lt;='07-Paper Priority'!$C$14))),'07-Paper Priority'!$A$14,"")</f>
        <v>10</v>
      </c>
      <c r="AC170">
        <f>IF(AND('07-Paper Priority'!$A$15&gt;=MATCH($J170,'07-Paper Priority'!$B$5:$B$26,0),OR(AND($E170&lt;='07-Paper Priority'!$C$15,$F170&lt;='07-Paper Priority'!$D$15),AND($E170&lt;='07-Paper Priority'!$D$15,$F170&lt;='07-Paper Priority'!$C$15))),'07-Paper Priority'!$A$15,"")</f>
        <v>11</v>
      </c>
      <c r="AD170">
        <f>IF(AND('07-Paper Priority'!$A$16&gt;=MATCH($J170,'07-Paper Priority'!$B$5:$B$26,0),OR(AND($E170&lt;='07-Paper Priority'!$C$16,$F170&lt;='07-Paper Priority'!$D$16),AND($E170&lt;='07-Paper Priority'!$D$16,$F170&lt;='07-Paper Priority'!$C$16))),'07-Paper Priority'!$A$16,"")</f>
        <v>12</v>
      </c>
      <c r="AE170">
        <f>IF(AND('07-Paper Priority'!$A$17&gt;=MATCH($J170,'07-Paper Priority'!$B$5:$B$26,0),OR(AND($E170&lt;='07-Paper Priority'!$C$17,$F170&lt;='07-Paper Priority'!$D$17),AND($E170&lt;='07-Paper Priority'!$D$17,$F170&lt;='07-Paper Priority'!$C$17))),'07-Paper Priority'!$A$17,"")</f>
        <v>13</v>
      </c>
      <c r="AF170">
        <f>IF(AND('07-Paper Priority'!$A$18&gt;=MATCH($J170,'07-Paper Priority'!$B$5:$B$26,0),OR(AND($E170&lt;='07-Paper Priority'!$C$18,$F170&lt;='07-Paper Priority'!$D$18),AND($E170&lt;='07-Paper Priority'!$D$18,$F170&lt;='07-Paper Priority'!$C$18))),'07-Paper Priority'!$A$18,"")</f>
        <v>14</v>
      </c>
      <c r="AG170">
        <f>IF(AND('07-Paper Priority'!$A$19&gt;=MATCH($J170,'07-Paper Priority'!$B$5:$B$26,0),OR(AND($E170&lt;='07-Paper Priority'!$C$19,$F170&lt;='07-Paper Priority'!$D$19),AND($E170&lt;='07-Paper Priority'!$D$19,$F170&lt;='07-Paper Priority'!$C$19))),'07-Paper Priority'!$A$19,"")</f>
        <v>15</v>
      </c>
      <c r="AH170">
        <f>IF(AND('07-Paper Priority'!$A$20&gt;=MATCH($J170,'07-Paper Priority'!$B$5:$B$26,0),OR(AND($E170&lt;='07-Paper Priority'!$C$20,$F170&lt;='07-Paper Priority'!$D$20),AND($E170&lt;='07-Paper Priority'!$D$20,$F170&lt;='07-Paper Priority'!$C$20))),'07-Paper Priority'!$A$20,"")</f>
        <v>16</v>
      </c>
      <c r="AI170">
        <f>IF(AND('07-Paper Priority'!$A$21&gt;=MATCH($J170,'07-Paper Priority'!$B$5:$B$26,0),OR(AND($E170&lt;='07-Paper Priority'!$C$21,$F170&lt;='07-Paper Priority'!$D$21),AND($E170&lt;='07-Paper Priority'!$D$21,$F170&lt;='07-Paper Priority'!$C$21))),'07-Paper Priority'!$A$21,"")</f>
        <v>17</v>
      </c>
      <c r="AJ170">
        <f>IF(AND('07-Paper Priority'!$A$22&gt;=MATCH($J170,'07-Paper Priority'!$B$5:$B$26,0),OR(AND($E170&lt;='07-Paper Priority'!$C$22,$F170&lt;='07-Paper Priority'!$D$22),AND($E170&lt;='07-Paper Priority'!$D$22,$F170&lt;='07-Paper Priority'!$C$22))),'07-Paper Priority'!$A$22,"")</f>
        <v>18</v>
      </c>
      <c r="AK170">
        <f>IF(AND('07-Paper Priority'!$A$23&gt;=MATCH($J170,'07-Paper Priority'!$B$5:$B$26,0),OR(AND($E170&lt;='07-Paper Priority'!$C$23,$F170&lt;='07-Paper Priority'!$D$23),AND($E170&lt;='07-Paper Priority'!$D$23,$F170&lt;='07-Paper Priority'!$C$23))),'07-Paper Priority'!$A$23,"")</f>
        <v>19</v>
      </c>
      <c r="AL170">
        <f>IF(AND('07-Paper Priority'!$A$24&gt;=MATCH($J170,'07-Paper Priority'!$B$5:$B$26,0),OR(AND($E170&lt;='07-Paper Priority'!$C$24,$F170&lt;='07-Paper Priority'!$D$24),AND($E170&lt;='07-Paper Priority'!$D$24,$F170&lt;='07-Paper Priority'!$C$24))),'07-Paper Priority'!$A$24,"")</f>
        <v>20</v>
      </c>
      <c r="AM170">
        <f>IF(AND('07-Paper Priority'!$A$25&gt;=MATCH($J170,'07-Paper Priority'!$B$5:$B$26,0),OR(AND($E170&lt;='07-Paper Priority'!$C$25,$F170&lt;='07-Paper Priority'!$D$25),AND($E170&lt;='07-Paper Priority'!$D$25,$F170&lt;='07-Paper Priority'!$C$25))),'07-Paper Priority'!$A$25,"")</f>
        <v>21</v>
      </c>
      <c r="AN170">
        <f>IF(AND('07-Paper Priority'!$A$26&gt;=MATCH($J170,'07-Paper Priority'!$B$5:$B$26,0),OR(AND($E170&lt;='07-Paper Priority'!$C$26,$F170&lt;='07-Paper Priority'!$D$26),AND($E170&lt;='07-Paper Priority'!$D$26,$F170&lt;='07-Paper Priority'!$C$26))),'07-Paper Priority'!$A$26,"")</f>
        <v>22</v>
      </c>
    </row>
    <row r="171" spans="1:40" ht="33.950000000000003" customHeight="1">
      <c r="A171" s="22" t="s">
        <v>2623</v>
      </c>
      <c r="B171" s="22" t="s">
        <v>2548</v>
      </c>
      <c r="C171" s="22" t="s">
        <v>2549</v>
      </c>
      <c r="D171" s="22" t="s">
        <v>2550</v>
      </c>
      <c r="E171" s="23">
        <v>80</v>
      </c>
      <c r="F171" s="23">
        <v>120</v>
      </c>
      <c r="G171" s="22" t="s">
        <v>2624</v>
      </c>
      <c r="H171" s="22" t="s">
        <v>2625</v>
      </c>
      <c r="I171" s="24" t="s">
        <v>2558</v>
      </c>
      <c r="J171" s="25" t="s">
        <v>2202</v>
      </c>
      <c r="K171" s="26" t="str">
        <f>IF(COUNT(S171:AN171)=0,"NO FIT",INDEX('07-Paper Priority'!$B$5:$B$26,MIN(S171:AN171)))</f>
        <v>B7</v>
      </c>
      <c r="L171" s="26" t="str">
        <f>IF($K171="NO FIT","",IF(AND($E171&lt;=INDEX('07-Paper Priority'!$C$5:$C$26,MATCH($K171,'07-Paper Priority'!$B$5:$B$26,0)),$F171&lt;=INDEX('07-Paper Priority'!$D$5:$D$26,MATCH($K171,'07-Paper Priority'!$B$5:$B$26,0))),"PORTRAIT","ROTATED"))</f>
        <v>PORTRAIT</v>
      </c>
      <c r="M171" s="27">
        <f>IF($K171="NO FIT","",IF($L171="PORTRAIT",INDEX('07-Paper Priority'!$C$5:$C$26,MATCH($K171,'07-Paper Priority'!$B$5:$B$26,0)),INDEX('07-Paper Priority'!$D$5:$D$26,MATCH($K171,'07-Paper Priority'!$B$5:$B$26,0))))</f>
        <v>88</v>
      </c>
      <c r="N171" s="27">
        <f>IF($K171="NO FIT","",IF($L171="PORTRAIT",INDEX('07-Paper Priority'!$D$5:$D$26,MATCH($K171,'07-Paper Priority'!$B$5:$B$26,0)),INDEX('07-Paper Priority'!$C$5:$C$26,MATCH($K171,'07-Paper Priority'!$B$5:$B$26,0))))</f>
        <v>125</v>
      </c>
      <c r="O171" s="27">
        <f>IF($K171="NO FIT","",$M171-$E171)</f>
        <v>8</v>
      </c>
      <c r="P171" s="27">
        <f>IF($K171="NO FIT","",$N171-$F171)</f>
        <v>5</v>
      </c>
      <c r="Q171" s="28" t="str">
        <f>IF($K171="NO FIT","REVIEW - NO PAPER FIT",IF(OR($O171&lt;0,$P171&lt;0),"ERROR - FIT",IF(COUNTIF('02-Printing Size'!$A$2:$A$2169,$K171)=0,"ERROR - CODE MISSING","VALID - LOWEST PAPER")))</f>
        <v>VALID - LOWEST PAPER</v>
      </c>
      <c r="R171" s="22" t="s">
        <v>1192</v>
      </c>
      <c r="S171" t="str">
        <f>IF(AND('07-Paper Priority'!$A$5&gt;=MATCH($J171,'07-Paper Priority'!$B$5:$B$26,0),OR(AND($E171&lt;='07-Paper Priority'!$C$5,$F171&lt;='07-Paper Priority'!$D$5),AND($E171&lt;='07-Paper Priority'!$D$5,$F171&lt;='07-Paper Priority'!$C$5))),'07-Paper Priority'!$A$5,"")</f>
        <v/>
      </c>
      <c r="T171" t="str">
        <f>IF(AND('07-Paper Priority'!$A$6&gt;=MATCH($J171,'07-Paper Priority'!$B$5:$B$26,0),OR(AND($E171&lt;='07-Paper Priority'!$C$6,$F171&lt;='07-Paper Priority'!$D$6),AND($E171&lt;='07-Paper Priority'!$D$6,$F171&lt;='07-Paper Priority'!$C$6))),'07-Paper Priority'!$A$6,"")</f>
        <v/>
      </c>
      <c r="U171" t="str">
        <f>IF(AND('07-Paper Priority'!$A$7&gt;=MATCH($J171,'07-Paper Priority'!$B$5:$B$26,0),OR(AND($E171&lt;='07-Paper Priority'!$C$7,$F171&lt;='07-Paper Priority'!$D$7),AND($E171&lt;='07-Paper Priority'!$D$7,$F171&lt;='07-Paper Priority'!$C$7))),'07-Paper Priority'!$A$7,"")</f>
        <v/>
      </c>
      <c r="V171" t="str">
        <f>IF(AND('07-Paper Priority'!$A$8&gt;=MATCH($J171,'07-Paper Priority'!$B$5:$B$26,0),OR(AND($E171&lt;='07-Paper Priority'!$C$8,$F171&lt;='07-Paper Priority'!$D$8),AND($E171&lt;='07-Paper Priority'!$D$8,$F171&lt;='07-Paper Priority'!$C$8))),'07-Paper Priority'!$A$8,"")</f>
        <v/>
      </c>
      <c r="W171" t="str">
        <f>IF(AND('07-Paper Priority'!$A$9&gt;=MATCH($J171,'07-Paper Priority'!$B$5:$B$26,0),OR(AND($E171&lt;='07-Paper Priority'!$C$9,$F171&lt;='07-Paper Priority'!$D$9),AND($E171&lt;='07-Paper Priority'!$D$9,$F171&lt;='07-Paper Priority'!$C$9))),'07-Paper Priority'!$A$9,"")</f>
        <v/>
      </c>
      <c r="X171" t="str">
        <f>IF(AND('07-Paper Priority'!$A$10&gt;=MATCH($J171,'07-Paper Priority'!$B$5:$B$26,0),OR(AND($E171&lt;='07-Paper Priority'!$C$10,$F171&lt;='07-Paper Priority'!$D$10),AND($E171&lt;='07-Paper Priority'!$D$10,$F171&lt;='07-Paper Priority'!$C$10))),'07-Paper Priority'!$A$10,"")</f>
        <v/>
      </c>
      <c r="Y171" t="str">
        <f>IF(AND('07-Paper Priority'!$A$11&gt;=MATCH($J171,'07-Paper Priority'!$B$5:$B$26,0),OR(AND($E171&lt;='07-Paper Priority'!$C$11,$F171&lt;='07-Paper Priority'!$D$11),AND($E171&lt;='07-Paper Priority'!$D$11,$F171&lt;='07-Paper Priority'!$C$11))),'07-Paper Priority'!$A$11,"")</f>
        <v/>
      </c>
      <c r="Z171">
        <f>IF(AND('07-Paper Priority'!$A$12&gt;=MATCH($J171,'07-Paper Priority'!$B$5:$B$26,0),OR(AND($E171&lt;='07-Paper Priority'!$C$12,$F171&lt;='07-Paper Priority'!$D$12),AND($E171&lt;='07-Paper Priority'!$D$12,$F171&lt;='07-Paper Priority'!$C$12))),'07-Paper Priority'!$A$12,"")</f>
        <v>8</v>
      </c>
      <c r="AA171">
        <f>IF(AND('07-Paper Priority'!$A$13&gt;=MATCH($J171,'07-Paper Priority'!$B$5:$B$26,0),OR(AND($E171&lt;='07-Paper Priority'!$C$13,$F171&lt;='07-Paper Priority'!$D$13),AND($E171&lt;='07-Paper Priority'!$D$13,$F171&lt;='07-Paper Priority'!$C$13))),'07-Paper Priority'!$A$13,"")</f>
        <v>9</v>
      </c>
      <c r="AB171">
        <f>IF(AND('07-Paper Priority'!$A$14&gt;=MATCH($J171,'07-Paper Priority'!$B$5:$B$26,0),OR(AND($E171&lt;='07-Paper Priority'!$C$14,$F171&lt;='07-Paper Priority'!$D$14),AND($E171&lt;='07-Paper Priority'!$D$14,$F171&lt;='07-Paper Priority'!$C$14))),'07-Paper Priority'!$A$14,"")</f>
        <v>10</v>
      </c>
      <c r="AC171">
        <f>IF(AND('07-Paper Priority'!$A$15&gt;=MATCH($J171,'07-Paper Priority'!$B$5:$B$26,0),OR(AND($E171&lt;='07-Paper Priority'!$C$15,$F171&lt;='07-Paper Priority'!$D$15),AND($E171&lt;='07-Paper Priority'!$D$15,$F171&lt;='07-Paper Priority'!$C$15))),'07-Paper Priority'!$A$15,"")</f>
        <v>11</v>
      </c>
      <c r="AD171">
        <f>IF(AND('07-Paper Priority'!$A$16&gt;=MATCH($J171,'07-Paper Priority'!$B$5:$B$26,0),OR(AND($E171&lt;='07-Paper Priority'!$C$16,$F171&lt;='07-Paper Priority'!$D$16),AND($E171&lt;='07-Paper Priority'!$D$16,$F171&lt;='07-Paper Priority'!$C$16))),'07-Paper Priority'!$A$16,"")</f>
        <v>12</v>
      </c>
      <c r="AE171">
        <f>IF(AND('07-Paper Priority'!$A$17&gt;=MATCH($J171,'07-Paper Priority'!$B$5:$B$26,0),OR(AND($E171&lt;='07-Paper Priority'!$C$17,$F171&lt;='07-Paper Priority'!$D$17),AND($E171&lt;='07-Paper Priority'!$D$17,$F171&lt;='07-Paper Priority'!$C$17))),'07-Paper Priority'!$A$17,"")</f>
        <v>13</v>
      </c>
      <c r="AF171">
        <f>IF(AND('07-Paper Priority'!$A$18&gt;=MATCH($J171,'07-Paper Priority'!$B$5:$B$26,0),OR(AND($E171&lt;='07-Paper Priority'!$C$18,$F171&lt;='07-Paper Priority'!$D$18),AND($E171&lt;='07-Paper Priority'!$D$18,$F171&lt;='07-Paper Priority'!$C$18))),'07-Paper Priority'!$A$18,"")</f>
        <v>14</v>
      </c>
      <c r="AG171">
        <f>IF(AND('07-Paper Priority'!$A$19&gt;=MATCH($J171,'07-Paper Priority'!$B$5:$B$26,0),OR(AND($E171&lt;='07-Paper Priority'!$C$19,$F171&lt;='07-Paper Priority'!$D$19),AND($E171&lt;='07-Paper Priority'!$D$19,$F171&lt;='07-Paper Priority'!$C$19))),'07-Paper Priority'!$A$19,"")</f>
        <v>15</v>
      </c>
      <c r="AH171">
        <f>IF(AND('07-Paper Priority'!$A$20&gt;=MATCH($J171,'07-Paper Priority'!$B$5:$B$26,0),OR(AND($E171&lt;='07-Paper Priority'!$C$20,$F171&lt;='07-Paper Priority'!$D$20),AND($E171&lt;='07-Paper Priority'!$D$20,$F171&lt;='07-Paper Priority'!$C$20))),'07-Paper Priority'!$A$20,"")</f>
        <v>16</v>
      </c>
      <c r="AI171">
        <f>IF(AND('07-Paper Priority'!$A$21&gt;=MATCH($J171,'07-Paper Priority'!$B$5:$B$26,0),OR(AND($E171&lt;='07-Paper Priority'!$C$21,$F171&lt;='07-Paper Priority'!$D$21),AND($E171&lt;='07-Paper Priority'!$D$21,$F171&lt;='07-Paper Priority'!$C$21))),'07-Paper Priority'!$A$21,"")</f>
        <v>17</v>
      </c>
      <c r="AJ171">
        <f>IF(AND('07-Paper Priority'!$A$22&gt;=MATCH($J171,'07-Paper Priority'!$B$5:$B$26,0),OR(AND($E171&lt;='07-Paper Priority'!$C$22,$F171&lt;='07-Paper Priority'!$D$22),AND($E171&lt;='07-Paper Priority'!$D$22,$F171&lt;='07-Paper Priority'!$C$22))),'07-Paper Priority'!$A$22,"")</f>
        <v>18</v>
      </c>
      <c r="AK171">
        <f>IF(AND('07-Paper Priority'!$A$23&gt;=MATCH($J171,'07-Paper Priority'!$B$5:$B$26,0),OR(AND($E171&lt;='07-Paper Priority'!$C$23,$F171&lt;='07-Paper Priority'!$D$23),AND($E171&lt;='07-Paper Priority'!$D$23,$F171&lt;='07-Paper Priority'!$C$23))),'07-Paper Priority'!$A$23,"")</f>
        <v>19</v>
      </c>
      <c r="AL171">
        <f>IF(AND('07-Paper Priority'!$A$24&gt;=MATCH($J171,'07-Paper Priority'!$B$5:$B$26,0),OR(AND($E171&lt;='07-Paper Priority'!$C$24,$F171&lt;='07-Paper Priority'!$D$24),AND($E171&lt;='07-Paper Priority'!$D$24,$F171&lt;='07-Paper Priority'!$C$24))),'07-Paper Priority'!$A$24,"")</f>
        <v>20</v>
      </c>
      <c r="AM171">
        <f>IF(AND('07-Paper Priority'!$A$25&gt;=MATCH($J171,'07-Paper Priority'!$B$5:$B$26,0),OR(AND($E171&lt;='07-Paper Priority'!$C$25,$F171&lt;='07-Paper Priority'!$D$25),AND($E171&lt;='07-Paper Priority'!$D$25,$F171&lt;='07-Paper Priority'!$C$25))),'07-Paper Priority'!$A$25,"")</f>
        <v>21</v>
      </c>
      <c r="AN171">
        <f>IF(AND('07-Paper Priority'!$A$26&gt;=MATCH($J171,'07-Paper Priority'!$B$5:$B$26,0),OR(AND($E171&lt;='07-Paper Priority'!$C$26,$F171&lt;='07-Paper Priority'!$D$26),AND($E171&lt;='07-Paper Priority'!$D$26,$F171&lt;='07-Paper Priority'!$C$26))),'07-Paper Priority'!$A$26,"")</f>
        <v>22</v>
      </c>
    </row>
    <row r="172" spans="1:40" ht="33.950000000000003" customHeight="1">
      <c r="A172" s="22" t="s">
        <v>2626</v>
      </c>
      <c r="B172" s="22" t="s">
        <v>2548</v>
      </c>
      <c r="C172" s="22" t="s">
        <v>2627</v>
      </c>
      <c r="D172" s="22" t="s">
        <v>2628</v>
      </c>
      <c r="E172" s="23">
        <v>210</v>
      </c>
      <c r="F172" s="23">
        <v>260</v>
      </c>
      <c r="G172" s="22" t="s">
        <v>2629</v>
      </c>
      <c r="H172" s="22" t="s">
        <v>2630</v>
      </c>
      <c r="I172" s="24" t="s">
        <v>64</v>
      </c>
      <c r="J172" s="25" t="s">
        <v>504</v>
      </c>
      <c r="K172" s="26" t="str">
        <f>IF(COUNT(S172:AN172)=0,"NO FIT",INDEX('07-Paper Priority'!$B$5:$B$26,MIN(S172:AN172)))</f>
        <v>A4</v>
      </c>
      <c r="L172" s="26" t="str">
        <f>IF($K172="NO FIT","",IF(AND($E172&lt;=INDEX('07-Paper Priority'!$C$5:$C$26,MATCH($K172,'07-Paper Priority'!$B$5:$B$26,0)),$F172&lt;=INDEX('07-Paper Priority'!$D$5:$D$26,MATCH($K172,'07-Paper Priority'!$B$5:$B$26,0))),"PORTRAIT","ROTATED"))</f>
        <v>PORTRAIT</v>
      </c>
      <c r="M172" s="27">
        <f>IF($K172="NO FIT","",IF($L172="PORTRAIT",INDEX('07-Paper Priority'!$C$5:$C$26,MATCH($K172,'07-Paper Priority'!$B$5:$B$26,0)),INDEX('07-Paper Priority'!$D$5:$D$26,MATCH($K172,'07-Paper Priority'!$B$5:$B$26,0))))</f>
        <v>210</v>
      </c>
      <c r="N172" s="27">
        <f>IF($K172="NO FIT","",IF($L172="PORTRAIT",INDEX('07-Paper Priority'!$D$5:$D$26,MATCH($K172,'07-Paper Priority'!$B$5:$B$26,0)),INDEX('07-Paper Priority'!$C$5:$C$26,MATCH($K172,'07-Paper Priority'!$B$5:$B$26,0))))</f>
        <v>297</v>
      </c>
      <c r="O172" s="27">
        <f>IF($K172="NO FIT","",$M172-$E172)</f>
        <v>0</v>
      </c>
      <c r="P172" s="27">
        <f>IF($K172="NO FIT","",$N172-$F172)</f>
        <v>37</v>
      </c>
      <c r="Q172" s="28" t="str">
        <f>IF($K172="NO FIT","REVIEW - NO PAPER FIT",IF(OR($O172&lt;0,$P172&lt;0),"ERROR - FIT",IF(COUNTIF('02-Printing Size'!$A$2:$A$2169,$K172)=0,"ERROR - CODE MISSING","VALID - LOWEST PAPER")))</f>
        <v>VALID - LOWEST PAPER</v>
      </c>
      <c r="R172" s="22" t="s">
        <v>2631</v>
      </c>
      <c r="S172" t="str">
        <f>IF(AND('07-Paper Priority'!$A$5&gt;=MATCH($J172,'07-Paper Priority'!$B$5:$B$26,0),OR(AND($E172&lt;='07-Paper Priority'!$C$5,$F172&lt;='07-Paper Priority'!$D$5),AND($E172&lt;='07-Paper Priority'!$D$5,$F172&lt;='07-Paper Priority'!$C$5))),'07-Paper Priority'!$A$5,"")</f>
        <v/>
      </c>
      <c r="T172" t="str">
        <f>IF(AND('07-Paper Priority'!$A$6&gt;=MATCH($J172,'07-Paper Priority'!$B$5:$B$26,0),OR(AND($E172&lt;='07-Paper Priority'!$C$6,$F172&lt;='07-Paper Priority'!$D$6),AND($E172&lt;='07-Paper Priority'!$D$6,$F172&lt;='07-Paper Priority'!$C$6))),'07-Paper Priority'!$A$6,"")</f>
        <v/>
      </c>
      <c r="U172" t="str">
        <f>IF(AND('07-Paper Priority'!$A$7&gt;=MATCH($J172,'07-Paper Priority'!$B$5:$B$26,0),OR(AND($E172&lt;='07-Paper Priority'!$C$7,$F172&lt;='07-Paper Priority'!$D$7),AND($E172&lt;='07-Paper Priority'!$D$7,$F172&lt;='07-Paper Priority'!$C$7))),'07-Paper Priority'!$A$7,"")</f>
        <v/>
      </c>
      <c r="V172" t="str">
        <f>IF(AND('07-Paper Priority'!$A$8&gt;=MATCH($J172,'07-Paper Priority'!$B$5:$B$26,0),OR(AND($E172&lt;='07-Paper Priority'!$C$8,$F172&lt;='07-Paper Priority'!$D$8),AND($E172&lt;='07-Paper Priority'!$D$8,$F172&lt;='07-Paper Priority'!$C$8))),'07-Paper Priority'!$A$8,"")</f>
        <v/>
      </c>
      <c r="W172" t="str">
        <f>IF(AND('07-Paper Priority'!$A$9&gt;=MATCH($J172,'07-Paper Priority'!$B$5:$B$26,0),OR(AND($E172&lt;='07-Paper Priority'!$C$9,$F172&lt;='07-Paper Priority'!$D$9),AND($E172&lt;='07-Paper Priority'!$D$9,$F172&lt;='07-Paper Priority'!$C$9))),'07-Paper Priority'!$A$9,"")</f>
        <v/>
      </c>
      <c r="X172" t="str">
        <f>IF(AND('07-Paper Priority'!$A$10&gt;=MATCH($J172,'07-Paper Priority'!$B$5:$B$26,0),OR(AND($E172&lt;='07-Paper Priority'!$C$10,$F172&lt;='07-Paper Priority'!$D$10),AND($E172&lt;='07-Paper Priority'!$D$10,$F172&lt;='07-Paper Priority'!$C$10))),'07-Paper Priority'!$A$10,"")</f>
        <v/>
      </c>
      <c r="Y172" t="str">
        <f>IF(AND('07-Paper Priority'!$A$11&gt;=MATCH($J172,'07-Paper Priority'!$B$5:$B$26,0),OR(AND($E172&lt;='07-Paper Priority'!$C$11,$F172&lt;='07-Paper Priority'!$D$11),AND($E172&lt;='07-Paper Priority'!$D$11,$F172&lt;='07-Paper Priority'!$C$11))),'07-Paper Priority'!$A$11,"")</f>
        <v/>
      </c>
      <c r="Z172" t="str">
        <f>IF(AND('07-Paper Priority'!$A$12&gt;=MATCH($J172,'07-Paper Priority'!$B$5:$B$26,0),OR(AND($E172&lt;='07-Paper Priority'!$C$12,$F172&lt;='07-Paper Priority'!$D$12),AND($E172&lt;='07-Paper Priority'!$D$12,$F172&lt;='07-Paper Priority'!$C$12))),'07-Paper Priority'!$A$12,"")</f>
        <v/>
      </c>
      <c r="AA172" t="str">
        <f>IF(AND('07-Paper Priority'!$A$13&gt;=MATCH($J172,'07-Paper Priority'!$B$5:$B$26,0),OR(AND($E172&lt;='07-Paper Priority'!$C$13,$F172&lt;='07-Paper Priority'!$D$13),AND($E172&lt;='07-Paper Priority'!$D$13,$F172&lt;='07-Paper Priority'!$C$13))),'07-Paper Priority'!$A$13,"")</f>
        <v/>
      </c>
      <c r="AB172" t="str">
        <f>IF(AND('07-Paper Priority'!$A$14&gt;=MATCH($J172,'07-Paper Priority'!$B$5:$B$26,0),OR(AND($E172&lt;='07-Paper Priority'!$C$14,$F172&lt;='07-Paper Priority'!$D$14),AND($E172&lt;='07-Paper Priority'!$D$14,$F172&lt;='07-Paper Priority'!$C$14))),'07-Paper Priority'!$A$14,"")</f>
        <v/>
      </c>
      <c r="AC172" t="str">
        <f>IF(AND('07-Paper Priority'!$A$15&gt;=MATCH($J172,'07-Paper Priority'!$B$5:$B$26,0),OR(AND($E172&lt;='07-Paper Priority'!$C$15,$F172&lt;='07-Paper Priority'!$D$15),AND($E172&lt;='07-Paper Priority'!$D$15,$F172&lt;='07-Paper Priority'!$C$15))),'07-Paper Priority'!$A$15,"")</f>
        <v/>
      </c>
      <c r="AD172" t="str">
        <f>IF(AND('07-Paper Priority'!$A$16&gt;=MATCH($J172,'07-Paper Priority'!$B$5:$B$26,0),OR(AND($E172&lt;='07-Paper Priority'!$C$16,$F172&lt;='07-Paper Priority'!$D$16),AND($E172&lt;='07-Paper Priority'!$D$16,$F172&lt;='07-Paper Priority'!$C$16))),'07-Paper Priority'!$A$16,"")</f>
        <v/>
      </c>
      <c r="AE172">
        <f>IF(AND('07-Paper Priority'!$A$17&gt;=MATCH($J172,'07-Paper Priority'!$B$5:$B$26,0),OR(AND($E172&lt;='07-Paper Priority'!$C$17,$F172&lt;='07-Paper Priority'!$D$17),AND($E172&lt;='07-Paper Priority'!$D$17,$F172&lt;='07-Paper Priority'!$C$17))),'07-Paper Priority'!$A$17,"")</f>
        <v>13</v>
      </c>
      <c r="AF172">
        <f>IF(AND('07-Paper Priority'!$A$18&gt;=MATCH($J172,'07-Paper Priority'!$B$5:$B$26,0),OR(AND($E172&lt;='07-Paper Priority'!$C$18,$F172&lt;='07-Paper Priority'!$D$18),AND($E172&lt;='07-Paper Priority'!$D$18,$F172&lt;='07-Paper Priority'!$C$18))),'07-Paper Priority'!$A$18,"")</f>
        <v>14</v>
      </c>
      <c r="AG172">
        <f>IF(AND('07-Paper Priority'!$A$19&gt;=MATCH($J172,'07-Paper Priority'!$B$5:$B$26,0),OR(AND($E172&lt;='07-Paper Priority'!$C$19,$F172&lt;='07-Paper Priority'!$D$19),AND($E172&lt;='07-Paper Priority'!$D$19,$F172&lt;='07-Paper Priority'!$C$19))),'07-Paper Priority'!$A$19,"")</f>
        <v>15</v>
      </c>
      <c r="AH172">
        <f>IF(AND('07-Paper Priority'!$A$20&gt;=MATCH($J172,'07-Paper Priority'!$B$5:$B$26,0),OR(AND($E172&lt;='07-Paper Priority'!$C$20,$F172&lt;='07-Paper Priority'!$D$20),AND($E172&lt;='07-Paper Priority'!$D$20,$F172&lt;='07-Paper Priority'!$C$20))),'07-Paper Priority'!$A$20,"")</f>
        <v>16</v>
      </c>
      <c r="AI172">
        <f>IF(AND('07-Paper Priority'!$A$21&gt;=MATCH($J172,'07-Paper Priority'!$B$5:$B$26,0),OR(AND($E172&lt;='07-Paper Priority'!$C$21,$F172&lt;='07-Paper Priority'!$D$21),AND($E172&lt;='07-Paper Priority'!$D$21,$F172&lt;='07-Paper Priority'!$C$21))),'07-Paper Priority'!$A$21,"")</f>
        <v>17</v>
      </c>
      <c r="AJ172">
        <f>IF(AND('07-Paper Priority'!$A$22&gt;=MATCH($J172,'07-Paper Priority'!$B$5:$B$26,0),OR(AND($E172&lt;='07-Paper Priority'!$C$22,$F172&lt;='07-Paper Priority'!$D$22),AND($E172&lt;='07-Paper Priority'!$D$22,$F172&lt;='07-Paper Priority'!$C$22))),'07-Paper Priority'!$A$22,"")</f>
        <v>18</v>
      </c>
      <c r="AK172">
        <f>IF(AND('07-Paper Priority'!$A$23&gt;=MATCH($J172,'07-Paper Priority'!$B$5:$B$26,0),OR(AND($E172&lt;='07-Paper Priority'!$C$23,$F172&lt;='07-Paper Priority'!$D$23),AND($E172&lt;='07-Paper Priority'!$D$23,$F172&lt;='07-Paper Priority'!$C$23))),'07-Paper Priority'!$A$23,"")</f>
        <v>19</v>
      </c>
      <c r="AL172">
        <f>IF(AND('07-Paper Priority'!$A$24&gt;=MATCH($J172,'07-Paper Priority'!$B$5:$B$26,0),OR(AND($E172&lt;='07-Paper Priority'!$C$24,$F172&lt;='07-Paper Priority'!$D$24),AND($E172&lt;='07-Paper Priority'!$D$24,$F172&lt;='07-Paper Priority'!$C$24))),'07-Paper Priority'!$A$24,"")</f>
        <v>20</v>
      </c>
      <c r="AM172">
        <f>IF(AND('07-Paper Priority'!$A$25&gt;=MATCH($J172,'07-Paper Priority'!$B$5:$B$26,0),OR(AND($E172&lt;='07-Paper Priority'!$C$25,$F172&lt;='07-Paper Priority'!$D$25),AND($E172&lt;='07-Paper Priority'!$D$25,$F172&lt;='07-Paper Priority'!$C$25))),'07-Paper Priority'!$A$25,"")</f>
        <v>21</v>
      </c>
      <c r="AN172">
        <f>IF(AND('07-Paper Priority'!$A$26&gt;=MATCH($J172,'07-Paper Priority'!$B$5:$B$26,0),OR(AND($E172&lt;='07-Paper Priority'!$C$26,$F172&lt;='07-Paper Priority'!$D$26),AND($E172&lt;='07-Paper Priority'!$D$26,$F172&lt;='07-Paper Priority'!$C$26))),'07-Paper Priority'!$A$26,"")</f>
        <v>22</v>
      </c>
    </row>
    <row r="173" spans="1:40" ht="33.950000000000003" customHeight="1">
      <c r="A173" s="22" t="s">
        <v>2632</v>
      </c>
      <c r="B173" s="22" t="s">
        <v>2548</v>
      </c>
      <c r="C173" s="22" t="s">
        <v>2627</v>
      </c>
      <c r="D173" s="22" t="s">
        <v>2633</v>
      </c>
      <c r="E173" s="23">
        <v>250</v>
      </c>
      <c r="F173" s="23">
        <v>320</v>
      </c>
      <c r="G173" s="22" t="s">
        <v>2634</v>
      </c>
      <c r="H173" s="22" t="s">
        <v>2635</v>
      </c>
      <c r="I173" s="24" t="s">
        <v>64</v>
      </c>
      <c r="J173" s="25" t="s">
        <v>1980</v>
      </c>
      <c r="K173" s="26" t="str">
        <f>IF(COUNT(S173:AN173)=0,"NO FIT",INDEX('07-Paper Priority'!$B$5:$B$26,MIN(S173:AN173)))</f>
        <v>B4</v>
      </c>
      <c r="L173" s="26" t="str">
        <f>IF($K173="NO FIT","",IF(AND($E173&lt;=INDEX('07-Paper Priority'!$C$5:$C$26,MATCH($K173,'07-Paper Priority'!$B$5:$B$26,0)),$F173&lt;=INDEX('07-Paper Priority'!$D$5:$D$26,MATCH($K173,'07-Paper Priority'!$B$5:$B$26,0))),"PORTRAIT","ROTATED"))</f>
        <v>PORTRAIT</v>
      </c>
      <c r="M173" s="27">
        <f>IF($K173="NO FIT","",IF($L173="PORTRAIT",INDEX('07-Paper Priority'!$C$5:$C$26,MATCH($K173,'07-Paper Priority'!$B$5:$B$26,0)),INDEX('07-Paper Priority'!$D$5:$D$26,MATCH($K173,'07-Paper Priority'!$B$5:$B$26,0))))</f>
        <v>250</v>
      </c>
      <c r="N173" s="27">
        <f>IF($K173="NO FIT","",IF($L173="PORTRAIT",INDEX('07-Paper Priority'!$D$5:$D$26,MATCH($K173,'07-Paper Priority'!$B$5:$B$26,0)),INDEX('07-Paper Priority'!$C$5:$C$26,MATCH($K173,'07-Paper Priority'!$B$5:$B$26,0))))</f>
        <v>353</v>
      </c>
      <c r="O173" s="27">
        <f>IF($K173="NO FIT","",$M173-$E173)</f>
        <v>0</v>
      </c>
      <c r="P173" s="27">
        <f>IF($K173="NO FIT","",$N173-$F173)</f>
        <v>33</v>
      </c>
      <c r="Q173" s="28" t="str">
        <f>IF($K173="NO FIT","REVIEW - NO PAPER FIT",IF(OR($O173&lt;0,$P173&lt;0),"ERROR - FIT",IF(COUNTIF('02-Printing Size'!$A$2:$A$2169,$K173)=0,"ERROR - CODE MISSING","VALID - LOWEST PAPER")))</f>
        <v>VALID - LOWEST PAPER</v>
      </c>
      <c r="R173" s="22" t="s">
        <v>2631</v>
      </c>
      <c r="S173" t="str">
        <f>IF(AND('07-Paper Priority'!$A$5&gt;=MATCH($J173,'07-Paper Priority'!$B$5:$B$26,0),OR(AND($E173&lt;='07-Paper Priority'!$C$5,$F173&lt;='07-Paper Priority'!$D$5),AND($E173&lt;='07-Paper Priority'!$D$5,$F173&lt;='07-Paper Priority'!$C$5))),'07-Paper Priority'!$A$5,"")</f>
        <v/>
      </c>
      <c r="T173" t="str">
        <f>IF(AND('07-Paper Priority'!$A$6&gt;=MATCH($J173,'07-Paper Priority'!$B$5:$B$26,0),OR(AND($E173&lt;='07-Paper Priority'!$C$6,$F173&lt;='07-Paper Priority'!$D$6),AND($E173&lt;='07-Paper Priority'!$D$6,$F173&lt;='07-Paper Priority'!$C$6))),'07-Paper Priority'!$A$6,"")</f>
        <v/>
      </c>
      <c r="U173" t="str">
        <f>IF(AND('07-Paper Priority'!$A$7&gt;=MATCH($J173,'07-Paper Priority'!$B$5:$B$26,0),OR(AND($E173&lt;='07-Paper Priority'!$C$7,$F173&lt;='07-Paper Priority'!$D$7),AND($E173&lt;='07-Paper Priority'!$D$7,$F173&lt;='07-Paper Priority'!$C$7))),'07-Paper Priority'!$A$7,"")</f>
        <v/>
      </c>
      <c r="V173" t="str">
        <f>IF(AND('07-Paper Priority'!$A$8&gt;=MATCH($J173,'07-Paper Priority'!$B$5:$B$26,0),OR(AND($E173&lt;='07-Paper Priority'!$C$8,$F173&lt;='07-Paper Priority'!$D$8),AND($E173&lt;='07-Paper Priority'!$D$8,$F173&lt;='07-Paper Priority'!$C$8))),'07-Paper Priority'!$A$8,"")</f>
        <v/>
      </c>
      <c r="W173" t="str">
        <f>IF(AND('07-Paper Priority'!$A$9&gt;=MATCH($J173,'07-Paper Priority'!$B$5:$B$26,0),OR(AND($E173&lt;='07-Paper Priority'!$C$9,$F173&lt;='07-Paper Priority'!$D$9),AND($E173&lt;='07-Paper Priority'!$D$9,$F173&lt;='07-Paper Priority'!$C$9))),'07-Paper Priority'!$A$9,"")</f>
        <v/>
      </c>
      <c r="X173" t="str">
        <f>IF(AND('07-Paper Priority'!$A$10&gt;=MATCH($J173,'07-Paper Priority'!$B$5:$B$26,0),OR(AND($E173&lt;='07-Paper Priority'!$C$10,$F173&lt;='07-Paper Priority'!$D$10),AND($E173&lt;='07-Paper Priority'!$D$10,$F173&lt;='07-Paper Priority'!$C$10))),'07-Paper Priority'!$A$10,"")</f>
        <v/>
      </c>
      <c r="Y173" t="str">
        <f>IF(AND('07-Paper Priority'!$A$11&gt;=MATCH($J173,'07-Paper Priority'!$B$5:$B$26,0),OR(AND($E173&lt;='07-Paper Priority'!$C$11,$F173&lt;='07-Paper Priority'!$D$11),AND($E173&lt;='07-Paper Priority'!$D$11,$F173&lt;='07-Paper Priority'!$C$11))),'07-Paper Priority'!$A$11,"")</f>
        <v/>
      </c>
      <c r="Z173" t="str">
        <f>IF(AND('07-Paper Priority'!$A$12&gt;=MATCH($J173,'07-Paper Priority'!$B$5:$B$26,0),OR(AND($E173&lt;='07-Paper Priority'!$C$12,$F173&lt;='07-Paper Priority'!$D$12),AND($E173&lt;='07-Paper Priority'!$D$12,$F173&lt;='07-Paper Priority'!$C$12))),'07-Paper Priority'!$A$12,"")</f>
        <v/>
      </c>
      <c r="AA173" t="str">
        <f>IF(AND('07-Paper Priority'!$A$13&gt;=MATCH($J173,'07-Paper Priority'!$B$5:$B$26,0),OR(AND($E173&lt;='07-Paper Priority'!$C$13,$F173&lt;='07-Paper Priority'!$D$13),AND($E173&lt;='07-Paper Priority'!$D$13,$F173&lt;='07-Paper Priority'!$C$13))),'07-Paper Priority'!$A$13,"")</f>
        <v/>
      </c>
      <c r="AB173" t="str">
        <f>IF(AND('07-Paper Priority'!$A$14&gt;=MATCH($J173,'07-Paper Priority'!$B$5:$B$26,0),OR(AND($E173&lt;='07-Paper Priority'!$C$14,$F173&lt;='07-Paper Priority'!$D$14),AND($E173&lt;='07-Paper Priority'!$D$14,$F173&lt;='07-Paper Priority'!$C$14))),'07-Paper Priority'!$A$14,"")</f>
        <v/>
      </c>
      <c r="AC173" t="str">
        <f>IF(AND('07-Paper Priority'!$A$15&gt;=MATCH($J173,'07-Paper Priority'!$B$5:$B$26,0),OR(AND($E173&lt;='07-Paper Priority'!$C$15,$F173&lt;='07-Paper Priority'!$D$15),AND($E173&lt;='07-Paper Priority'!$D$15,$F173&lt;='07-Paper Priority'!$C$15))),'07-Paper Priority'!$A$15,"")</f>
        <v/>
      </c>
      <c r="AD173" t="str">
        <f>IF(AND('07-Paper Priority'!$A$16&gt;=MATCH($J173,'07-Paper Priority'!$B$5:$B$26,0),OR(AND($E173&lt;='07-Paper Priority'!$C$16,$F173&lt;='07-Paper Priority'!$D$16),AND($E173&lt;='07-Paper Priority'!$D$16,$F173&lt;='07-Paper Priority'!$C$16))),'07-Paper Priority'!$A$16,"")</f>
        <v/>
      </c>
      <c r="AE173" t="str">
        <f>IF(AND('07-Paper Priority'!$A$17&gt;=MATCH($J173,'07-Paper Priority'!$B$5:$B$26,0),OR(AND($E173&lt;='07-Paper Priority'!$C$17,$F173&lt;='07-Paper Priority'!$D$17),AND($E173&lt;='07-Paper Priority'!$D$17,$F173&lt;='07-Paper Priority'!$C$17))),'07-Paper Priority'!$A$17,"")</f>
        <v/>
      </c>
      <c r="AF173">
        <f>IF(AND('07-Paper Priority'!$A$18&gt;=MATCH($J173,'07-Paper Priority'!$B$5:$B$26,0),OR(AND($E173&lt;='07-Paper Priority'!$C$18,$F173&lt;='07-Paper Priority'!$D$18),AND($E173&lt;='07-Paper Priority'!$D$18,$F173&lt;='07-Paper Priority'!$C$18))),'07-Paper Priority'!$A$18,"")</f>
        <v>14</v>
      </c>
      <c r="AG173">
        <f>IF(AND('07-Paper Priority'!$A$19&gt;=MATCH($J173,'07-Paper Priority'!$B$5:$B$26,0),OR(AND($E173&lt;='07-Paper Priority'!$C$19,$F173&lt;='07-Paper Priority'!$D$19),AND($E173&lt;='07-Paper Priority'!$D$19,$F173&lt;='07-Paper Priority'!$C$19))),'07-Paper Priority'!$A$19,"")</f>
        <v>15</v>
      </c>
      <c r="AH173">
        <f>IF(AND('07-Paper Priority'!$A$20&gt;=MATCH($J173,'07-Paper Priority'!$B$5:$B$26,0),OR(AND($E173&lt;='07-Paper Priority'!$C$20,$F173&lt;='07-Paper Priority'!$D$20),AND($E173&lt;='07-Paper Priority'!$D$20,$F173&lt;='07-Paper Priority'!$C$20))),'07-Paper Priority'!$A$20,"")</f>
        <v>16</v>
      </c>
      <c r="AI173">
        <f>IF(AND('07-Paper Priority'!$A$21&gt;=MATCH($J173,'07-Paper Priority'!$B$5:$B$26,0),OR(AND($E173&lt;='07-Paper Priority'!$C$21,$F173&lt;='07-Paper Priority'!$D$21),AND($E173&lt;='07-Paper Priority'!$D$21,$F173&lt;='07-Paper Priority'!$C$21))),'07-Paper Priority'!$A$21,"")</f>
        <v>17</v>
      </c>
      <c r="AJ173">
        <f>IF(AND('07-Paper Priority'!$A$22&gt;=MATCH($J173,'07-Paper Priority'!$B$5:$B$26,0),OR(AND($E173&lt;='07-Paper Priority'!$C$22,$F173&lt;='07-Paper Priority'!$D$22),AND($E173&lt;='07-Paper Priority'!$D$22,$F173&lt;='07-Paper Priority'!$C$22))),'07-Paper Priority'!$A$22,"")</f>
        <v>18</v>
      </c>
      <c r="AK173">
        <f>IF(AND('07-Paper Priority'!$A$23&gt;=MATCH($J173,'07-Paper Priority'!$B$5:$B$26,0),OR(AND($E173&lt;='07-Paper Priority'!$C$23,$F173&lt;='07-Paper Priority'!$D$23),AND($E173&lt;='07-Paper Priority'!$D$23,$F173&lt;='07-Paper Priority'!$C$23))),'07-Paper Priority'!$A$23,"")</f>
        <v>19</v>
      </c>
      <c r="AL173">
        <f>IF(AND('07-Paper Priority'!$A$24&gt;=MATCH($J173,'07-Paper Priority'!$B$5:$B$26,0),OR(AND($E173&lt;='07-Paper Priority'!$C$24,$F173&lt;='07-Paper Priority'!$D$24),AND($E173&lt;='07-Paper Priority'!$D$24,$F173&lt;='07-Paper Priority'!$C$24))),'07-Paper Priority'!$A$24,"")</f>
        <v>20</v>
      </c>
      <c r="AM173">
        <f>IF(AND('07-Paper Priority'!$A$25&gt;=MATCH($J173,'07-Paper Priority'!$B$5:$B$26,0),OR(AND($E173&lt;='07-Paper Priority'!$C$25,$F173&lt;='07-Paper Priority'!$D$25),AND($E173&lt;='07-Paper Priority'!$D$25,$F173&lt;='07-Paper Priority'!$C$25))),'07-Paper Priority'!$A$25,"")</f>
        <v>21</v>
      </c>
      <c r="AN173">
        <f>IF(AND('07-Paper Priority'!$A$26&gt;=MATCH($J173,'07-Paper Priority'!$B$5:$B$26,0),OR(AND($E173&lt;='07-Paper Priority'!$C$26,$F173&lt;='07-Paper Priority'!$D$26),AND($E173&lt;='07-Paper Priority'!$D$26,$F173&lt;='07-Paper Priority'!$C$26))),'07-Paper Priority'!$A$26,"")</f>
        <v>22</v>
      </c>
    </row>
    <row r="174" spans="1:40" ht="33.950000000000003" customHeight="1">
      <c r="A174" s="22" t="s">
        <v>2636</v>
      </c>
      <c r="B174" s="22" t="s">
        <v>2548</v>
      </c>
      <c r="C174" s="22" t="s">
        <v>2627</v>
      </c>
      <c r="D174" s="22" t="s">
        <v>2633</v>
      </c>
      <c r="E174" s="23">
        <v>250</v>
      </c>
      <c r="F174" s="23">
        <v>330</v>
      </c>
      <c r="G174" s="22" t="s">
        <v>2637</v>
      </c>
      <c r="H174" s="22" t="s">
        <v>2638</v>
      </c>
      <c r="I174" s="24" t="s">
        <v>64</v>
      </c>
      <c r="J174" s="25" t="s">
        <v>1980</v>
      </c>
      <c r="K174" s="26" t="str">
        <f>IF(COUNT(S174:AN174)=0,"NO FIT",INDEX('07-Paper Priority'!$B$5:$B$26,MIN(S174:AN174)))</f>
        <v>B4</v>
      </c>
      <c r="L174" s="26" t="str">
        <f>IF($K174="NO FIT","",IF(AND($E174&lt;=INDEX('07-Paper Priority'!$C$5:$C$26,MATCH($K174,'07-Paper Priority'!$B$5:$B$26,0)),$F174&lt;=INDEX('07-Paper Priority'!$D$5:$D$26,MATCH($K174,'07-Paper Priority'!$B$5:$B$26,0))),"PORTRAIT","ROTATED"))</f>
        <v>PORTRAIT</v>
      </c>
      <c r="M174" s="27">
        <f>IF($K174="NO FIT","",IF($L174="PORTRAIT",INDEX('07-Paper Priority'!$C$5:$C$26,MATCH($K174,'07-Paper Priority'!$B$5:$B$26,0)),INDEX('07-Paper Priority'!$D$5:$D$26,MATCH($K174,'07-Paper Priority'!$B$5:$B$26,0))))</f>
        <v>250</v>
      </c>
      <c r="N174" s="27">
        <f>IF($K174="NO FIT","",IF($L174="PORTRAIT",INDEX('07-Paper Priority'!$D$5:$D$26,MATCH($K174,'07-Paper Priority'!$B$5:$B$26,0)),INDEX('07-Paper Priority'!$C$5:$C$26,MATCH($K174,'07-Paper Priority'!$B$5:$B$26,0))))</f>
        <v>353</v>
      </c>
      <c r="O174" s="27">
        <f>IF($K174="NO FIT","",$M174-$E174)</f>
        <v>0</v>
      </c>
      <c r="P174" s="27">
        <f>IF($K174="NO FIT","",$N174-$F174)</f>
        <v>23</v>
      </c>
      <c r="Q174" s="28" t="str">
        <f>IF($K174="NO FIT","REVIEW - NO PAPER FIT",IF(OR($O174&lt;0,$P174&lt;0),"ERROR - FIT",IF(COUNTIF('02-Printing Size'!$A$2:$A$2169,$K174)=0,"ERROR - CODE MISSING","VALID - LOWEST PAPER")))</f>
        <v>VALID - LOWEST PAPER</v>
      </c>
      <c r="R174" s="22" t="s">
        <v>2639</v>
      </c>
      <c r="S174" t="str">
        <f>IF(AND('07-Paper Priority'!$A$5&gt;=MATCH($J174,'07-Paper Priority'!$B$5:$B$26,0),OR(AND($E174&lt;='07-Paper Priority'!$C$5,$F174&lt;='07-Paper Priority'!$D$5),AND($E174&lt;='07-Paper Priority'!$D$5,$F174&lt;='07-Paper Priority'!$C$5))),'07-Paper Priority'!$A$5,"")</f>
        <v/>
      </c>
      <c r="T174" t="str">
        <f>IF(AND('07-Paper Priority'!$A$6&gt;=MATCH($J174,'07-Paper Priority'!$B$5:$B$26,0),OR(AND($E174&lt;='07-Paper Priority'!$C$6,$F174&lt;='07-Paper Priority'!$D$6),AND($E174&lt;='07-Paper Priority'!$D$6,$F174&lt;='07-Paper Priority'!$C$6))),'07-Paper Priority'!$A$6,"")</f>
        <v/>
      </c>
      <c r="U174" t="str">
        <f>IF(AND('07-Paper Priority'!$A$7&gt;=MATCH($J174,'07-Paper Priority'!$B$5:$B$26,0),OR(AND($E174&lt;='07-Paper Priority'!$C$7,$F174&lt;='07-Paper Priority'!$D$7),AND($E174&lt;='07-Paper Priority'!$D$7,$F174&lt;='07-Paper Priority'!$C$7))),'07-Paper Priority'!$A$7,"")</f>
        <v/>
      </c>
      <c r="V174" t="str">
        <f>IF(AND('07-Paper Priority'!$A$8&gt;=MATCH($J174,'07-Paper Priority'!$B$5:$B$26,0),OR(AND($E174&lt;='07-Paper Priority'!$C$8,$F174&lt;='07-Paper Priority'!$D$8),AND($E174&lt;='07-Paper Priority'!$D$8,$F174&lt;='07-Paper Priority'!$C$8))),'07-Paper Priority'!$A$8,"")</f>
        <v/>
      </c>
      <c r="W174" t="str">
        <f>IF(AND('07-Paper Priority'!$A$9&gt;=MATCH($J174,'07-Paper Priority'!$B$5:$B$26,0),OR(AND($E174&lt;='07-Paper Priority'!$C$9,$F174&lt;='07-Paper Priority'!$D$9),AND($E174&lt;='07-Paper Priority'!$D$9,$F174&lt;='07-Paper Priority'!$C$9))),'07-Paper Priority'!$A$9,"")</f>
        <v/>
      </c>
      <c r="X174" t="str">
        <f>IF(AND('07-Paper Priority'!$A$10&gt;=MATCH($J174,'07-Paper Priority'!$B$5:$B$26,0),OR(AND($E174&lt;='07-Paper Priority'!$C$10,$F174&lt;='07-Paper Priority'!$D$10),AND($E174&lt;='07-Paper Priority'!$D$10,$F174&lt;='07-Paper Priority'!$C$10))),'07-Paper Priority'!$A$10,"")</f>
        <v/>
      </c>
      <c r="Y174" t="str">
        <f>IF(AND('07-Paper Priority'!$A$11&gt;=MATCH($J174,'07-Paper Priority'!$B$5:$B$26,0),OR(AND($E174&lt;='07-Paper Priority'!$C$11,$F174&lt;='07-Paper Priority'!$D$11),AND($E174&lt;='07-Paper Priority'!$D$11,$F174&lt;='07-Paper Priority'!$C$11))),'07-Paper Priority'!$A$11,"")</f>
        <v/>
      </c>
      <c r="Z174" t="str">
        <f>IF(AND('07-Paper Priority'!$A$12&gt;=MATCH($J174,'07-Paper Priority'!$B$5:$B$26,0),OR(AND($E174&lt;='07-Paper Priority'!$C$12,$F174&lt;='07-Paper Priority'!$D$12),AND($E174&lt;='07-Paper Priority'!$D$12,$F174&lt;='07-Paper Priority'!$C$12))),'07-Paper Priority'!$A$12,"")</f>
        <v/>
      </c>
      <c r="AA174" t="str">
        <f>IF(AND('07-Paper Priority'!$A$13&gt;=MATCH($J174,'07-Paper Priority'!$B$5:$B$26,0),OR(AND($E174&lt;='07-Paper Priority'!$C$13,$F174&lt;='07-Paper Priority'!$D$13),AND($E174&lt;='07-Paper Priority'!$D$13,$F174&lt;='07-Paper Priority'!$C$13))),'07-Paper Priority'!$A$13,"")</f>
        <v/>
      </c>
      <c r="AB174" t="str">
        <f>IF(AND('07-Paper Priority'!$A$14&gt;=MATCH($J174,'07-Paper Priority'!$B$5:$B$26,0),OR(AND($E174&lt;='07-Paper Priority'!$C$14,$F174&lt;='07-Paper Priority'!$D$14),AND($E174&lt;='07-Paper Priority'!$D$14,$F174&lt;='07-Paper Priority'!$C$14))),'07-Paper Priority'!$A$14,"")</f>
        <v/>
      </c>
      <c r="AC174" t="str">
        <f>IF(AND('07-Paper Priority'!$A$15&gt;=MATCH($J174,'07-Paper Priority'!$B$5:$B$26,0),OR(AND($E174&lt;='07-Paper Priority'!$C$15,$F174&lt;='07-Paper Priority'!$D$15),AND($E174&lt;='07-Paper Priority'!$D$15,$F174&lt;='07-Paper Priority'!$C$15))),'07-Paper Priority'!$A$15,"")</f>
        <v/>
      </c>
      <c r="AD174" t="str">
        <f>IF(AND('07-Paper Priority'!$A$16&gt;=MATCH($J174,'07-Paper Priority'!$B$5:$B$26,0),OR(AND($E174&lt;='07-Paper Priority'!$C$16,$F174&lt;='07-Paper Priority'!$D$16),AND($E174&lt;='07-Paper Priority'!$D$16,$F174&lt;='07-Paper Priority'!$C$16))),'07-Paper Priority'!$A$16,"")</f>
        <v/>
      </c>
      <c r="AE174" t="str">
        <f>IF(AND('07-Paper Priority'!$A$17&gt;=MATCH($J174,'07-Paper Priority'!$B$5:$B$26,0),OR(AND($E174&lt;='07-Paper Priority'!$C$17,$F174&lt;='07-Paper Priority'!$D$17),AND($E174&lt;='07-Paper Priority'!$D$17,$F174&lt;='07-Paper Priority'!$C$17))),'07-Paper Priority'!$A$17,"")</f>
        <v/>
      </c>
      <c r="AF174">
        <f>IF(AND('07-Paper Priority'!$A$18&gt;=MATCH($J174,'07-Paper Priority'!$B$5:$B$26,0),OR(AND($E174&lt;='07-Paper Priority'!$C$18,$F174&lt;='07-Paper Priority'!$D$18),AND($E174&lt;='07-Paper Priority'!$D$18,$F174&lt;='07-Paper Priority'!$C$18))),'07-Paper Priority'!$A$18,"")</f>
        <v>14</v>
      </c>
      <c r="AG174">
        <f>IF(AND('07-Paper Priority'!$A$19&gt;=MATCH($J174,'07-Paper Priority'!$B$5:$B$26,0),OR(AND($E174&lt;='07-Paper Priority'!$C$19,$F174&lt;='07-Paper Priority'!$D$19),AND($E174&lt;='07-Paper Priority'!$D$19,$F174&lt;='07-Paper Priority'!$C$19))),'07-Paper Priority'!$A$19,"")</f>
        <v>15</v>
      </c>
      <c r="AH174">
        <f>IF(AND('07-Paper Priority'!$A$20&gt;=MATCH($J174,'07-Paper Priority'!$B$5:$B$26,0),OR(AND($E174&lt;='07-Paper Priority'!$C$20,$F174&lt;='07-Paper Priority'!$D$20),AND($E174&lt;='07-Paper Priority'!$D$20,$F174&lt;='07-Paper Priority'!$C$20))),'07-Paper Priority'!$A$20,"")</f>
        <v>16</v>
      </c>
      <c r="AI174">
        <f>IF(AND('07-Paper Priority'!$A$21&gt;=MATCH($J174,'07-Paper Priority'!$B$5:$B$26,0),OR(AND($E174&lt;='07-Paper Priority'!$C$21,$F174&lt;='07-Paper Priority'!$D$21),AND($E174&lt;='07-Paper Priority'!$D$21,$F174&lt;='07-Paper Priority'!$C$21))),'07-Paper Priority'!$A$21,"")</f>
        <v>17</v>
      </c>
      <c r="AJ174">
        <f>IF(AND('07-Paper Priority'!$A$22&gt;=MATCH($J174,'07-Paper Priority'!$B$5:$B$26,0),OR(AND($E174&lt;='07-Paper Priority'!$C$22,$F174&lt;='07-Paper Priority'!$D$22),AND($E174&lt;='07-Paper Priority'!$D$22,$F174&lt;='07-Paper Priority'!$C$22))),'07-Paper Priority'!$A$22,"")</f>
        <v>18</v>
      </c>
      <c r="AK174">
        <f>IF(AND('07-Paper Priority'!$A$23&gt;=MATCH($J174,'07-Paper Priority'!$B$5:$B$26,0),OR(AND($E174&lt;='07-Paper Priority'!$C$23,$F174&lt;='07-Paper Priority'!$D$23),AND($E174&lt;='07-Paper Priority'!$D$23,$F174&lt;='07-Paper Priority'!$C$23))),'07-Paper Priority'!$A$23,"")</f>
        <v>19</v>
      </c>
      <c r="AL174">
        <f>IF(AND('07-Paper Priority'!$A$24&gt;=MATCH($J174,'07-Paper Priority'!$B$5:$B$26,0),OR(AND($E174&lt;='07-Paper Priority'!$C$24,$F174&lt;='07-Paper Priority'!$D$24),AND($E174&lt;='07-Paper Priority'!$D$24,$F174&lt;='07-Paper Priority'!$C$24))),'07-Paper Priority'!$A$24,"")</f>
        <v>20</v>
      </c>
      <c r="AM174">
        <f>IF(AND('07-Paper Priority'!$A$25&gt;=MATCH($J174,'07-Paper Priority'!$B$5:$B$26,0),OR(AND($E174&lt;='07-Paper Priority'!$C$25,$F174&lt;='07-Paper Priority'!$D$25),AND($E174&lt;='07-Paper Priority'!$D$25,$F174&lt;='07-Paper Priority'!$C$25))),'07-Paper Priority'!$A$25,"")</f>
        <v>21</v>
      </c>
      <c r="AN174">
        <f>IF(AND('07-Paper Priority'!$A$26&gt;=MATCH($J174,'07-Paper Priority'!$B$5:$B$26,0),OR(AND($E174&lt;='07-Paper Priority'!$C$26,$F174&lt;='07-Paper Priority'!$D$26),AND($E174&lt;='07-Paper Priority'!$D$26,$F174&lt;='07-Paper Priority'!$C$26))),'07-Paper Priority'!$A$26,"")</f>
        <v>22</v>
      </c>
    </row>
    <row r="175" spans="1:40" ht="33.950000000000003" customHeight="1">
      <c r="A175" s="22" t="s">
        <v>2640</v>
      </c>
      <c r="B175" s="22" t="s">
        <v>2548</v>
      </c>
      <c r="C175" s="22" t="s">
        <v>2641</v>
      </c>
      <c r="D175" s="22" t="s">
        <v>2628</v>
      </c>
      <c r="E175" s="23">
        <v>200</v>
      </c>
      <c r="F175" s="23">
        <v>220</v>
      </c>
      <c r="G175" s="22" t="s">
        <v>2642</v>
      </c>
      <c r="H175" s="22" t="s">
        <v>2643</v>
      </c>
      <c r="I175" s="24" t="s">
        <v>2568</v>
      </c>
      <c r="J175" s="25" t="s">
        <v>504</v>
      </c>
      <c r="K175" s="26" t="str">
        <f>IF(COUNT(S175:AN175)=0,"NO FIT",INDEX('07-Paper Priority'!$B$5:$B$26,MIN(S175:AN175)))</f>
        <v>A4</v>
      </c>
      <c r="L175" s="26" t="str">
        <f>IF($K175="NO FIT","",IF(AND($E175&lt;=INDEX('07-Paper Priority'!$C$5:$C$26,MATCH($K175,'07-Paper Priority'!$B$5:$B$26,0)),$F175&lt;=INDEX('07-Paper Priority'!$D$5:$D$26,MATCH($K175,'07-Paper Priority'!$B$5:$B$26,0))),"PORTRAIT","ROTATED"))</f>
        <v>PORTRAIT</v>
      </c>
      <c r="M175" s="27">
        <f>IF($K175="NO FIT","",IF($L175="PORTRAIT",INDEX('07-Paper Priority'!$C$5:$C$26,MATCH($K175,'07-Paper Priority'!$B$5:$B$26,0)),INDEX('07-Paper Priority'!$D$5:$D$26,MATCH($K175,'07-Paper Priority'!$B$5:$B$26,0))))</f>
        <v>210</v>
      </c>
      <c r="N175" s="27">
        <f>IF($K175="NO FIT","",IF($L175="PORTRAIT",INDEX('07-Paper Priority'!$D$5:$D$26,MATCH($K175,'07-Paper Priority'!$B$5:$B$26,0)),INDEX('07-Paper Priority'!$C$5:$C$26,MATCH($K175,'07-Paper Priority'!$B$5:$B$26,0))))</f>
        <v>297</v>
      </c>
      <c r="O175" s="27">
        <f>IF($K175="NO FIT","",$M175-$E175)</f>
        <v>10</v>
      </c>
      <c r="P175" s="27">
        <f>IF($K175="NO FIT","",$N175-$F175)</f>
        <v>77</v>
      </c>
      <c r="Q175" s="28" t="str">
        <f>IF($K175="NO FIT","REVIEW - NO PAPER FIT",IF(OR($O175&lt;0,$P175&lt;0),"ERROR - FIT",IF(COUNTIF('02-Printing Size'!$A$2:$A$2169,$K175)=0,"ERROR - CODE MISSING","VALID - LOWEST PAPER")))</f>
        <v>VALID - LOWEST PAPER</v>
      </c>
      <c r="R175" s="22" t="s">
        <v>2644</v>
      </c>
      <c r="S175" t="str">
        <f>IF(AND('07-Paper Priority'!$A$5&gt;=MATCH($J175,'07-Paper Priority'!$B$5:$B$26,0),OR(AND($E175&lt;='07-Paper Priority'!$C$5,$F175&lt;='07-Paper Priority'!$D$5),AND($E175&lt;='07-Paper Priority'!$D$5,$F175&lt;='07-Paper Priority'!$C$5))),'07-Paper Priority'!$A$5,"")</f>
        <v/>
      </c>
      <c r="T175" t="str">
        <f>IF(AND('07-Paper Priority'!$A$6&gt;=MATCH($J175,'07-Paper Priority'!$B$5:$B$26,0),OR(AND($E175&lt;='07-Paper Priority'!$C$6,$F175&lt;='07-Paper Priority'!$D$6),AND($E175&lt;='07-Paper Priority'!$D$6,$F175&lt;='07-Paper Priority'!$C$6))),'07-Paper Priority'!$A$6,"")</f>
        <v/>
      </c>
      <c r="U175" t="str">
        <f>IF(AND('07-Paper Priority'!$A$7&gt;=MATCH($J175,'07-Paper Priority'!$B$5:$B$26,0),OR(AND($E175&lt;='07-Paper Priority'!$C$7,$F175&lt;='07-Paper Priority'!$D$7),AND($E175&lt;='07-Paper Priority'!$D$7,$F175&lt;='07-Paper Priority'!$C$7))),'07-Paper Priority'!$A$7,"")</f>
        <v/>
      </c>
      <c r="V175" t="str">
        <f>IF(AND('07-Paper Priority'!$A$8&gt;=MATCH($J175,'07-Paper Priority'!$B$5:$B$26,0),OR(AND($E175&lt;='07-Paper Priority'!$C$8,$F175&lt;='07-Paper Priority'!$D$8),AND($E175&lt;='07-Paper Priority'!$D$8,$F175&lt;='07-Paper Priority'!$C$8))),'07-Paper Priority'!$A$8,"")</f>
        <v/>
      </c>
      <c r="W175" t="str">
        <f>IF(AND('07-Paper Priority'!$A$9&gt;=MATCH($J175,'07-Paper Priority'!$B$5:$B$26,0),OR(AND($E175&lt;='07-Paper Priority'!$C$9,$F175&lt;='07-Paper Priority'!$D$9),AND($E175&lt;='07-Paper Priority'!$D$9,$F175&lt;='07-Paper Priority'!$C$9))),'07-Paper Priority'!$A$9,"")</f>
        <v/>
      </c>
      <c r="X175" t="str">
        <f>IF(AND('07-Paper Priority'!$A$10&gt;=MATCH($J175,'07-Paper Priority'!$B$5:$B$26,0),OR(AND($E175&lt;='07-Paper Priority'!$C$10,$F175&lt;='07-Paper Priority'!$D$10),AND($E175&lt;='07-Paper Priority'!$D$10,$F175&lt;='07-Paper Priority'!$C$10))),'07-Paper Priority'!$A$10,"")</f>
        <v/>
      </c>
      <c r="Y175" t="str">
        <f>IF(AND('07-Paper Priority'!$A$11&gt;=MATCH($J175,'07-Paper Priority'!$B$5:$B$26,0),OR(AND($E175&lt;='07-Paper Priority'!$C$11,$F175&lt;='07-Paper Priority'!$D$11),AND($E175&lt;='07-Paper Priority'!$D$11,$F175&lt;='07-Paper Priority'!$C$11))),'07-Paper Priority'!$A$11,"")</f>
        <v/>
      </c>
      <c r="Z175" t="str">
        <f>IF(AND('07-Paper Priority'!$A$12&gt;=MATCH($J175,'07-Paper Priority'!$B$5:$B$26,0),OR(AND($E175&lt;='07-Paper Priority'!$C$12,$F175&lt;='07-Paper Priority'!$D$12),AND($E175&lt;='07-Paper Priority'!$D$12,$F175&lt;='07-Paper Priority'!$C$12))),'07-Paper Priority'!$A$12,"")</f>
        <v/>
      </c>
      <c r="AA175" t="str">
        <f>IF(AND('07-Paper Priority'!$A$13&gt;=MATCH($J175,'07-Paper Priority'!$B$5:$B$26,0),OR(AND($E175&lt;='07-Paper Priority'!$C$13,$F175&lt;='07-Paper Priority'!$D$13),AND($E175&lt;='07-Paper Priority'!$D$13,$F175&lt;='07-Paper Priority'!$C$13))),'07-Paper Priority'!$A$13,"")</f>
        <v/>
      </c>
      <c r="AB175" t="str">
        <f>IF(AND('07-Paper Priority'!$A$14&gt;=MATCH($J175,'07-Paper Priority'!$B$5:$B$26,0),OR(AND($E175&lt;='07-Paper Priority'!$C$14,$F175&lt;='07-Paper Priority'!$D$14),AND($E175&lt;='07-Paper Priority'!$D$14,$F175&lt;='07-Paper Priority'!$C$14))),'07-Paper Priority'!$A$14,"")</f>
        <v/>
      </c>
      <c r="AC175" t="str">
        <f>IF(AND('07-Paper Priority'!$A$15&gt;=MATCH($J175,'07-Paper Priority'!$B$5:$B$26,0),OR(AND($E175&lt;='07-Paper Priority'!$C$15,$F175&lt;='07-Paper Priority'!$D$15),AND($E175&lt;='07-Paper Priority'!$D$15,$F175&lt;='07-Paper Priority'!$C$15))),'07-Paper Priority'!$A$15,"")</f>
        <v/>
      </c>
      <c r="AD175" t="str">
        <f>IF(AND('07-Paper Priority'!$A$16&gt;=MATCH($J175,'07-Paper Priority'!$B$5:$B$26,0),OR(AND($E175&lt;='07-Paper Priority'!$C$16,$F175&lt;='07-Paper Priority'!$D$16),AND($E175&lt;='07-Paper Priority'!$D$16,$F175&lt;='07-Paper Priority'!$C$16))),'07-Paper Priority'!$A$16,"")</f>
        <v/>
      </c>
      <c r="AE175">
        <f>IF(AND('07-Paper Priority'!$A$17&gt;=MATCH($J175,'07-Paper Priority'!$B$5:$B$26,0),OR(AND($E175&lt;='07-Paper Priority'!$C$17,$F175&lt;='07-Paper Priority'!$D$17),AND($E175&lt;='07-Paper Priority'!$D$17,$F175&lt;='07-Paper Priority'!$C$17))),'07-Paper Priority'!$A$17,"")</f>
        <v>13</v>
      </c>
      <c r="AF175">
        <f>IF(AND('07-Paper Priority'!$A$18&gt;=MATCH($J175,'07-Paper Priority'!$B$5:$B$26,0),OR(AND($E175&lt;='07-Paper Priority'!$C$18,$F175&lt;='07-Paper Priority'!$D$18),AND($E175&lt;='07-Paper Priority'!$D$18,$F175&lt;='07-Paper Priority'!$C$18))),'07-Paper Priority'!$A$18,"")</f>
        <v>14</v>
      </c>
      <c r="AG175">
        <f>IF(AND('07-Paper Priority'!$A$19&gt;=MATCH($J175,'07-Paper Priority'!$B$5:$B$26,0),OR(AND($E175&lt;='07-Paper Priority'!$C$19,$F175&lt;='07-Paper Priority'!$D$19),AND($E175&lt;='07-Paper Priority'!$D$19,$F175&lt;='07-Paper Priority'!$C$19))),'07-Paper Priority'!$A$19,"")</f>
        <v>15</v>
      </c>
      <c r="AH175">
        <f>IF(AND('07-Paper Priority'!$A$20&gt;=MATCH($J175,'07-Paper Priority'!$B$5:$B$26,0),OR(AND($E175&lt;='07-Paper Priority'!$C$20,$F175&lt;='07-Paper Priority'!$D$20),AND($E175&lt;='07-Paper Priority'!$D$20,$F175&lt;='07-Paper Priority'!$C$20))),'07-Paper Priority'!$A$20,"")</f>
        <v>16</v>
      </c>
      <c r="AI175">
        <f>IF(AND('07-Paper Priority'!$A$21&gt;=MATCH($J175,'07-Paper Priority'!$B$5:$B$26,0),OR(AND($E175&lt;='07-Paper Priority'!$C$21,$F175&lt;='07-Paper Priority'!$D$21),AND($E175&lt;='07-Paper Priority'!$D$21,$F175&lt;='07-Paper Priority'!$C$21))),'07-Paper Priority'!$A$21,"")</f>
        <v>17</v>
      </c>
      <c r="AJ175">
        <f>IF(AND('07-Paper Priority'!$A$22&gt;=MATCH($J175,'07-Paper Priority'!$B$5:$B$26,0),OR(AND($E175&lt;='07-Paper Priority'!$C$22,$F175&lt;='07-Paper Priority'!$D$22),AND($E175&lt;='07-Paper Priority'!$D$22,$F175&lt;='07-Paper Priority'!$C$22))),'07-Paper Priority'!$A$22,"")</f>
        <v>18</v>
      </c>
      <c r="AK175">
        <f>IF(AND('07-Paper Priority'!$A$23&gt;=MATCH($J175,'07-Paper Priority'!$B$5:$B$26,0),OR(AND($E175&lt;='07-Paper Priority'!$C$23,$F175&lt;='07-Paper Priority'!$D$23),AND($E175&lt;='07-Paper Priority'!$D$23,$F175&lt;='07-Paper Priority'!$C$23))),'07-Paper Priority'!$A$23,"")</f>
        <v>19</v>
      </c>
      <c r="AL175">
        <f>IF(AND('07-Paper Priority'!$A$24&gt;=MATCH($J175,'07-Paper Priority'!$B$5:$B$26,0),OR(AND($E175&lt;='07-Paper Priority'!$C$24,$F175&lt;='07-Paper Priority'!$D$24),AND($E175&lt;='07-Paper Priority'!$D$24,$F175&lt;='07-Paper Priority'!$C$24))),'07-Paper Priority'!$A$24,"")</f>
        <v>20</v>
      </c>
      <c r="AM175">
        <f>IF(AND('07-Paper Priority'!$A$25&gt;=MATCH($J175,'07-Paper Priority'!$B$5:$B$26,0),OR(AND($E175&lt;='07-Paper Priority'!$C$25,$F175&lt;='07-Paper Priority'!$D$25),AND($E175&lt;='07-Paper Priority'!$D$25,$F175&lt;='07-Paper Priority'!$C$25))),'07-Paper Priority'!$A$25,"")</f>
        <v>21</v>
      </c>
      <c r="AN175">
        <f>IF(AND('07-Paper Priority'!$A$26&gt;=MATCH($J175,'07-Paper Priority'!$B$5:$B$26,0),OR(AND($E175&lt;='07-Paper Priority'!$C$26,$F175&lt;='07-Paper Priority'!$D$26),AND($E175&lt;='07-Paper Priority'!$D$26,$F175&lt;='07-Paper Priority'!$C$26))),'07-Paper Priority'!$A$26,"")</f>
        <v>22</v>
      </c>
    </row>
    <row r="176" spans="1:40" ht="33.950000000000003" customHeight="1">
      <c r="A176" s="22" t="s">
        <v>2645</v>
      </c>
      <c r="B176" s="22" t="s">
        <v>2548</v>
      </c>
      <c r="C176" s="22" t="s">
        <v>2641</v>
      </c>
      <c r="D176" s="22" t="s">
        <v>2646</v>
      </c>
      <c r="E176" s="23">
        <v>220</v>
      </c>
      <c r="F176" s="23">
        <v>260</v>
      </c>
      <c r="G176" s="22" t="s">
        <v>2642</v>
      </c>
      <c r="H176" s="22" t="s">
        <v>2647</v>
      </c>
      <c r="I176" s="24" t="s">
        <v>2568</v>
      </c>
      <c r="J176" s="25" t="s">
        <v>1980</v>
      </c>
      <c r="K176" s="26" t="str">
        <f>IF(COUNT(S176:AN176)=0,"NO FIT",INDEX('07-Paper Priority'!$B$5:$B$26,MIN(S176:AN176)))</f>
        <v>B4</v>
      </c>
      <c r="L176" s="26" t="str">
        <f>IF($K176="NO FIT","",IF(AND($E176&lt;=INDEX('07-Paper Priority'!$C$5:$C$26,MATCH($K176,'07-Paper Priority'!$B$5:$B$26,0)),$F176&lt;=INDEX('07-Paper Priority'!$D$5:$D$26,MATCH($K176,'07-Paper Priority'!$B$5:$B$26,0))),"PORTRAIT","ROTATED"))</f>
        <v>PORTRAIT</v>
      </c>
      <c r="M176" s="27">
        <f>IF($K176="NO FIT","",IF($L176="PORTRAIT",INDEX('07-Paper Priority'!$C$5:$C$26,MATCH($K176,'07-Paper Priority'!$B$5:$B$26,0)),INDEX('07-Paper Priority'!$D$5:$D$26,MATCH($K176,'07-Paper Priority'!$B$5:$B$26,0))))</f>
        <v>250</v>
      </c>
      <c r="N176" s="27">
        <f>IF($K176="NO FIT","",IF($L176="PORTRAIT",INDEX('07-Paper Priority'!$D$5:$D$26,MATCH($K176,'07-Paper Priority'!$B$5:$B$26,0)),INDEX('07-Paper Priority'!$C$5:$C$26,MATCH($K176,'07-Paper Priority'!$B$5:$B$26,0))))</f>
        <v>353</v>
      </c>
      <c r="O176" s="27">
        <f>IF($K176="NO FIT","",$M176-$E176)</f>
        <v>30</v>
      </c>
      <c r="P176" s="27">
        <f>IF($K176="NO FIT","",$N176-$F176)</f>
        <v>93</v>
      </c>
      <c r="Q176" s="28" t="str">
        <f>IF($K176="NO FIT","REVIEW - NO PAPER FIT",IF(OR($O176&lt;0,$P176&lt;0),"ERROR - FIT",IF(COUNTIF('02-Printing Size'!$A$2:$A$2169,$K176)=0,"ERROR - CODE MISSING","VALID - LOWEST PAPER")))</f>
        <v>VALID - LOWEST PAPER</v>
      </c>
      <c r="R176" s="22" t="s">
        <v>2648</v>
      </c>
      <c r="S176" t="str">
        <f>IF(AND('07-Paper Priority'!$A$5&gt;=MATCH($J176,'07-Paper Priority'!$B$5:$B$26,0),OR(AND($E176&lt;='07-Paper Priority'!$C$5,$F176&lt;='07-Paper Priority'!$D$5),AND($E176&lt;='07-Paper Priority'!$D$5,$F176&lt;='07-Paper Priority'!$C$5))),'07-Paper Priority'!$A$5,"")</f>
        <v/>
      </c>
      <c r="T176" t="str">
        <f>IF(AND('07-Paper Priority'!$A$6&gt;=MATCH($J176,'07-Paper Priority'!$B$5:$B$26,0),OR(AND($E176&lt;='07-Paper Priority'!$C$6,$F176&lt;='07-Paper Priority'!$D$6),AND($E176&lt;='07-Paper Priority'!$D$6,$F176&lt;='07-Paper Priority'!$C$6))),'07-Paper Priority'!$A$6,"")</f>
        <v/>
      </c>
      <c r="U176" t="str">
        <f>IF(AND('07-Paper Priority'!$A$7&gt;=MATCH($J176,'07-Paper Priority'!$B$5:$B$26,0),OR(AND($E176&lt;='07-Paper Priority'!$C$7,$F176&lt;='07-Paper Priority'!$D$7),AND($E176&lt;='07-Paper Priority'!$D$7,$F176&lt;='07-Paper Priority'!$C$7))),'07-Paper Priority'!$A$7,"")</f>
        <v/>
      </c>
      <c r="V176" t="str">
        <f>IF(AND('07-Paper Priority'!$A$8&gt;=MATCH($J176,'07-Paper Priority'!$B$5:$B$26,0),OR(AND($E176&lt;='07-Paper Priority'!$C$8,$F176&lt;='07-Paper Priority'!$D$8),AND($E176&lt;='07-Paper Priority'!$D$8,$F176&lt;='07-Paper Priority'!$C$8))),'07-Paper Priority'!$A$8,"")</f>
        <v/>
      </c>
      <c r="W176" t="str">
        <f>IF(AND('07-Paper Priority'!$A$9&gt;=MATCH($J176,'07-Paper Priority'!$B$5:$B$26,0),OR(AND($E176&lt;='07-Paper Priority'!$C$9,$F176&lt;='07-Paper Priority'!$D$9),AND($E176&lt;='07-Paper Priority'!$D$9,$F176&lt;='07-Paper Priority'!$C$9))),'07-Paper Priority'!$A$9,"")</f>
        <v/>
      </c>
      <c r="X176" t="str">
        <f>IF(AND('07-Paper Priority'!$A$10&gt;=MATCH($J176,'07-Paper Priority'!$B$5:$B$26,0),OR(AND($E176&lt;='07-Paper Priority'!$C$10,$F176&lt;='07-Paper Priority'!$D$10),AND($E176&lt;='07-Paper Priority'!$D$10,$F176&lt;='07-Paper Priority'!$C$10))),'07-Paper Priority'!$A$10,"")</f>
        <v/>
      </c>
      <c r="Y176" t="str">
        <f>IF(AND('07-Paper Priority'!$A$11&gt;=MATCH($J176,'07-Paper Priority'!$B$5:$B$26,0),OR(AND($E176&lt;='07-Paper Priority'!$C$11,$F176&lt;='07-Paper Priority'!$D$11),AND($E176&lt;='07-Paper Priority'!$D$11,$F176&lt;='07-Paper Priority'!$C$11))),'07-Paper Priority'!$A$11,"")</f>
        <v/>
      </c>
      <c r="Z176" t="str">
        <f>IF(AND('07-Paper Priority'!$A$12&gt;=MATCH($J176,'07-Paper Priority'!$B$5:$B$26,0),OR(AND($E176&lt;='07-Paper Priority'!$C$12,$F176&lt;='07-Paper Priority'!$D$12),AND($E176&lt;='07-Paper Priority'!$D$12,$F176&lt;='07-Paper Priority'!$C$12))),'07-Paper Priority'!$A$12,"")</f>
        <v/>
      </c>
      <c r="AA176" t="str">
        <f>IF(AND('07-Paper Priority'!$A$13&gt;=MATCH($J176,'07-Paper Priority'!$B$5:$B$26,0),OR(AND($E176&lt;='07-Paper Priority'!$C$13,$F176&lt;='07-Paper Priority'!$D$13),AND($E176&lt;='07-Paper Priority'!$D$13,$F176&lt;='07-Paper Priority'!$C$13))),'07-Paper Priority'!$A$13,"")</f>
        <v/>
      </c>
      <c r="AB176" t="str">
        <f>IF(AND('07-Paper Priority'!$A$14&gt;=MATCH($J176,'07-Paper Priority'!$B$5:$B$26,0),OR(AND($E176&lt;='07-Paper Priority'!$C$14,$F176&lt;='07-Paper Priority'!$D$14),AND($E176&lt;='07-Paper Priority'!$D$14,$F176&lt;='07-Paper Priority'!$C$14))),'07-Paper Priority'!$A$14,"")</f>
        <v/>
      </c>
      <c r="AC176" t="str">
        <f>IF(AND('07-Paper Priority'!$A$15&gt;=MATCH($J176,'07-Paper Priority'!$B$5:$B$26,0),OR(AND($E176&lt;='07-Paper Priority'!$C$15,$F176&lt;='07-Paper Priority'!$D$15),AND($E176&lt;='07-Paper Priority'!$D$15,$F176&lt;='07-Paper Priority'!$C$15))),'07-Paper Priority'!$A$15,"")</f>
        <v/>
      </c>
      <c r="AD176" t="str">
        <f>IF(AND('07-Paper Priority'!$A$16&gt;=MATCH($J176,'07-Paper Priority'!$B$5:$B$26,0),OR(AND($E176&lt;='07-Paper Priority'!$C$16,$F176&lt;='07-Paper Priority'!$D$16),AND($E176&lt;='07-Paper Priority'!$D$16,$F176&lt;='07-Paper Priority'!$C$16))),'07-Paper Priority'!$A$16,"")</f>
        <v/>
      </c>
      <c r="AE176" t="str">
        <f>IF(AND('07-Paper Priority'!$A$17&gt;=MATCH($J176,'07-Paper Priority'!$B$5:$B$26,0),OR(AND($E176&lt;='07-Paper Priority'!$C$17,$F176&lt;='07-Paper Priority'!$D$17),AND($E176&lt;='07-Paper Priority'!$D$17,$F176&lt;='07-Paper Priority'!$C$17))),'07-Paper Priority'!$A$17,"")</f>
        <v/>
      </c>
      <c r="AF176">
        <f>IF(AND('07-Paper Priority'!$A$18&gt;=MATCH($J176,'07-Paper Priority'!$B$5:$B$26,0),OR(AND($E176&lt;='07-Paper Priority'!$C$18,$F176&lt;='07-Paper Priority'!$D$18),AND($E176&lt;='07-Paper Priority'!$D$18,$F176&lt;='07-Paper Priority'!$C$18))),'07-Paper Priority'!$A$18,"")</f>
        <v>14</v>
      </c>
      <c r="AG176">
        <f>IF(AND('07-Paper Priority'!$A$19&gt;=MATCH($J176,'07-Paper Priority'!$B$5:$B$26,0),OR(AND($E176&lt;='07-Paper Priority'!$C$19,$F176&lt;='07-Paper Priority'!$D$19),AND($E176&lt;='07-Paper Priority'!$D$19,$F176&lt;='07-Paper Priority'!$C$19))),'07-Paper Priority'!$A$19,"")</f>
        <v>15</v>
      </c>
      <c r="AH176">
        <f>IF(AND('07-Paper Priority'!$A$20&gt;=MATCH($J176,'07-Paper Priority'!$B$5:$B$26,0),OR(AND($E176&lt;='07-Paper Priority'!$C$20,$F176&lt;='07-Paper Priority'!$D$20),AND($E176&lt;='07-Paper Priority'!$D$20,$F176&lt;='07-Paper Priority'!$C$20))),'07-Paper Priority'!$A$20,"")</f>
        <v>16</v>
      </c>
      <c r="AI176">
        <f>IF(AND('07-Paper Priority'!$A$21&gt;=MATCH($J176,'07-Paper Priority'!$B$5:$B$26,0),OR(AND($E176&lt;='07-Paper Priority'!$C$21,$F176&lt;='07-Paper Priority'!$D$21),AND($E176&lt;='07-Paper Priority'!$D$21,$F176&lt;='07-Paper Priority'!$C$21))),'07-Paper Priority'!$A$21,"")</f>
        <v>17</v>
      </c>
      <c r="AJ176">
        <f>IF(AND('07-Paper Priority'!$A$22&gt;=MATCH($J176,'07-Paper Priority'!$B$5:$B$26,0),OR(AND($E176&lt;='07-Paper Priority'!$C$22,$F176&lt;='07-Paper Priority'!$D$22),AND($E176&lt;='07-Paper Priority'!$D$22,$F176&lt;='07-Paper Priority'!$C$22))),'07-Paper Priority'!$A$22,"")</f>
        <v>18</v>
      </c>
      <c r="AK176">
        <f>IF(AND('07-Paper Priority'!$A$23&gt;=MATCH($J176,'07-Paper Priority'!$B$5:$B$26,0),OR(AND($E176&lt;='07-Paper Priority'!$C$23,$F176&lt;='07-Paper Priority'!$D$23),AND($E176&lt;='07-Paper Priority'!$D$23,$F176&lt;='07-Paper Priority'!$C$23))),'07-Paper Priority'!$A$23,"")</f>
        <v>19</v>
      </c>
      <c r="AL176">
        <f>IF(AND('07-Paper Priority'!$A$24&gt;=MATCH($J176,'07-Paper Priority'!$B$5:$B$26,0),OR(AND($E176&lt;='07-Paper Priority'!$C$24,$F176&lt;='07-Paper Priority'!$D$24),AND($E176&lt;='07-Paper Priority'!$D$24,$F176&lt;='07-Paper Priority'!$C$24))),'07-Paper Priority'!$A$24,"")</f>
        <v>20</v>
      </c>
      <c r="AM176">
        <f>IF(AND('07-Paper Priority'!$A$25&gt;=MATCH($J176,'07-Paper Priority'!$B$5:$B$26,0),OR(AND($E176&lt;='07-Paper Priority'!$C$25,$F176&lt;='07-Paper Priority'!$D$25),AND($E176&lt;='07-Paper Priority'!$D$25,$F176&lt;='07-Paper Priority'!$C$25))),'07-Paper Priority'!$A$25,"")</f>
        <v>21</v>
      </c>
      <c r="AN176">
        <f>IF(AND('07-Paper Priority'!$A$26&gt;=MATCH($J176,'07-Paper Priority'!$B$5:$B$26,0),OR(AND($E176&lt;='07-Paper Priority'!$C$26,$F176&lt;='07-Paper Priority'!$D$26),AND($E176&lt;='07-Paper Priority'!$D$26,$F176&lt;='07-Paper Priority'!$C$26))),'07-Paper Priority'!$A$26,"")</f>
        <v>22</v>
      </c>
    </row>
    <row r="177" spans="1:40" ht="33.950000000000003" customHeight="1">
      <c r="A177" s="22" t="s">
        <v>2649</v>
      </c>
      <c r="B177" s="22" t="s">
        <v>2548</v>
      </c>
      <c r="C177" s="22" t="s">
        <v>2641</v>
      </c>
      <c r="D177" s="22" t="s">
        <v>2650</v>
      </c>
      <c r="E177" s="23">
        <v>267</v>
      </c>
      <c r="F177" s="23">
        <v>267</v>
      </c>
      <c r="G177" s="22" t="s">
        <v>2651</v>
      </c>
      <c r="H177" s="22" t="s">
        <v>2652</v>
      </c>
      <c r="I177" s="24" t="s">
        <v>2568</v>
      </c>
      <c r="J177" s="25" t="s">
        <v>430</v>
      </c>
      <c r="K177" s="26" t="str">
        <f>IF(COUNT(S177:AN177)=0,"NO FIT",INDEX('07-Paper Priority'!$B$5:$B$26,MIN(S177:AN177)))</f>
        <v>A3</v>
      </c>
      <c r="L177" s="26" t="str">
        <f>IF($K177="NO FIT","",IF(AND($E177&lt;=INDEX('07-Paper Priority'!$C$5:$C$26,MATCH($K177,'07-Paper Priority'!$B$5:$B$26,0)),$F177&lt;=INDEX('07-Paper Priority'!$D$5:$D$26,MATCH($K177,'07-Paper Priority'!$B$5:$B$26,0))),"PORTRAIT","ROTATED"))</f>
        <v>PORTRAIT</v>
      </c>
      <c r="M177" s="27">
        <f>IF($K177="NO FIT","",IF($L177="PORTRAIT",INDEX('07-Paper Priority'!$C$5:$C$26,MATCH($K177,'07-Paper Priority'!$B$5:$B$26,0)),INDEX('07-Paper Priority'!$D$5:$D$26,MATCH($K177,'07-Paper Priority'!$B$5:$B$26,0))))</f>
        <v>297</v>
      </c>
      <c r="N177" s="27">
        <f>IF($K177="NO FIT","",IF($L177="PORTRAIT",INDEX('07-Paper Priority'!$D$5:$D$26,MATCH($K177,'07-Paper Priority'!$B$5:$B$26,0)),INDEX('07-Paper Priority'!$C$5:$C$26,MATCH($K177,'07-Paper Priority'!$B$5:$B$26,0))))</f>
        <v>420</v>
      </c>
      <c r="O177" s="27">
        <f>IF($K177="NO FIT","",$M177-$E177)</f>
        <v>30</v>
      </c>
      <c r="P177" s="27">
        <f>IF($K177="NO FIT","",$N177-$F177)</f>
        <v>153</v>
      </c>
      <c r="Q177" s="28" t="str">
        <f>IF($K177="NO FIT","REVIEW - NO PAPER FIT",IF(OR($O177&lt;0,$P177&lt;0),"ERROR - FIT",IF(COUNTIF('02-Printing Size'!$A$2:$A$2169,$K177)=0,"ERROR - CODE MISSING","VALID - LOWEST PAPER")))</f>
        <v>VALID - LOWEST PAPER</v>
      </c>
      <c r="R177" s="22" t="s">
        <v>2653</v>
      </c>
      <c r="S177" t="str">
        <f>IF(AND('07-Paper Priority'!$A$5&gt;=MATCH($J177,'07-Paper Priority'!$B$5:$B$26,0),OR(AND($E177&lt;='07-Paper Priority'!$C$5,$F177&lt;='07-Paper Priority'!$D$5),AND($E177&lt;='07-Paper Priority'!$D$5,$F177&lt;='07-Paper Priority'!$C$5))),'07-Paper Priority'!$A$5,"")</f>
        <v/>
      </c>
      <c r="T177" t="str">
        <f>IF(AND('07-Paper Priority'!$A$6&gt;=MATCH($J177,'07-Paper Priority'!$B$5:$B$26,0),OR(AND($E177&lt;='07-Paper Priority'!$C$6,$F177&lt;='07-Paper Priority'!$D$6),AND($E177&lt;='07-Paper Priority'!$D$6,$F177&lt;='07-Paper Priority'!$C$6))),'07-Paper Priority'!$A$6,"")</f>
        <v/>
      </c>
      <c r="U177" t="str">
        <f>IF(AND('07-Paper Priority'!$A$7&gt;=MATCH($J177,'07-Paper Priority'!$B$5:$B$26,0),OR(AND($E177&lt;='07-Paper Priority'!$C$7,$F177&lt;='07-Paper Priority'!$D$7),AND($E177&lt;='07-Paper Priority'!$D$7,$F177&lt;='07-Paper Priority'!$C$7))),'07-Paper Priority'!$A$7,"")</f>
        <v/>
      </c>
      <c r="V177" t="str">
        <f>IF(AND('07-Paper Priority'!$A$8&gt;=MATCH($J177,'07-Paper Priority'!$B$5:$B$26,0),OR(AND($E177&lt;='07-Paper Priority'!$C$8,$F177&lt;='07-Paper Priority'!$D$8),AND($E177&lt;='07-Paper Priority'!$D$8,$F177&lt;='07-Paper Priority'!$C$8))),'07-Paper Priority'!$A$8,"")</f>
        <v/>
      </c>
      <c r="W177" t="str">
        <f>IF(AND('07-Paper Priority'!$A$9&gt;=MATCH($J177,'07-Paper Priority'!$B$5:$B$26,0),OR(AND($E177&lt;='07-Paper Priority'!$C$9,$F177&lt;='07-Paper Priority'!$D$9),AND($E177&lt;='07-Paper Priority'!$D$9,$F177&lt;='07-Paper Priority'!$C$9))),'07-Paper Priority'!$A$9,"")</f>
        <v/>
      </c>
      <c r="X177" t="str">
        <f>IF(AND('07-Paper Priority'!$A$10&gt;=MATCH($J177,'07-Paper Priority'!$B$5:$B$26,0),OR(AND($E177&lt;='07-Paper Priority'!$C$10,$F177&lt;='07-Paper Priority'!$D$10),AND($E177&lt;='07-Paper Priority'!$D$10,$F177&lt;='07-Paper Priority'!$C$10))),'07-Paper Priority'!$A$10,"")</f>
        <v/>
      </c>
      <c r="Y177" t="str">
        <f>IF(AND('07-Paper Priority'!$A$11&gt;=MATCH($J177,'07-Paper Priority'!$B$5:$B$26,0),OR(AND($E177&lt;='07-Paper Priority'!$C$11,$F177&lt;='07-Paper Priority'!$D$11),AND($E177&lt;='07-Paper Priority'!$D$11,$F177&lt;='07-Paper Priority'!$C$11))),'07-Paper Priority'!$A$11,"")</f>
        <v/>
      </c>
      <c r="Z177" t="str">
        <f>IF(AND('07-Paper Priority'!$A$12&gt;=MATCH($J177,'07-Paper Priority'!$B$5:$B$26,0),OR(AND($E177&lt;='07-Paper Priority'!$C$12,$F177&lt;='07-Paper Priority'!$D$12),AND($E177&lt;='07-Paper Priority'!$D$12,$F177&lt;='07-Paper Priority'!$C$12))),'07-Paper Priority'!$A$12,"")</f>
        <v/>
      </c>
      <c r="AA177" t="str">
        <f>IF(AND('07-Paper Priority'!$A$13&gt;=MATCH($J177,'07-Paper Priority'!$B$5:$B$26,0),OR(AND($E177&lt;='07-Paper Priority'!$C$13,$F177&lt;='07-Paper Priority'!$D$13),AND($E177&lt;='07-Paper Priority'!$D$13,$F177&lt;='07-Paper Priority'!$C$13))),'07-Paper Priority'!$A$13,"")</f>
        <v/>
      </c>
      <c r="AB177" t="str">
        <f>IF(AND('07-Paper Priority'!$A$14&gt;=MATCH($J177,'07-Paper Priority'!$B$5:$B$26,0),OR(AND($E177&lt;='07-Paper Priority'!$C$14,$F177&lt;='07-Paper Priority'!$D$14),AND($E177&lt;='07-Paper Priority'!$D$14,$F177&lt;='07-Paper Priority'!$C$14))),'07-Paper Priority'!$A$14,"")</f>
        <v/>
      </c>
      <c r="AC177" t="str">
        <f>IF(AND('07-Paper Priority'!$A$15&gt;=MATCH($J177,'07-Paper Priority'!$B$5:$B$26,0),OR(AND($E177&lt;='07-Paper Priority'!$C$15,$F177&lt;='07-Paper Priority'!$D$15),AND($E177&lt;='07-Paper Priority'!$D$15,$F177&lt;='07-Paper Priority'!$C$15))),'07-Paper Priority'!$A$15,"")</f>
        <v/>
      </c>
      <c r="AD177" t="str">
        <f>IF(AND('07-Paper Priority'!$A$16&gt;=MATCH($J177,'07-Paper Priority'!$B$5:$B$26,0),OR(AND($E177&lt;='07-Paper Priority'!$C$16,$F177&lt;='07-Paper Priority'!$D$16),AND($E177&lt;='07-Paper Priority'!$D$16,$F177&lt;='07-Paper Priority'!$C$16))),'07-Paper Priority'!$A$16,"")</f>
        <v/>
      </c>
      <c r="AE177" t="str">
        <f>IF(AND('07-Paper Priority'!$A$17&gt;=MATCH($J177,'07-Paper Priority'!$B$5:$B$26,0),OR(AND($E177&lt;='07-Paper Priority'!$C$17,$F177&lt;='07-Paper Priority'!$D$17),AND($E177&lt;='07-Paper Priority'!$D$17,$F177&lt;='07-Paper Priority'!$C$17))),'07-Paper Priority'!$A$17,"")</f>
        <v/>
      </c>
      <c r="AF177" t="str">
        <f>IF(AND('07-Paper Priority'!$A$18&gt;=MATCH($J177,'07-Paper Priority'!$B$5:$B$26,0),OR(AND($E177&lt;='07-Paper Priority'!$C$18,$F177&lt;='07-Paper Priority'!$D$18),AND($E177&lt;='07-Paper Priority'!$D$18,$F177&lt;='07-Paper Priority'!$C$18))),'07-Paper Priority'!$A$18,"")</f>
        <v/>
      </c>
      <c r="AG177">
        <f>IF(AND('07-Paper Priority'!$A$19&gt;=MATCH($J177,'07-Paper Priority'!$B$5:$B$26,0),OR(AND($E177&lt;='07-Paper Priority'!$C$19,$F177&lt;='07-Paper Priority'!$D$19),AND($E177&lt;='07-Paper Priority'!$D$19,$F177&lt;='07-Paper Priority'!$C$19))),'07-Paper Priority'!$A$19,"")</f>
        <v>15</v>
      </c>
      <c r="AH177">
        <f>IF(AND('07-Paper Priority'!$A$20&gt;=MATCH($J177,'07-Paper Priority'!$B$5:$B$26,0),OR(AND($E177&lt;='07-Paper Priority'!$C$20,$F177&lt;='07-Paper Priority'!$D$20),AND($E177&lt;='07-Paper Priority'!$D$20,$F177&lt;='07-Paper Priority'!$C$20))),'07-Paper Priority'!$A$20,"")</f>
        <v>16</v>
      </c>
      <c r="AI177">
        <f>IF(AND('07-Paper Priority'!$A$21&gt;=MATCH($J177,'07-Paper Priority'!$B$5:$B$26,0),OR(AND($E177&lt;='07-Paper Priority'!$C$21,$F177&lt;='07-Paper Priority'!$D$21),AND($E177&lt;='07-Paper Priority'!$D$21,$F177&lt;='07-Paper Priority'!$C$21))),'07-Paper Priority'!$A$21,"")</f>
        <v>17</v>
      </c>
      <c r="AJ177">
        <f>IF(AND('07-Paper Priority'!$A$22&gt;=MATCH($J177,'07-Paper Priority'!$B$5:$B$26,0),OR(AND($E177&lt;='07-Paper Priority'!$C$22,$F177&lt;='07-Paper Priority'!$D$22),AND($E177&lt;='07-Paper Priority'!$D$22,$F177&lt;='07-Paper Priority'!$C$22))),'07-Paper Priority'!$A$22,"")</f>
        <v>18</v>
      </c>
      <c r="AK177">
        <f>IF(AND('07-Paper Priority'!$A$23&gt;=MATCH($J177,'07-Paper Priority'!$B$5:$B$26,0),OR(AND($E177&lt;='07-Paper Priority'!$C$23,$F177&lt;='07-Paper Priority'!$D$23),AND($E177&lt;='07-Paper Priority'!$D$23,$F177&lt;='07-Paper Priority'!$C$23))),'07-Paper Priority'!$A$23,"")</f>
        <v>19</v>
      </c>
      <c r="AL177">
        <f>IF(AND('07-Paper Priority'!$A$24&gt;=MATCH($J177,'07-Paper Priority'!$B$5:$B$26,0),OR(AND($E177&lt;='07-Paper Priority'!$C$24,$F177&lt;='07-Paper Priority'!$D$24),AND($E177&lt;='07-Paper Priority'!$D$24,$F177&lt;='07-Paper Priority'!$C$24))),'07-Paper Priority'!$A$24,"")</f>
        <v>20</v>
      </c>
      <c r="AM177">
        <f>IF(AND('07-Paper Priority'!$A$25&gt;=MATCH($J177,'07-Paper Priority'!$B$5:$B$26,0),OR(AND($E177&lt;='07-Paper Priority'!$C$25,$F177&lt;='07-Paper Priority'!$D$25),AND($E177&lt;='07-Paper Priority'!$D$25,$F177&lt;='07-Paper Priority'!$C$25))),'07-Paper Priority'!$A$25,"")</f>
        <v>21</v>
      </c>
      <c r="AN177">
        <f>IF(AND('07-Paper Priority'!$A$26&gt;=MATCH($J177,'07-Paper Priority'!$B$5:$B$26,0),OR(AND($E177&lt;='07-Paper Priority'!$C$26,$F177&lt;='07-Paper Priority'!$D$26),AND($E177&lt;='07-Paper Priority'!$D$26,$F177&lt;='07-Paper Priority'!$C$26))),'07-Paper Priority'!$A$26,"")</f>
        <v>22</v>
      </c>
    </row>
    <row r="178" spans="1:40" ht="33.950000000000003" customHeight="1">
      <c r="A178" s="22" t="s">
        <v>2654</v>
      </c>
      <c r="B178" s="22" t="s">
        <v>2548</v>
      </c>
      <c r="C178" s="22" t="s">
        <v>2641</v>
      </c>
      <c r="D178" s="22" t="s">
        <v>2655</v>
      </c>
      <c r="E178" s="23">
        <v>220</v>
      </c>
      <c r="F178" s="23">
        <v>260</v>
      </c>
      <c r="G178" s="22" t="s">
        <v>2656</v>
      </c>
      <c r="H178" s="22" t="s">
        <v>2657</v>
      </c>
      <c r="I178" s="24" t="s">
        <v>64</v>
      </c>
      <c r="J178" s="25" t="s">
        <v>1980</v>
      </c>
      <c r="K178" s="26" t="str">
        <f>IF(COUNT(S178:AN178)=0,"NO FIT",INDEX('07-Paper Priority'!$B$5:$B$26,MIN(S178:AN178)))</f>
        <v>B4</v>
      </c>
      <c r="L178" s="26" t="str">
        <f>IF($K178="NO FIT","",IF(AND($E178&lt;=INDEX('07-Paper Priority'!$C$5:$C$26,MATCH($K178,'07-Paper Priority'!$B$5:$B$26,0)),$F178&lt;=INDEX('07-Paper Priority'!$D$5:$D$26,MATCH($K178,'07-Paper Priority'!$B$5:$B$26,0))),"PORTRAIT","ROTATED"))</f>
        <v>PORTRAIT</v>
      </c>
      <c r="M178" s="27">
        <f>IF($K178="NO FIT","",IF($L178="PORTRAIT",INDEX('07-Paper Priority'!$C$5:$C$26,MATCH($K178,'07-Paper Priority'!$B$5:$B$26,0)),INDEX('07-Paper Priority'!$D$5:$D$26,MATCH($K178,'07-Paper Priority'!$B$5:$B$26,0))))</f>
        <v>250</v>
      </c>
      <c r="N178" s="27">
        <f>IF($K178="NO FIT","",IF($L178="PORTRAIT",INDEX('07-Paper Priority'!$D$5:$D$26,MATCH($K178,'07-Paper Priority'!$B$5:$B$26,0)),INDEX('07-Paper Priority'!$C$5:$C$26,MATCH($K178,'07-Paper Priority'!$B$5:$B$26,0))))</f>
        <v>353</v>
      </c>
      <c r="O178" s="27">
        <f>IF($K178="NO FIT","",$M178-$E178)</f>
        <v>30</v>
      </c>
      <c r="P178" s="27">
        <f>IF($K178="NO FIT","",$N178-$F178)</f>
        <v>93</v>
      </c>
      <c r="Q178" s="28" t="str">
        <f>IF($K178="NO FIT","REVIEW - NO PAPER FIT",IF(OR($O178&lt;0,$P178&lt;0),"ERROR - FIT",IF(COUNTIF('02-Printing Size'!$A$2:$A$2169,$K178)=0,"ERROR - CODE MISSING","VALID - LOWEST PAPER")))</f>
        <v>VALID - LOWEST PAPER</v>
      </c>
      <c r="R178" s="22" t="s">
        <v>2639</v>
      </c>
      <c r="S178" t="str">
        <f>IF(AND('07-Paper Priority'!$A$5&gt;=MATCH($J178,'07-Paper Priority'!$B$5:$B$26,0),OR(AND($E178&lt;='07-Paper Priority'!$C$5,$F178&lt;='07-Paper Priority'!$D$5),AND($E178&lt;='07-Paper Priority'!$D$5,$F178&lt;='07-Paper Priority'!$C$5))),'07-Paper Priority'!$A$5,"")</f>
        <v/>
      </c>
      <c r="T178" t="str">
        <f>IF(AND('07-Paper Priority'!$A$6&gt;=MATCH($J178,'07-Paper Priority'!$B$5:$B$26,0),OR(AND($E178&lt;='07-Paper Priority'!$C$6,$F178&lt;='07-Paper Priority'!$D$6),AND($E178&lt;='07-Paper Priority'!$D$6,$F178&lt;='07-Paper Priority'!$C$6))),'07-Paper Priority'!$A$6,"")</f>
        <v/>
      </c>
      <c r="U178" t="str">
        <f>IF(AND('07-Paper Priority'!$A$7&gt;=MATCH($J178,'07-Paper Priority'!$B$5:$B$26,0),OR(AND($E178&lt;='07-Paper Priority'!$C$7,$F178&lt;='07-Paper Priority'!$D$7),AND($E178&lt;='07-Paper Priority'!$D$7,$F178&lt;='07-Paper Priority'!$C$7))),'07-Paper Priority'!$A$7,"")</f>
        <v/>
      </c>
      <c r="V178" t="str">
        <f>IF(AND('07-Paper Priority'!$A$8&gt;=MATCH($J178,'07-Paper Priority'!$B$5:$B$26,0),OR(AND($E178&lt;='07-Paper Priority'!$C$8,$F178&lt;='07-Paper Priority'!$D$8),AND($E178&lt;='07-Paper Priority'!$D$8,$F178&lt;='07-Paper Priority'!$C$8))),'07-Paper Priority'!$A$8,"")</f>
        <v/>
      </c>
      <c r="W178" t="str">
        <f>IF(AND('07-Paper Priority'!$A$9&gt;=MATCH($J178,'07-Paper Priority'!$B$5:$B$26,0),OR(AND($E178&lt;='07-Paper Priority'!$C$9,$F178&lt;='07-Paper Priority'!$D$9),AND($E178&lt;='07-Paper Priority'!$D$9,$F178&lt;='07-Paper Priority'!$C$9))),'07-Paper Priority'!$A$9,"")</f>
        <v/>
      </c>
      <c r="X178" t="str">
        <f>IF(AND('07-Paper Priority'!$A$10&gt;=MATCH($J178,'07-Paper Priority'!$B$5:$B$26,0),OR(AND($E178&lt;='07-Paper Priority'!$C$10,$F178&lt;='07-Paper Priority'!$D$10),AND($E178&lt;='07-Paper Priority'!$D$10,$F178&lt;='07-Paper Priority'!$C$10))),'07-Paper Priority'!$A$10,"")</f>
        <v/>
      </c>
      <c r="Y178" t="str">
        <f>IF(AND('07-Paper Priority'!$A$11&gt;=MATCH($J178,'07-Paper Priority'!$B$5:$B$26,0),OR(AND($E178&lt;='07-Paper Priority'!$C$11,$F178&lt;='07-Paper Priority'!$D$11),AND($E178&lt;='07-Paper Priority'!$D$11,$F178&lt;='07-Paper Priority'!$C$11))),'07-Paper Priority'!$A$11,"")</f>
        <v/>
      </c>
      <c r="Z178" t="str">
        <f>IF(AND('07-Paper Priority'!$A$12&gt;=MATCH($J178,'07-Paper Priority'!$B$5:$B$26,0),OR(AND($E178&lt;='07-Paper Priority'!$C$12,$F178&lt;='07-Paper Priority'!$D$12),AND($E178&lt;='07-Paper Priority'!$D$12,$F178&lt;='07-Paper Priority'!$C$12))),'07-Paper Priority'!$A$12,"")</f>
        <v/>
      </c>
      <c r="AA178" t="str">
        <f>IF(AND('07-Paper Priority'!$A$13&gt;=MATCH($J178,'07-Paper Priority'!$B$5:$B$26,0),OR(AND($E178&lt;='07-Paper Priority'!$C$13,$F178&lt;='07-Paper Priority'!$D$13),AND($E178&lt;='07-Paper Priority'!$D$13,$F178&lt;='07-Paper Priority'!$C$13))),'07-Paper Priority'!$A$13,"")</f>
        <v/>
      </c>
      <c r="AB178" t="str">
        <f>IF(AND('07-Paper Priority'!$A$14&gt;=MATCH($J178,'07-Paper Priority'!$B$5:$B$26,0),OR(AND($E178&lt;='07-Paper Priority'!$C$14,$F178&lt;='07-Paper Priority'!$D$14),AND($E178&lt;='07-Paper Priority'!$D$14,$F178&lt;='07-Paper Priority'!$C$14))),'07-Paper Priority'!$A$14,"")</f>
        <v/>
      </c>
      <c r="AC178" t="str">
        <f>IF(AND('07-Paper Priority'!$A$15&gt;=MATCH($J178,'07-Paper Priority'!$B$5:$B$26,0),OR(AND($E178&lt;='07-Paper Priority'!$C$15,$F178&lt;='07-Paper Priority'!$D$15),AND($E178&lt;='07-Paper Priority'!$D$15,$F178&lt;='07-Paper Priority'!$C$15))),'07-Paper Priority'!$A$15,"")</f>
        <v/>
      </c>
      <c r="AD178" t="str">
        <f>IF(AND('07-Paper Priority'!$A$16&gt;=MATCH($J178,'07-Paper Priority'!$B$5:$B$26,0),OR(AND($E178&lt;='07-Paper Priority'!$C$16,$F178&lt;='07-Paper Priority'!$D$16),AND($E178&lt;='07-Paper Priority'!$D$16,$F178&lt;='07-Paper Priority'!$C$16))),'07-Paper Priority'!$A$16,"")</f>
        <v/>
      </c>
      <c r="AE178" t="str">
        <f>IF(AND('07-Paper Priority'!$A$17&gt;=MATCH($J178,'07-Paper Priority'!$B$5:$B$26,0),OR(AND($E178&lt;='07-Paper Priority'!$C$17,$F178&lt;='07-Paper Priority'!$D$17),AND($E178&lt;='07-Paper Priority'!$D$17,$F178&lt;='07-Paper Priority'!$C$17))),'07-Paper Priority'!$A$17,"")</f>
        <v/>
      </c>
      <c r="AF178">
        <f>IF(AND('07-Paper Priority'!$A$18&gt;=MATCH($J178,'07-Paper Priority'!$B$5:$B$26,0),OR(AND($E178&lt;='07-Paper Priority'!$C$18,$F178&lt;='07-Paper Priority'!$D$18),AND($E178&lt;='07-Paper Priority'!$D$18,$F178&lt;='07-Paper Priority'!$C$18))),'07-Paper Priority'!$A$18,"")</f>
        <v>14</v>
      </c>
      <c r="AG178">
        <f>IF(AND('07-Paper Priority'!$A$19&gt;=MATCH($J178,'07-Paper Priority'!$B$5:$B$26,0),OR(AND($E178&lt;='07-Paper Priority'!$C$19,$F178&lt;='07-Paper Priority'!$D$19),AND($E178&lt;='07-Paper Priority'!$D$19,$F178&lt;='07-Paper Priority'!$C$19))),'07-Paper Priority'!$A$19,"")</f>
        <v>15</v>
      </c>
      <c r="AH178">
        <f>IF(AND('07-Paper Priority'!$A$20&gt;=MATCH($J178,'07-Paper Priority'!$B$5:$B$26,0),OR(AND($E178&lt;='07-Paper Priority'!$C$20,$F178&lt;='07-Paper Priority'!$D$20),AND($E178&lt;='07-Paper Priority'!$D$20,$F178&lt;='07-Paper Priority'!$C$20))),'07-Paper Priority'!$A$20,"")</f>
        <v>16</v>
      </c>
      <c r="AI178">
        <f>IF(AND('07-Paper Priority'!$A$21&gt;=MATCH($J178,'07-Paper Priority'!$B$5:$B$26,0),OR(AND($E178&lt;='07-Paper Priority'!$C$21,$F178&lt;='07-Paper Priority'!$D$21),AND($E178&lt;='07-Paper Priority'!$D$21,$F178&lt;='07-Paper Priority'!$C$21))),'07-Paper Priority'!$A$21,"")</f>
        <v>17</v>
      </c>
      <c r="AJ178">
        <f>IF(AND('07-Paper Priority'!$A$22&gt;=MATCH($J178,'07-Paper Priority'!$B$5:$B$26,0),OR(AND($E178&lt;='07-Paper Priority'!$C$22,$F178&lt;='07-Paper Priority'!$D$22),AND($E178&lt;='07-Paper Priority'!$D$22,$F178&lt;='07-Paper Priority'!$C$22))),'07-Paper Priority'!$A$22,"")</f>
        <v>18</v>
      </c>
      <c r="AK178">
        <f>IF(AND('07-Paper Priority'!$A$23&gt;=MATCH($J178,'07-Paper Priority'!$B$5:$B$26,0),OR(AND($E178&lt;='07-Paper Priority'!$C$23,$F178&lt;='07-Paper Priority'!$D$23),AND($E178&lt;='07-Paper Priority'!$D$23,$F178&lt;='07-Paper Priority'!$C$23))),'07-Paper Priority'!$A$23,"")</f>
        <v>19</v>
      </c>
      <c r="AL178">
        <f>IF(AND('07-Paper Priority'!$A$24&gt;=MATCH($J178,'07-Paper Priority'!$B$5:$B$26,0),OR(AND($E178&lt;='07-Paper Priority'!$C$24,$F178&lt;='07-Paper Priority'!$D$24),AND($E178&lt;='07-Paper Priority'!$D$24,$F178&lt;='07-Paper Priority'!$C$24))),'07-Paper Priority'!$A$24,"")</f>
        <v>20</v>
      </c>
      <c r="AM178">
        <f>IF(AND('07-Paper Priority'!$A$25&gt;=MATCH($J178,'07-Paper Priority'!$B$5:$B$26,0),OR(AND($E178&lt;='07-Paper Priority'!$C$25,$F178&lt;='07-Paper Priority'!$D$25),AND($E178&lt;='07-Paper Priority'!$D$25,$F178&lt;='07-Paper Priority'!$C$25))),'07-Paper Priority'!$A$25,"")</f>
        <v>21</v>
      </c>
      <c r="AN178">
        <f>IF(AND('07-Paper Priority'!$A$26&gt;=MATCH($J178,'07-Paper Priority'!$B$5:$B$26,0),OR(AND($E178&lt;='07-Paper Priority'!$C$26,$F178&lt;='07-Paper Priority'!$D$26),AND($E178&lt;='07-Paper Priority'!$D$26,$F178&lt;='07-Paper Priority'!$C$26))),'07-Paper Priority'!$A$26,"")</f>
        <v>22</v>
      </c>
    </row>
    <row r="179" spans="1:40" ht="33.950000000000003" customHeight="1">
      <c r="A179" s="22" t="s">
        <v>2658</v>
      </c>
      <c r="B179" s="22" t="s">
        <v>2548</v>
      </c>
      <c r="C179" s="22" t="s">
        <v>2641</v>
      </c>
      <c r="D179" s="22" t="s">
        <v>2655</v>
      </c>
      <c r="E179" s="23">
        <v>80</v>
      </c>
      <c r="F179" s="23">
        <v>80</v>
      </c>
      <c r="G179" s="22" t="s">
        <v>2659</v>
      </c>
      <c r="H179" s="22" t="s">
        <v>2660</v>
      </c>
      <c r="I179" s="24" t="s">
        <v>2553</v>
      </c>
      <c r="J179" s="25" t="s">
        <v>2202</v>
      </c>
      <c r="K179" s="26" t="str">
        <f>IF(COUNT(S179:AN179)=0,"NO FIT",INDEX('07-Paper Priority'!$B$5:$B$26,MIN(S179:AN179)))</f>
        <v>B7</v>
      </c>
      <c r="L179" s="26" t="str">
        <f>IF($K179="NO FIT","",IF(AND($E179&lt;=INDEX('07-Paper Priority'!$C$5:$C$26,MATCH($K179,'07-Paper Priority'!$B$5:$B$26,0)),$F179&lt;=INDEX('07-Paper Priority'!$D$5:$D$26,MATCH($K179,'07-Paper Priority'!$B$5:$B$26,0))),"PORTRAIT","ROTATED"))</f>
        <v>PORTRAIT</v>
      </c>
      <c r="M179" s="27">
        <f>IF($K179="NO FIT","",IF($L179="PORTRAIT",INDEX('07-Paper Priority'!$C$5:$C$26,MATCH($K179,'07-Paper Priority'!$B$5:$B$26,0)),INDEX('07-Paper Priority'!$D$5:$D$26,MATCH($K179,'07-Paper Priority'!$B$5:$B$26,0))))</f>
        <v>88</v>
      </c>
      <c r="N179" s="27">
        <f>IF($K179="NO FIT","",IF($L179="PORTRAIT",INDEX('07-Paper Priority'!$D$5:$D$26,MATCH($K179,'07-Paper Priority'!$B$5:$B$26,0)),INDEX('07-Paper Priority'!$C$5:$C$26,MATCH($K179,'07-Paper Priority'!$B$5:$B$26,0))))</f>
        <v>125</v>
      </c>
      <c r="O179" s="27">
        <f>IF($K179="NO FIT","",$M179-$E179)</f>
        <v>8</v>
      </c>
      <c r="P179" s="27">
        <f>IF($K179="NO FIT","",$N179-$F179)</f>
        <v>45</v>
      </c>
      <c r="Q179" s="28" t="str">
        <f>IF($K179="NO FIT","REVIEW - NO PAPER FIT",IF(OR($O179&lt;0,$P179&lt;0),"ERROR - FIT",IF(COUNTIF('02-Printing Size'!$A$2:$A$2169,$K179)=0,"ERROR - CODE MISSING","VALID - LOWEST PAPER")))</f>
        <v>VALID - LOWEST PAPER</v>
      </c>
      <c r="R179" s="22" t="s">
        <v>2661</v>
      </c>
      <c r="S179" t="str">
        <f>IF(AND('07-Paper Priority'!$A$5&gt;=MATCH($J179,'07-Paper Priority'!$B$5:$B$26,0),OR(AND($E179&lt;='07-Paper Priority'!$C$5,$F179&lt;='07-Paper Priority'!$D$5),AND($E179&lt;='07-Paper Priority'!$D$5,$F179&lt;='07-Paper Priority'!$C$5))),'07-Paper Priority'!$A$5,"")</f>
        <v/>
      </c>
      <c r="T179" t="str">
        <f>IF(AND('07-Paper Priority'!$A$6&gt;=MATCH($J179,'07-Paper Priority'!$B$5:$B$26,0),OR(AND($E179&lt;='07-Paper Priority'!$C$6,$F179&lt;='07-Paper Priority'!$D$6),AND($E179&lt;='07-Paper Priority'!$D$6,$F179&lt;='07-Paper Priority'!$C$6))),'07-Paper Priority'!$A$6,"")</f>
        <v/>
      </c>
      <c r="U179" t="str">
        <f>IF(AND('07-Paper Priority'!$A$7&gt;=MATCH($J179,'07-Paper Priority'!$B$5:$B$26,0),OR(AND($E179&lt;='07-Paper Priority'!$C$7,$F179&lt;='07-Paper Priority'!$D$7),AND($E179&lt;='07-Paper Priority'!$D$7,$F179&lt;='07-Paper Priority'!$C$7))),'07-Paper Priority'!$A$7,"")</f>
        <v/>
      </c>
      <c r="V179" t="str">
        <f>IF(AND('07-Paper Priority'!$A$8&gt;=MATCH($J179,'07-Paper Priority'!$B$5:$B$26,0),OR(AND($E179&lt;='07-Paper Priority'!$C$8,$F179&lt;='07-Paper Priority'!$D$8),AND($E179&lt;='07-Paper Priority'!$D$8,$F179&lt;='07-Paper Priority'!$C$8))),'07-Paper Priority'!$A$8,"")</f>
        <v/>
      </c>
      <c r="W179" t="str">
        <f>IF(AND('07-Paper Priority'!$A$9&gt;=MATCH($J179,'07-Paper Priority'!$B$5:$B$26,0),OR(AND($E179&lt;='07-Paper Priority'!$C$9,$F179&lt;='07-Paper Priority'!$D$9),AND($E179&lt;='07-Paper Priority'!$D$9,$F179&lt;='07-Paper Priority'!$C$9))),'07-Paper Priority'!$A$9,"")</f>
        <v/>
      </c>
      <c r="X179" t="str">
        <f>IF(AND('07-Paper Priority'!$A$10&gt;=MATCH($J179,'07-Paper Priority'!$B$5:$B$26,0),OR(AND($E179&lt;='07-Paper Priority'!$C$10,$F179&lt;='07-Paper Priority'!$D$10),AND($E179&lt;='07-Paper Priority'!$D$10,$F179&lt;='07-Paper Priority'!$C$10))),'07-Paper Priority'!$A$10,"")</f>
        <v/>
      </c>
      <c r="Y179" t="str">
        <f>IF(AND('07-Paper Priority'!$A$11&gt;=MATCH($J179,'07-Paper Priority'!$B$5:$B$26,0),OR(AND($E179&lt;='07-Paper Priority'!$C$11,$F179&lt;='07-Paper Priority'!$D$11),AND($E179&lt;='07-Paper Priority'!$D$11,$F179&lt;='07-Paper Priority'!$C$11))),'07-Paper Priority'!$A$11,"")</f>
        <v/>
      </c>
      <c r="Z179">
        <f>IF(AND('07-Paper Priority'!$A$12&gt;=MATCH($J179,'07-Paper Priority'!$B$5:$B$26,0),OR(AND($E179&lt;='07-Paper Priority'!$C$12,$F179&lt;='07-Paper Priority'!$D$12),AND($E179&lt;='07-Paper Priority'!$D$12,$F179&lt;='07-Paper Priority'!$C$12))),'07-Paper Priority'!$A$12,"")</f>
        <v>8</v>
      </c>
      <c r="AA179">
        <f>IF(AND('07-Paper Priority'!$A$13&gt;=MATCH($J179,'07-Paper Priority'!$B$5:$B$26,0),OR(AND($E179&lt;='07-Paper Priority'!$C$13,$F179&lt;='07-Paper Priority'!$D$13),AND($E179&lt;='07-Paper Priority'!$D$13,$F179&lt;='07-Paper Priority'!$C$13))),'07-Paper Priority'!$A$13,"")</f>
        <v>9</v>
      </c>
      <c r="AB179">
        <f>IF(AND('07-Paper Priority'!$A$14&gt;=MATCH($J179,'07-Paper Priority'!$B$5:$B$26,0),OR(AND($E179&lt;='07-Paper Priority'!$C$14,$F179&lt;='07-Paper Priority'!$D$14),AND($E179&lt;='07-Paper Priority'!$D$14,$F179&lt;='07-Paper Priority'!$C$14))),'07-Paper Priority'!$A$14,"")</f>
        <v>10</v>
      </c>
      <c r="AC179">
        <f>IF(AND('07-Paper Priority'!$A$15&gt;=MATCH($J179,'07-Paper Priority'!$B$5:$B$26,0),OR(AND($E179&lt;='07-Paper Priority'!$C$15,$F179&lt;='07-Paper Priority'!$D$15),AND($E179&lt;='07-Paper Priority'!$D$15,$F179&lt;='07-Paper Priority'!$C$15))),'07-Paper Priority'!$A$15,"")</f>
        <v>11</v>
      </c>
      <c r="AD179">
        <f>IF(AND('07-Paper Priority'!$A$16&gt;=MATCH($J179,'07-Paper Priority'!$B$5:$B$26,0),OR(AND($E179&lt;='07-Paper Priority'!$C$16,$F179&lt;='07-Paper Priority'!$D$16),AND($E179&lt;='07-Paper Priority'!$D$16,$F179&lt;='07-Paper Priority'!$C$16))),'07-Paper Priority'!$A$16,"")</f>
        <v>12</v>
      </c>
      <c r="AE179">
        <f>IF(AND('07-Paper Priority'!$A$17&gt;=MATCH($J179,'07-Paper Priority'!$B$5:$B$26,0),OR(AND($E179&lt;='07-Paper Priority'!$C$17,$F179&lt;='07-Paper Priority'!$D$17),AND($E179&lt;='07-Paper Priority'!$D$17,$F179&lt;='07-Paper Priority'!$C$17))),'07-Paper Priority'!$A$17,"")</f>
        <v>13</v>
      </c>
      <c r="AF179">
        <f>IF(AND('07-Paper Priority'!$A$18&gt;=MATCH($J179,'07-Paper Priority'!$B$5:$B$26,0),OR(AND($E179&lt;='07-Paper Priority'!$C$18,$F179&lt;='07-Paper Priority'!$D$18),AND($E179&lt;='07-Paper Priority'!$D$18,$F179&lt;='07-Paper Priority'!$C$18))),'07-Paper Priority'!$A$18,"")</f>
        <v>14</v>
      </c>
      <c r="AG179">
        <f>IF(AND('07-Paper Priority'!$A$19&gt;=MATCH($J179,'07-Paper Priority'!$B$5:$B$26,0),OR(AND($E179&lt;='07-Paper Priority'!$C$19,$F179&lt;='07-Paper Priority'!$D$19),AND($E179&lt;='07-Paper Priority'!$D$19,$F179&lt;='07-Paper Priority'!$C$19))),'07-Paper Priority'!$A$19,"")</f>
        <v>15</v>
      </c>
      <c r="AH179">
        <f>IF(AND('07-Paper Priority'!$A$20&gt;=MATCH($J179,'07-Paper Priority'!$B$5:$B$26,0),OR(AND($E179&lt;='07-Paper Priority'!$C$20,$F179&lt;='07-Paper Priority'!$D$20),AND($E179&lt;='07-Paper Priority'!$D$20,$F179&lt;='07-Paper Priority'!$C$20))),'07-Paper Priority'!$A$20,"")</f>
        <v>16</v>
      </c>
      <c r="AI179">
        <f>IF(AND('07-Paper Priority'!$A$21&gt;=MATCH($J179,'07-Paper Priority'!$B$5:$B$26,0),OR(AND($E179&lt;='07-Paper Priority'!$C$21,$F179&lt;='07-Paper Priority'!$D$21),AND($E179&lt;='07-Paper Priority'!$D$21,$F179&lt;='07-Paper Priority'!$C$21))),'07-Paper Priority'!$A$21,"")</f>
        <v>17</v>
      </c>
      <c r="AJ179">
        <f>IF(AND('07-Paper Priority'!$A$22&gt;=MATCH($J179,'07-Paper Priority'!$B$5:$B$26,0),OR(AND($E179&lt;='07-Paper Priority'!$C$22,$F179&lt;='07-Paper Priority'!$D$22),AND($E179&lt;='07-Paper Priority'!$D$22,$F179&lt;='07-Paper Priority'!$C$22))),'07-Paper Priority'!$A$22,"")</f>
        <v>18</v>
      </c>
      <c r="AK179">
        <f>IF(AND('07-Paper Priority'!$A$23&gt;=MATCH($J179,'07-Paper Priority'!$B$5:$B$26,0),OR(AND($E179&lt;='07-Paper Priority'!$C$23,$F179&lt;='07-Paper Priority'!$D$23),AND($E179&lt;='07-Paper Priority'!$D$23,$F179&lt;='07-Paper Priority'!$C$23))),'07-Paper Priority'!$A$23,"")</f>
        <v>19</v>
      </c>
      <c r="AL179">
        <f>IF(AND('07-Paper Priority'!$A$24&gt;=MATCH($J179,'07-Paper Priority'!$B$5:$B$26,0),OR(AND($E179&lt;='07-Paper Priority'!$C$24,$F179&lt;='07-Paper Priority'!$D$24),AND($E179&lt;='07-Paper Priority'!$D$24,$F179&lt;='07-Paper Priority'!$C$24))),'07-Paper Priority'!$A$24,"")</f>
        <v>20</v>
      </c>
      <c r="AM179">
        <f>IF(AND('07-Paper Priority'!$A$25&gt;=MATCH($J179,'07-Paper Priority'!$B$5:$B$26,0),OR(AND($E179&lt;='07-Paper Priority'!$C$25,$F179&lt;='07-Paper Priority'!$D$25),AND($E179&lt;='07-Paper Priority'!$D$25,$F179&lt;='07-Paper Priority'!$C$25))),'07-Paper Priority'!$A$25,"")</f>
        <v>21</v>
      </c>
      <c r="AN179">
        <f>IF(AND('07-Paper Priority'!$A$26&gt;=MATCH($J179,'07-Paper Priority'!$B$5:$B$26,0),OR(AND($E179&lt;='07-Paper Priority'!$C$26,$F179&lt;='07-Paper Priority'!$D$26),AND($E179&lt;='07-Paper Priority'!$D$26,$F179&lt;='07-Paper Priority'!$C$26))),'07-Paper Priority'!$A$26,"")</f>
        <v>22</v>
      </c>
    </row>
    <row r="180" spans="1:40" ht="33.950000000000003" customHeight="1">
      <c r="A180" s="22" t="s">
        <v>2662</v>
      </c>
      <c r="B180" s="22" t="s">
        <v>2548</v>
      </c>
      <c r="C180" s="22" t="s">
        <v>2641</v>
      </c>
      <c r="D180" s="22" t="s">
        <v>2655</v>
      </c>
      <c r="E180" s="23">
        <v>60</v>
      </c>
      <c r="F180" s="23">
        <v>60</v>
      </c>
      <c r="G180" s="22" t="s">
        <v>2663</v>
      </c>
      <c r="H180" s="22" t="s">
        <v>2664</v>
      </c>
      <c r="I180" s="24" t="s">
        <v>2553</v>
      </c>
      <c r="J180" s="25" t="s">
        <v>800</v>
      </c>
      <c r="K180" s="26" t="str">
        <f>IF(COUNT(S180:AN180)=0,"NO FIT",INDEX('07-Paper Priority'!$B$5:$B$26,MIN(S180:AN180)))</f>
        <v>B8</v>
      </c>
      <c r="L180" s="26" t="str">
        <f>IF($K180="NO FIT","",IF(AND($E180&lt;=INDEX('07-Paper Priority'!$C$5:$C$26,MATCH($K180,'07-Paper Priority'!$B$5:$B$26,0)),$F180&lt;=INDEX('07-Paper Priority'!$D$5:$D$26,MATCH($K180,'07-Paper Priority'!$B$5:$B$26,0))),"PORTRAIT","ROTATED"))</f>
        <v>PORTRAIT</v>
      </c>
      <c r="M180" s="27">
        <f>IF($K180="NO FIT","",IF($L180="PORTRAIT",INDEX('07-Paper Priority'!$C$5:$C$26,MATCH($K180,'07-Paper Priority'!$B$5:$B$26,0)),INDEX('07-Paper Priority'!$D$5:$D$26,MATCH($K180,'07-Paper Priority'!$B$5:$B$26,0))))</f>
        <v>62</v>
      </c>
      <c r="N180" s="27">
        <f>IF($K180="NO FIT","",IF($L180="PORTRAIT",INDEX('07-Paper Priority'!$D$5:$D$26,MATCH($K180,'07-Paper Priority'!$B$5:$B$26,0)),INDEX('07-Paper Priority'!$C$5:$C$26,MATCH($K180,'07-Paper Priority'!$B$5:$B$26,0))))</f>
        <v>88</v>
      </c>
      <c r="O180" s="27">
        <f>IF($K180="NO FIT","",$M180-$E180)</f>
        <v>2</v>
      </c>
      <c r="P180" s="27">
        <f>IF($K180="NO FIT","",$N180-$F180)</f>
        <v>28</v>
      </c>
      <c r="Q180" s="28" t="str">
        <f>IF($K180="NO FIT","REVIEW - NO PAPER FIT",IF(OR($O180&lt;0,$P180&lt;0),"ERROR - FIT",IF(COUNTIF('02-Printing Size'!$A$2:$A$2169,$K180)=0,"ERROR - CODE MISSING","VALID - LOWEST PAPER")))</f>
        <v>VALID - LOWEST PAPER</v>
      </c>
      <c r="R180" s="22" t="s">
        <v>2665</v>
      </c>
      <c r="S180" t="str">
        <f>IF(AND('07-Paper Priority'!$A$5&gt;=MATCH($J180,'07-Paper Priority'!$B$5:$B$26,0),OR(AND($E180&lt;='07-Paper Priority'!$C$5,$F180&lt;='07-Paper Priority'!$D$5),AND($E180&lt;='07-Paper Priority'!$D$5,$F180&lt;='07-Paper Priority'!$C$5))),'07-Paper Priority'!$A$5,"")</f>
        <v/>
      </c>
      <c r="T180" t="str">
        <f>IF(AND('07-Paper Priority'!$A$6&gt;=MATCH($J180,'07-Paper Priority'!$B$5:$B$26,0),OR(AND($E180&lt;='07-Paper Priority'!$C$6,$F180&lt;='07-Paper Priority'!$D$6),AND($E180&lt;='07-Paper Priority'!$D$6,$F180&lt;='07-Paper Priority'!$C$6))),'07-Paper Priority'!$A$6,"")</f>
        <v/>
      </c>
      <c r="U180" t="str">
        <f>IF(AND('07-Paper Priority'!$A$7&gt;=MATCH($J180,'07-Paper Priority'!$B$5:$B$26,0),OR(AND($E180&lt;='07-Paper Priority'!$C$7,$F180&lt;='07-Paper Priority'!$D$7),AND($E180&lt;='07-Paper Priority'!$D$7,$F180&lt;='07-Paper Priority'!$C$7))),'07-Paper Priority'!$A$7,"")</f>
        <v/>
      </c>
      <c r="V180" t="str">
        <f>IF(AND('07-Paper Priority'!$A$8&gt;=MATCH($J180,'07-Paper Priority'!$B$5:$B$26,0),OR(AND($E180&lt;='07-Paper Priority'!$C$8,$F180&lt;='07-Paper Priority'!$D$8),AND($E180&lt;='07-Paper Priority'!$D$8,$F180&lt;='07-Paper Priority'!$C$8))),'07-Paper Priority'!$A$8,"")</f>
        <v/>
      </c>
      <c r="W180" t="str">
        <f>IF(AND('07-Paper Priority'!$A$9&gt;=MATCH($J180,'07-Paper Priority'!$B$5:$B$26,0),OR(AND($E180&lt;='07-Paper Priority'!$C$9,$F180&lt;='07-Paper Priority'!$D$9),AND($E180&lt;='07-Paper Priority'!$D$9,$F180&lt;='07-Paper Priority'!$C$9))),'07-Paper Priority'!$A$9,"")</f>
        <v/>
      </c>
      <c r="X180">
        <f>IF(AND('07-Paper Priority'!$A$10&gt;=MATCH($J180,'07-Paper Priority'!$B$5:$B$26,0),OR(AND($E180&lt;='07-Paper Priority'!$C$10,$F180&lt;='07-Paper Priority'!$D$10),AND($E180&lt;='07-Paper Priority'!$D$10,$F180&lt;='07-Paper Priority'!$C$10))),'07-Paper Priority'!$A$10,"")</f>
        <v>6</v>
      </c>
      <c r="Y180">
        <f>IF(AND('07-Paper Priority'!$A$11&gt;=MATCH($J180,'07-Paper Priority'!$B$5:$B$26,0),OR(AND($E180&lt;='07-Paper Priority'!$C$11,$F180&lt;='07-Paper Priority'!$D$11),AND($E180&lt;='07-Paper Priority'!$D$11,$F180&lt;='07-Paper Priority'!$C$11))),'07-Paper Priority'!$A$11,"")</f>
        <v>7</v>
      </c>
      <c r="Z180">
        <f>IF(AND('07-Paper Priority'!$A$12&gt;=MATCH($J180,'07-Paper Priority'!$B$5:$B$26,0),OR(AND($E180&lt;='07-Paper Priority'!$C$12,$F180&lt;='07-Paper Priority'!$D$12),AND($E180&lt;='07-Paper Priority'!$D$12,$F180&lt;='07-Paper Priority'!$C$12))),'07-Paper Priority'!$A$12,"")</f>
        <v>8</v>
      </c>
      <c r="AA180">
        <f>IF(AND('07-Paper Priority'!$A$13&gt;=MATCH($J180,'07-Paper Priority'!$B$5:$B$26,0),OR(AND($E180&lt;='07-Paper Priority'!$C$13,$F180&lt;='07-Paper Priority'!$D$13),AND($E180&lt;='07-Paper Priority'!$D$13,$F180&lt;='07-Paper Priority'!$C$13))),'07-Paper Priority'!$A$13,"")</f>
        <v>9</v>
      </c>
      <c r="AB180">
        <f>IF(AND('07-Paper Priority'!$A$14&gt;=MATCH($J180,'07-Paper Priority'!$B$5:$B$26,0),OR(AND($E180&lt;='07-Paper Priority'!$C$14,$F180&lt;='07-Paper Priority'!$D$14),AND($E180&lt;='07-Paper Priority'!$D$14,$F180&lt;='07-Paper Priority'!$C$14))),'07-Paper Priority'!$A$14,"")</f>
        <v>10</v>
      </c>
      <c r="AC180">
        <f>IF(AND('07-Paper Priority'!$A$15&gt;=MATCH($J180,'07-Paper Priority'!$B$5:$B$26,0),OR(AND($E180&lt;='07-Paper Priority'!$C$15,$F180&lt;='07-Paper Priority'!$D$15),AND($E180&lt;='07-Paper Priority'!$D$15,$F180&lt;='07-Paper Priority'!$C$15))),'07-Paper Priority'!$A$15,"")</f>
        <v>11</v>
      </c>
      <c r="AD180">
        <f>IF(AND('07-Paper Priority'!$A$16&gt;=MATCH($J180,'07-Paper Priority'!$B$5:$B$26,0),OR(AND($E180&lt;='07-Paper Priority'!$C$16,$F180&lt;='07-Paper Priority'!$D$16),AND($E180&lt;='07-Paper Priority'!$D$16,$F180&lt;='07-Paper Priority'!$C$16))),'07-Paper Priority'!$A$16,"")</f>
        <v>12</v>
      </c>
      <c r="AE180">
        <f>IF(AND('07-Paper Priority'!$A$17&gt;=MATCH($J180,'07-Paper Priority'!$B$5:$B$26,0),OR(AND($E180&lt;='07-Paper Priority'!$C$17,$F180&lt;='07-Paper Priority'!$D$17),AND($E180&lt;='07-Paper Priority'!$D$17,$F180&lt;='07-Paper Priority'!$C$17))),'07-Paper Priority'!$A$17,"")</f>
        <v>13</v>
      </c>
      <c r="AF180">
        <f>IF(AND('07-Paper Priority'!$A$18&gt;=MATCH($J180,'07-Paper Priority'!$B$5:$B$26,0),OR(AND($E180&lt;='07-Paper Priority'!$C$18,$F180&lt;='07-Paper Priority'!$D$18),AND($E180&lt;='07-Paper Priority'!$D$18,$F180&lt;='07-Paper Priority'!$C$18))),'07-Paper Priority'!$A$18,"")</f>
        <v>14</v>
      </c>
      <c r="AG180">
        <f>IF(AND('07-Paper Priority'!$A$19&gt;=MATCH($J180,'07-Paper Priority'!$B$5:$B$26,0),OR(AND($E180&lt;='07-Paper Priority'!$C$19,$F180&lt;='07-Paper Priority'!$D$19),AND($E180&lt;='07-Paper Priority'!$D$19,$F180&lt;='07-Paper Priority'!$C$19))),'07-Paper Priority'!$A$19,"")</f>
        <v>15</v>
      </c>
      <c r="AH180">
        <f>IF(AND('07-Paper Priority'!$A$20&gt;=MATCH($J180,'07-Paper Priority'!$B$5:$B$26,0),OR(AND($E180&lt;='07-Paper Priority'!$C$20,$F180&lt;='07-Paper Priority'!$D$20),AND($E180&lt;='07-Paper Priority'!$D$20,$F180&lt;='07-Paper Priority'!$C$20))),'07-Paper Priority'!$A$20,"")</f>
        <v>16</v>
      </c>
      <c r="AI180">
        <f>IF(AND('07-Paper Priority'!$A$21&gt;=MATCH($J180,'07-Paper Priority'!$B$5:$B$26,0),OR(AND($E180&lt;='07-Paper Priority'!$C$21,$F180&lt;='07-Paper Priority'!$D$21),AND($E180&lt;='07-Paper Priority'!$D$21,$F180&lt;='07-Paper Priority'!$C$21))),'07-Paper Priority'!$A$21,"")</f>
        <v>17</v>
      </c>
      <c r="AJ180">
        <f>IF(AND('07-Paper Priority'!$A$22&gt;=MATCH($J180,'07-Paper Priority'!$B$5:$B$26,0),OR(AND($E180&lt;='07-Paper Priority'!$C$22,$F180&lt;='07-Paper Priority'!$D$22),AND($E180&lt;='07-Paper Priority'!$D$22,$F180&lt;='07-Paper Priority'!$C$22))),'07-Paper Priority'!$A$22,"")</f>
        <v>18</v>
      </c>
      <c r="AK180">
        <f>IF(AND('07-Paper Priority'!$A$23&gt;=MATCH($J180,'07-Paper Priority'!$B$5:$B$26,0),OR(AND($E180&lt;='07-Paper Priority'!$C$23,$F180&lt;='07-Paper Priority'!$D$23),AND($E180&lt;='07-Paper Priority'!$D$23,$F180&lt;='07-Paper Priority'!$C$23))),'07-Paper Priority'!$A$23,"")</f>
        <v>19</v>
      </c>
      <c r="AL180">
        <f>IF(AND('07-Paper Priority'!$A$24&gt;=MATCH($J180,'07-Paper Priority'!$B$5:$B$26,0),OR(AND($E180&lt;='07-Paper Priority'!$C$24,$F180&lt;='07-Paper Priority'!$D$24),AND($E180&lt;='07-Paper Priority'!$D$24,$F180&lt;='07-Paper Priority'!$C$24))),'07-Paper Priority'!$A$24,"")</f>
        <v>20</v>
      </c>
      <c r="AM180">
        <f>IF(AND('07-Paper Priority'!$A$25&gt;=MATCH($J180,'07-Paper Priority'!$B$5:$B$26,0),OR(AND($E180&lt;='07-Paper Priority'!$C$25,$F180&lt;='07-Paper Priority'!$D$25),AND($E180&lt;='07-Paper Priority'!$D$25,$F180&lt;='07-Paper Priority'!$C$25))),'07-Paper Priority'!$A$25,"")</f>
        <v>21</v>
      </c>
      <c r="AN180">
        <f>IF(AND('07-Paper Priority'!$A$26&gt;=MATCH($J180,'07-Paper Priority'!$B$5:$B$26,0),OR(AND($E180&lt;='07-Paper Priority'!$C$26,$F180&lt;='07-Paper Priority'!$D$26),AND($E180&lt;='07-Paper Priority'!$D$26,$F180&lt;='07-Paper Priority'!$C$26))),'07-Paper Priority'!$A$26,"")</f>
        <v>22</v>
      </c>
    </row>
    <row r="181" spans="1:40" ht="33.950000000000003" customHeight="1">
      <c r="A181" s="22" t="s">
        <v>2666</v>
      </c>
      <c r="B181" s="22" t="s">
        <v>2548</v>
      </c>
      <c r="C181" s="22" t="s">
        <v>2641</v>
      </c>
      <c r="D181" s="22" t="s">
        <v>2667</v>
      </c>
      <c r="E181" s="23">
        <v>50</v>
      </c>
      <c r="F181" s="23">
        <v>220</v>
      </c>
      <c r="G181" s="22" t="s">
        <v>2612</v>
      </c>
      <c r="H181" s="22" t="s">
        <v>2668</v>
      </c>
      <c r="I181" s="24" t="s">
        <v>2568</v>
      </c>
      <c r="J181" s="25" t="s">
        <v>2054</v>
      </c>
      <c r="K181" s="26" t="str">
        <f>IF(COUNT(S181:AN181)=0,"NO FIT",INDEX('07-Paper Priority'!$B$5:$B$26,MIN(S181:AN181)))</f>
        <v>B5</v>
      </c>
      <c r="L181" s="26" t="str">
        <f>IF($K181="NO FIT","",IF(AND($E181&lt;=INDEX('07-Paper Priority'!$C$5:$C$26,MATCH($K181,'07-Paper Priority'!$B$5:$B$26,0)),$F181&lt;=INDEX('07-Paper Priority'!$D$5:$D$26,MATCH($K181,'07-Paper Priority'!$B$5:$B$26,0))),"PORTRAIT","ROTATED"))</f>
        <v>PORTRAIT</v>
      </c>
      <c r="M181" s="27">
        <f>IF($K181="NO FIT","",IF($L181="PORTRAIT",INDEX('07-Paper Priority'!$C$5:$C$26,MATCH($K181,'07-Paper Priority'!$B$5:$B$26,0)),INDEX('07-Paper Priority'!$D$5:$D$26,MATCH($K181,'07-Paper Priority'!$B$5:$B$26,0))))</f>
        <v>176</v>
      </c>
      <c r="N181" s="27">
        <f>IF($K181="NO FIT","",IF($L181="PORTRAIT",INDEX('07-Paper Priority'!$D$5:$D$26,MATCH($K181,'07-Paper Priority'!$B$5:$B$26,0)),INDEX('07-Paper Priority'!$C$5:$C$26,MATCH($K181,'07-Paper Priority'!$B$5:$B$26,0))))</f>
        <v>250</v>
      </c>
      <c r="O181" s="27">
        <f>IF($K181="NO FIT","",$M181-$E181)</f>
        <v>126</v>
      </c>
      <c r="P181" s="27">
        <f>IF($K181="NO FIT","",$N181-$F181)</f>
        <v>30</v>
      </c>
      <c r="Q181" s="28" t="str">
        <f>IF($K181="NO FIT","REVIEW - NO PAPER FIT",IF(OR($O181&lt;0,$P181&lt;0),"ERROR - FIT",IF(COUNTIF('02-Printing Size'!$A$2:$A$2169,$K181)=0,"ERROR - CODE MISSING","VALID - LOWEST PAPER")))</f>
        <v>VALID - LOWEST PAPER</v>
      </c>
      <c r="R181" s="22" t="s">
        <v>2669</v>
      </c>
      <c r="S181" t="str">
        <f>IF(AND('07-Paper Priority'!$A$5&gt;=MATCH($J181,'07-Paper Priority'!$B$5:$B$26,0),OR(AND($E181&lt;='07-Paper Priority'!$C$5,$F181&lt;='07-Paper Priority'!$D$5),AND($E181&lt;='07-Paper Priority'!$D$5,$F181&lt;='07-Paper Priority'!$C$5))),'07-Paper Priority'!$A$5,"")</f>
        <v/>
      </c>
      <c r="T181" t="str">
        <f>IF(AND('07-Paper Priority'!$A$6&gt;=MATCH($J181,'07-Paper Priority'!$B$5:$B$26,0),OR(AND($E181&lt;='07-Paper Priority'!$C$6,$F181&lt;='07-Paper Priority'!$D$6),AND($E181&lt;='07-Paper Priority'!$D$6,$F181&lt;='07-Paper Priority'!$C$6))),'07-Paper Priority'!$A$6,"")</f>
        <v/>
      </c>
      <c r="U181" t="str">
        <f>IF(AND('07-Paper Priority'!$A$7&gt;=MATCH($J181,'07-Paper Priority'!$B$5:$B$26,0),OR(AND($E181&lt;='07-Paper Priority'!$C$7,$F181&lt;='07-Paper Priority'!$D$7),AND($E181&lt;='07-Paper Priority'!$D$7,$F181&lt;='07-Paper Priority'!$C$7))),'07-Paper Priority'!$A$7,"")</f>
        <v/>
      </c>
      <c r="V181" t="str">
        <f>IF(AND('07-Paper Priority'!$A$8&gt;=MATCH($J181,'07-Paper Priority'!$B$5:$B$26,0),OR(AND($E181&lt;='07-Paper Priority'!$C$8,$F181&lt;='07-Paper Priority'!$D$8),AND($E181&lt;='07-Paper Priority'!$D$8,$F181&lt;='07-Paper Priority'!$C$8))),'07-Paper Priority'!$A$8,"")</f>
        <v/>
      </c>
      <c r="W181" t="str">
        <f>IF(AND('07-Paper Priority'!$A$9&gt;=MATCH($J181,'07-Paper Priority'!$B$5:$B$26,0),OR(AND($E181&lt;='07-Paper Priority'!$C$9,$F181&lt;='07-Paper Priority'!$D$9),AND($E181&lt;='07-Paper Priority'!$D$9,$F181&lt;='07-Paper Priority'!$C$9))),'07-Paper Priority'!$A$9,"")</f>
        <v/>
      </c>
      <c r="X181" t="str">
        <f>IF(AND('07-Paper Priority'!$A$10&gt;=MATCH($J181,'07-Paper Priority'!$B$5:$B$26,0),OR(AND($E181&lt;='07-Paper Priority'!$C$10,$F181&lt;='07-Paper Priority'!$D$10),AND($E181&lt;='07-Paper Priority'!$D$10,$F181&lt;='07-Paper Priority'!$C$10))),'07-Paper Priority'!$A$10,"")</f>
        <v/>
      </c>
      <c r="Y181" t="str">
        <f>IF(AND('07-Paper Priority'!$A$11&gt;=MATCH($J181,'07-Paper Priority'!$B$5:$B$26,0),OR(AND($E181&lt;='07-Paper Priority'!$C$11,$F181&lt;='07-Paper Priority'!$D$11),AND($E181&lt;='07-Paper Priority'!$D$11,$F181&lt;='07-Paper Priority'!$C$11))),'07-Paper Priority'!$A$11,"")</f>
        <v/>
      </c>
      <c r="Z181" t="str">
        <f>IF(AND('07-Paper Priority'!$A$12&gt;=MATCH($J181,'07-Paper Priority'!$B$5:$B$26,0),OR(AND($E181&lt;='07-Paper Priority'!$C$12,$F181&lt;='07-Paper Priority'!$D$12),AND($E181&lt;='07-Paper Priority'!$D$12,$F181&lt;='07-Paper Priority'!$C$12))),'07-Paper Priority'!$A$12,"")</f>
        <v/>
      </c>
      <c r="AA181" t="str">
        <f>IF(AND('07-Paper Priority'!$A$13&gt;=MATCH($J181,'07-Paper Priority'!$B$5:$B$26,0),OR(AND($E181&lt;='07-Paper Priority'!$C$13,$F181&lt;='07-Paper Priority'!$D$13),AND($E181&lt;='07-Paper Priority'!$D$13,$F181&lt;='07-Paper Priority'!$C$13))),'07-Paper Priority'!$A$13,"")</f>
        <v/>
      </c>
      <c r="AB181" t="str">
        <f>IF(AND('07-Paper Priority'!$A$14&gt;=MATCH($J181,'07-Paper Priority'!$B$5:$B$26,0),OR(AND($E181&lt;='07-Paper Priority'!$C$14,$F181&lt;='07-Paper Priority'!$D$14),AND($E181&lt;='07-Paper Priority'!$D$14,$F181&lt;='07-Paper Priority'!$C$14))),'07-Paper Priority'!$A$14,"")</f>
        <v/>
      </c>
      <c r="AC181" t="str">
        <f>IF(AND('07-Paper Priority'!$A$15&gt;=MATCH($J181,'07-Paper Priority'!$B$5:$B$26,0),OR(AND($E181&lt;='07-Paper Priority'!$C$15,$F181&lt;='07-Paper Priority'!$D$15),AND($E181&lt;='07-Paper Priority'!$D$15,$F181&lt;='07-Paper Priority'!$C$15))),'07-Paper Priority'!$A$15,"")</f>
        <v/>
      </c>
      <c r="AD181">
        <f>IF(AND('07-Paper Priority'!$A$16&gt;=MATCH($J181,'07-Paper Priority'!$B$5:$B$26,0),OR(AND($E181&lt;='07-Paper Priority'!$C$16,$F181&lt;='07-Paper Priority'!$D$16),AND($E181&lt;='07-Paper Priority'!$D$16,$F181&lt;='07-Paper Priority'!$C$16))),'07-Paper Priority'!$A$16,"")</f>
        <v>12</v>
      </c>
      <c r="AE181">
        <f>IF(AND('07-Paper Priority'!$A$17&gt;=MATCH($J181,'07-Paper Priority'!$B$5:$B$26,0),OR(AND($E181&lt;='07-Paper Priority'!$C$17,$F181&lt;='07-Paper Priority'!$D$17),AND($E181&lt;='07-Paper Priority'!$D$17,$F181&lt;='07-Paper Priority'!$C$17))),'07-Paper Priority'!$A$17,"")</f>
        <v>13</v>
      </c>
      <c r="AF181">
        <f>IF(AND('07-Paper Priority'!$A$18&gt;=MATCH($J181,'07-Paper Priority'!$B$5:$B$26,0),OR(AND($E181&lt;='07-Paper Priority'!$C$18,$F181&lt;='07-Paper Priority'!$D$18),AND($E181&lt;='07-Paper Priority'!$D$18,$F181&lt;='07-Paper Priority'!$C$18))),'07-Paper Priority'!$A$18,"")</f>
        <v>14</v>
      </c>
      <c r="AG181">
        <f>IF(AND('07-Paper Priority'!$A$19&gt;=MATCH($J181,'07-Paper Priority'!$B$5:$B$26,0),OR(AND($E181&lt;='07-Paper Priority'!$C$19,$F181&lt;='07-Paper Priority'!$D$19),AND($E181&lt;='07-Paper Priority'!$D$19,$F181&lt;='07-Paper Priority'!$C$19))),'07-Paper Priority'!$A$19,"")</f>
        <v>15</v>
      </c>
      <c r="AH181">
        <f>IF(AND('07-Paper Priority'!$A$20&gt;=MATCH($J181,'07-Paper Priority'!$B$5:$B$26,0),OR(AND($E181&lt;='07-Paper Priority'!$C$20,$F181&lt;='07-Paper Priority'!$D$20),AND($E181&lt;='07-Paper Priority'!$D$20,$F181&lt;='07-Paper Priority'!$C$20))),'07-Paper Priority'!$A$20,"")</f>
        <v>16</v>
      </c>
      <c r="AI181">
        <f>IF(AND('07-Paper Priority'!$A$21&gt;=MATCH($J181,'07-Paper Priority'!$B$5:$B$26,0),OR(AND($E181&lt;='07-Paper Priority'!$C$21,$F181&lt;='07-Paper Priority'!$D$21),AND($E181&lt;='07-Paper Priority'!$D$21,$F181&lt;='07-Paper Priority'!$C$21))),'07-Paper Priority'!$A$21,"")</f>
        <v>17</v>
      </c>
      <c r="AJ181">
        <f>IF(AND('07-Paper Priority'!$A$22&gt;=MATCH($J181,'07-Paper Priority'!$B$5:$B$26,0),OR(AND($E181&lt;='07-Paper Priority'!$C$22,$F181&lt;='07-Paper Priority'!$D$22),AND($E181&lt;='07-Paper Priority'!$D$22,$F181&lt;='07-Paper Priority'!$C$22))),'07-Paper Priority'!$A$22,"")</f>
        <v>18</v>
      </c>
      <c r="AK181">
        <f>IF(AND('07-Paper Priority'!$A$23&gt;=MATCH($J181,'07-Paper Priority'!$B$5:$B$26,0),OR(AND($E181&lt;='07-Paper Priority'!$C$23,$F181&lt;='07-Paper Priority'!$D$23),AND($E181&lt;='07-Paper Priority'!$D$23,$F181&lt;='07-Paper Priority'!$C$23))),'07-Paper Priority'!$A$23,"")</f>
        <v>19</v>
      </c>
      <c r="AL181">
        <f>IF(AND('07-Paper Priority'!$A$24&gt;=MATCH($J181,'07-Paper Priority'!$B$5:$B$26,0),OR(AND($E181&lt;='07-Paper Priority'!$C$24,$F181&lt;='07-Paper Priority'!$D$24),AND($E181&lt;='07-Paper Priority'!$D$24,$F181&lt;='07-Paper Priority'!$C$24))),'07-Paper Priority'!$A$24,"")</f>
        <v>20</v>
      </c>
      <c r="AM181">
        <f>IF(AND('07-Paper Priority'!$A$25&gt;=MATCH($J181,'07-Paper Priority'!$B$5:$B$26,0),OR(AND($E181&lt;='07-Paper Priority'!$C$25,$F181&lt;='07-Paper Priority'!$D$25),AND($E181&lt;='07-Paper Priority'!$D$25,$F181&lt;='07-Paper Priority'!$C$25))),'07-Paper Priority'!$A$25,"")</f>
        <v>21</v>
      </c>
      <c r="AN181">
        <f>IF(AND('07-Paper Priority'!$A$26&gt;=MATCH($J181,'07-Paper Priority'!$B$5:$B$26,0),OR(AND($E181&lt;='07-Paper Priority'!$C$26,$F181&lt;='07-Paper Priority'!$D$26),AND($E181&lt;='07-Paper Priority'!$D$26,$F181&lt;='07-Paper Priority'!$C$26))),'07-Paper Priority'!$A$26,"")</f>
        <v>22</v>
      </c>
    </row>
    <row r="182" spans="1:40" ht="33.950000000000003" customHeight="1">
      <c r="A182" s="22" t="s">
        <v>2670</v>
      </c>
      <c r="B182" s="22" t="s">
        <v>2548</v>
      </c>
      <c r="C182" s="22" t="s">
        <v>2671</v>
      </c>
      <c r="D182" s="22" t="s">
        <v>2672</v>
      </c>
      <c r="E182" s="23">
        <v>180</v>
      </c>
      <c r="F182" s="23">
        <v>210</v>
      </c>
      <c r="G182" s="22" t="s">
        <v>2642</v>
      </c>
      <c r="H182" s="22" t="s">
        <v>2673</v>
      </c>
      <c r="I182" s="24" t="s">
        <v>64</v>
      </c>
      <c r="J182" s="25" t="s">
        <v>504</v>
      </c>
      <c r="K182" s="26" t="str">
        <f>IF(COUNT(S182:AN182)=0,"NO FIT",INDEX('07-Paper Priority'!$B$5:$B$26,MIN(S182:AN182)))</f>
        <v>A4</v>
      </c>
      <c r="L182" s="26" t="str">
        <f>IF($K182="NO FIT","",IF(AND($E182&lt;=INDEX('07-Paper Priority'!$C$5:$C$26,MATCH($K182,'07-Paper Priority'!$B$5:$B$26,0)),$F182&lt;=INDEX('07-Paper Priority'!$D$5:$D$26,MATCH($K182,'07-Paper Priority'!$B$5:$B$26,0))),"PORTRAIT","ROTATED"))</f>
        <v>PORTRAIT</v>
      </c>
      <c r="M182" s="27">
        <f>IF($K182="NO FIT","",IF($L182="PORTRAIT",INDEX('07-Paper Priority'!$C$5:$C$26,MATCH($K182,'07-Paper Priority'!$B$5:$B$26,0)),INDEX('07-Paper Priority'!$D$5:$D$26,MATCH($K182,'07-Paper Priority'!$B$5:$B$26,0))))</f>
        <v>210</v>
      </c>
      <c r="N182" s="27">
        <f>IF($K182="NO FIT","",IF($L182="PORTRAIT",INDEX('07-Paper Priority'!$D$5:$D$26,MATCH($K182,'07-Paper Priority'!$B$5:$B$26,0)),INDEX('07-Paper Priority'!$C$5:$C$26,MATCH($K182,'07-Paper Priority'!$B$5:$B$26,0))))</f>
        <v>297</v>
      </c>
      <c r="O182" s="27">
        <f>IF($K182="NO FIT","",$M182-$E182)</f>
        <v>30</v>
      </c>
      <c r="P182" s="27">
        <f>IF($K182="NO FIT","",$N182-$F182)</f>
        <v>87</v>
      </c>
      <c r="Q182" s="28" t="str">
        <f>IF($K182="NO FIT","REVIEW - NO PAPER FIT",IF(OR($O182&lt;0,$P182&lt;0),"ERROR - FIT",IF(COUNTIF('02-Printing Size'!$A$2:$A$2169,$K182)=0,"ERROR - CODE MISSING","VALID - LOWEST PAPER")))</f>
        <v>VALID - LOWEST PAPER</v>
      </c>
      <c r="R182" s="22" t="s">
        <v>2674</v>
      </c>
      <c r="S182" t="str">
        <f>IF(AND('07-Paper Priority'!$A$5&gt;=MATCH($J182,'07-Paper Priority'!$B$5:$B$26,0),OR(AND($E182&lt;='07-Paper Priority'!$C$5,$F182&lt;='07-Paper Priority'!$D$5),AND($E182&lt;='07-Paper Priority'!$D$5,$F182&lt;='07-Paper Priority'!$C$5))),'07-Paper Priority'!$A$5,"")</f>
        <v/>
      </c>
      <c r="T182" t="str">
        <f>IF(AND('07-Paper Priority'!$A$6&gt;=MATCH($J182,'07-Paper Priority'!$B$5:$B$26,0),OR(AND($E182&lt;='07-Paper Priority'!$C$6,$F182&lt;='07-Paper Priority'!$D$6),AND($E182&lt;='07-Paper Priority'!$D$6,$F182&lt;='07-Paper Priority'!$C$6))),'07-Paper Priority'!$A$6,"")</f>
        <v/>
      </c>
      <c r="U182" t="str">
        <f>IF(AND('07-Paper Priority'!$A$7&gt;=MATCH($J182,'07-Paper Priority'!$B$5:$B$26,0),OR(AND($E182&lt;='07-Paper Priority'!$C$7,$F182&lt;='07-Paper Priority'!$D$7),AND($E182&lt;='07-Paper Priority'!$D$7,$F182&lt;='07-Paper Priority'!$C$7))),'07-Paper Priority'!$A$7,"")</f>
        <v/>
      </c>
      <c r="V182" t="str">
        <f>IF(AND('07-Paper Priority'!$A$8&gt;=MATCH($J182,'07-Paper Priority'!$B$5:$B$26,0),OR(AND($E182&lt;='07-Paper Priority'!$C$8,$F182&lt;='07-Paper Priority'!$D$8),AND($E182&lt;='07-Paper Priority'!$D$8,$F182&lt;='07-Paper Priority'!$C$8))),'07-Paper Priority'!$A$8,"")</f>
        <v/>
      </c>
      <c r="W182" t="str">
        <f>IF(AND('07-Paper Priority'!$A$9&gt;=MATCH($J182,'07-Paper Priority'!$B$5:$B$26,0),OR(AND($E182&lt;='07-Paper Priority'!$C$9,$F182&lt;='07-Paper Priority'!$D$9),AND($E182&lt;='07-Paper Priority'!$D$9,$F182&lt;='07-Paper Priority'!$C$9))),'07-Paper Priority'!$A$9,"")</f>
        <v/>
      </c>
      <c r="X182" t="str">
        <f>IF(AND('07-Paper Priority'!$A$10&gt;=MATCH($J182,'07-Paper Priority'!$B$5:$B$26,0),OR(AND($E182&lt;='07-Paper Priority'!$C$10,$F182&lt;='07-Paper Priority'!$D$10),AND($E182&lt;='07-Paper Priority'!$D$10,$F182&lt;='07-Paper Priority'!$C$10))),'07-Paper Priority'!$A$10,"")</f>
        <v/>
      </c>
      <c r="Y182" t="str">
        <f>IF(AND('07-Paper Priority'!$A$11&gt;=MATCH($J182,'07-Paper Priority'!$B$5:$B$26,0),OR(AND($E182&lt;='07-Paper Priority'!$C$11,$F182&lt;='07-Paper Priority'!$D$11),AND($E182&lt;='07-Paper Priority'!$D$11,$F182&lt;='07-Paper Priority'!$C$11))),'07-Paper Priority'!$A$11,"")</f>
        <v/>
      </c>
      <c r="Z182" t="str">
        <f>IF(AND('07-Paper Priority'!$A$12&gt;=MATCH($J182,'07-Paper Priority'!$B$5:$B$26,0),OR(AND($E182&lt;='07-Paper Priority'!$C$12,$F182&lt;='07-Paper Priority'!$D$12),AND($E182&lt;='07-Paper Priority'!$D$12,$F182&lt;='07-Paper Priority'!$C$12))),'07-Paper Priority'!$A$12,"")</f>
        <v/>
      </c>
      <c r="AA182" t="str">
        <f>IF(AND('07-Paper Priority'!$A$13&gt;=MATCH($J182,'07-Paper Priority'!$B$5:$B$26,0),OR(AND($E182&lt;='07-Paper Priority'!$C$13,$F182&lt;='07-Paper Priority'!$D$13),AND($E182&lt;='07-Paper Priority'!$D$13,$F182&lt;='07-Paper Priority'!$C$13))),'07-Paper Priority'!$A$13,"")</f>
        <v/>
      </c>
      <c r="AB182" t="str">
        <f>IF(AND('07-Paper Priority'!$A$14&gt;=MATCH($J182,'07-Paper Priority'!$B$5:$B$26,0),OR(AND($E182&lt;='07-Paper Priority'!$C$14,$F182&lt;='07-Paper Priority'!$D$14),AND($E182&lt;='07-Paper Priority'!$D$14,$F182&lt;='07-Paper Priority'!$C$14))),'07-Paper Priority'!$A$14,"")</f>
        <v/>
      </c>
      <c r="AC182" t="str">
        <f>IF(AND('07-Paper Priority'!$A$15&gt;=MATCH($J182,'07-Paper Priority'!$B$5:$B$26,0),OR(AND($E182&lt;='07-Paper Priority'!$C$15,$F182&lt;='07-Paper Priority'!$D$15),AND($E182&lt;='07-Paper Priority'!$D$15,$F182&lt;='07-Paper Priority'!$C$15))),'07-Paper Priority'!$A$15,"")</f>
        <v/>
      </c>
      <c r="AD182" t="str">
        <f>IF(AND('07-Paper Priority'!$A$16&gt;=MATCH($J182,'07-Paper Priority'!$B$5:$B$26,0),OR(AND($E182&lt;='07-Paper Priority'!$C$16,$F182&lt;='07-Paper Priority'!$D$16),AND($E182&lt;='07-Paper Priority'!$D$16,$F182&lt;='07-Paper Priority'!$C$16))),'07-Paper Priority'!$A$16,"")</f>
        <v/>
      </c>
      <c r="AE182">
        <f>IF(AND('07-Paper Priority'!$A$17&gt;=MATCH($J182,'07-Paper Priority'!$B$5:$B$26,0),OR(AND($E182&lt;='07-Paper Priority'!$C$17,$F182&lt;='07-Paper Priority'!$D$17),AND($E182&lt;='07-Paper Priority'!$D$17,$F182&lt;='07-Paper Priority'!$C$17))),'07-Paper Priority'!$A$17,"")</f>
        <v>13</v>
      </c>
      <c r="AF182">
        <f>IF(AND('07-Paper Priority'!$A$18&gt;=MATCH($J182,'07-Paper Priority'!$B$5:$B$26,0),OR(AND($E182&lt;='07-Paper Priority'!$C$18,$F182&lt;='07-Paper Priority'!$D$18),AND($E182&lt;='07-Paper Priority'!$D$18,$F182&lt;='07-Paper Priority'!$C$18))),'07-Paper Priority'!$A$18,"")</f>
        <v>14</v>
      </c>
      <c r="AG182">
        <f>IF(AND('07-Paper Priority'!$A$19&gt;=MATCH($J182,'07-Paper Priority'!$B$5:$B$26,0),OR(AND($E182&lt;='07-Paper Priority'!$C$19,$F182&lt;='07-Paper Priority'!$D$19),AND($E182&lt;='07-Paper Priority'!$D$19,$F182&lt;='07-Paper Priority'!$C$19))),'07-Paper Priority'!$A$19,"")</f>
        <v>15</v>
      </c>
      <c r="AH182">
        <f>IF(AND('07-Paper Priority'!$A$20&gt;=MATCH($J182,'07-Paper Priority'!$B$5:$B$26,0),OR(AND($E182&lt;='07-Paper Priority'!$C$20,$F182&lt;='07-Paper Priority'!$D$20),AND($E182&lt;='07-Paper Priority'!$D$20,$F182&lt;='07-Paper Priority'!$C$20))),'07-Paper Priority'!$A$20,"")</f>
        <v>16</v>
      </c>
      <c r="AI182">
        <f>IF(AND('07-Paper Priority'!$A$21&gt;=MATCH($J182,'07-Paper Priority'!$B$5:$B$26,0),OR(AND($E182&lt;='07-Paper Priority'!$C$21,$F182&lt;='07-Paper Priority'!$D$21),AND($E182&lt;='07-Paper Priority'!$D$21,$F182&lt;='07-Paper Priority'!$C$21))),'07-Paper Priority'!$A$21,"")</f>
        <v>17</v>
      </c>
      <c r="AJ182">
        <f>IF(AND('07-Paper Priority'!$A$22&gt;=MATCH($J182,'07-Paper Priority'!$B$5:$B$26,0),OR(AND($E182&lt;='07-Paper Priority'!$C$22,$F182&lt;='07-Paper Priority'!$D$22),AND($E182&lt;='07-Paper Priority'!$D$22,$F182&lt;='07-Paper Priority'!$C$22))),'07-Paper Priority'!$A$22,"")</f>
        <v>18</v>
      </c>
      <c r="AK182">
        <f>IF(AND('07-Paper Priority'!$A$23&gt;=MATCH($J182,'07-Paper Priority'!$B$5:$B$26,0),OR(AND($E182&lt;='07-Paper Priority'!$C$23,$F182&lt;='07-Paper Priority'!$D$23),AND($E182&lt;='07-Paper Priority'!$D$23,$F182&lt;='07-Paper Priority'!$C$23))),'07-Paper Priority'!$A$23,"")</f>
        <v>19</v>
      </c>
      <c r="AL182">
        <f>IF(AND('07-Paper Priority'!$A$24&gt;=MATCH($J182,'07-Paper Priority'!$B$5:$B$26,0),OR(AND($E182&lt;='07-Paper Priority'!$C$24,$F182&lt;='07-Paper Priority'!$D$24),AND($E182&lt;='07-Paper Priority'!$D$24,$F182&lt;='07-Paper Priority'!$C$24))),'07-Paper Priority'!$A$24,"")</f>
        <v>20</v>
      </c>
      <c r="AM182">
        <f>IF(AND('07-Paper Priority'!$A$25&gt;=MATCH($J182,'07-Paper Priority'!$B$5:$B$26,0),OR(AND($E182&lt;='07-Paper Priority'!$C$25,$F182&lt;='07-Paper Priority'!$D$25),AND($E182&lt;='07-Paper Priority'!$D$25,$F182&lt;='07-Paper Priority'!$C$25))),'07-Paper Priority'!$A$25,"")</f>
        <v>21</v>
      </c>
      <c r="AN182">
        <f>IF(AND('07-Paper Priority'!$A$26&gt;=MATCH($J182,'07-Paper Priority'!$B$5:$B$26,0),OR(AND($E182&lt;='07-Paper Priority'!$C$26,$F182&lt;='07-Paper Priority'!$D$26),AND($E182&lt;='07-Paper Priority'!$D$26,$F182&lt;='07-Paper Priority'!$C$26))),'07-Paper Priority'!$A$26,"")</f>
        <v>22</v>
      </c>
    </row>
    <row r="183" spans="1:40" ht="33.950000000000003" customHeight="1">
      <c r="A183" s="22" t="s">
        <v>2675</v>
      </c>
      <c r="B183" s="22" t="s">
        <v>2548</v>
      </c>
      <c r="C183" s="22" t="s">
        <v>2671</v>
      </c>
      <c r="D183" s="22" t="s">
        <v>2672</v>
      </c>
      <c r="E183" s="23">
        <v>180</v>
      </c>
      <c r="F183" s="23">
        <v>210</v>
      </c>
      <c r="G183" s="22" t="s">
        <v>2656</v>
      </c>
      <c r="H183" s="22" t="s">
        <v>2676</v>
      </c>
      <c r="I183" s="24" t="s">
        <v>64</v>
      </c>
      <c r="J183" s="25" t="s">
        <v>504</v>
      </c>
      <c r="K183" s="26" t="str">
        <f>IF(COUNT(S183:AN183)=0,"NO FIT",INDEX('07-Paper Priority'!$B$5:$B$26,MIN(S183:AN183)))</f>
        <v>A4</v>
      </c>
      <c r="L183" s="26" t="str">
        <f>IF($K183="NO FIT","",IF(AND($E183&lt;=INDEX('07-Paper Priority'!$C$5:$C$26,MATCH($K183,'07-Paper Priority'!$B$5:$B$26,0)),$F183&lt;=INDEX('07-Paper Priority'!$D$5:$D$26,MATCH($K183,'07-Paper Priority'!$B$5:$B$26,0))),"PORTRAIT","ROTATED"))</f>
        <v>PORTRAIT</v>
      </c>
      <c r="M183" s="27">
        <f>IF($K183="NO FIT","",IF($L183="PORTRAIT",INDEX('07-Paper Priority'!$C$5:$C$26,MATCH($K183,'07-Paper Priority'!$B$5:$B$26,0)),INDEX('07-Paper Priority'!$D$5:$D$26,MATCH($K183,'07-Paper Priority'!$B$5:$B$26,0))))</f>
        <v>210</v>
      </c>
      <c r="N183" s="27">
        <f>IF($K183="NO FIT","",IF($L183="PORTRAIT",INDEX('07-Paper Priority'!$D$5:$D$26,MATCH($K183,'07-Paper Priority'!$B$5:$B$26,0)),INDEX('07-Paper Priority'!$C$5:$C$26,MATCH($K183,'07-Paper Priority'!$B$5:$B$26,0))))</f>
        <v>297</v>
      </c>
      <c r="O183" s="27">
        <f>IF($K183="NO FIT","",$M183-$E183)</f>
        <v>30</v>
      </c>
      <c r="P183" s="27">
        <f>IF($K183="NO FIT","",$N183-$F183)</f>
        <v>87</v>
      </c>
      <c r="Q183" s="28" t="str">
        <f>IF($K183="NO FIT","REVIEW - NO PAPER FIT",IF(OR($O183&lt;0,$P183&lt;0),"ERROR - FIT",IF(COUNTIF('02-Printing Size'!$A$2:$A$2169,$K183)=0,"ERROR - CODE MISSING","VALID - LOWEST PAPER")))</f>
        <v>VALID - LOWEST PAPER</v>
      </c>
      <c r="R183" s="22" t="s">
        <v>2677</v>
      </c>
      <c r="S183" t="str">
        <f>IF(AND('07-Paper Priority'!$A$5&gt;=MATCH($J183,'07-Paper Priority'!$B$5:$B$26,0),OR(AND($E183&lt;='07-Paper Priority'!$C$5,$F183&lt;='07-Paper Priority'!$D$5),AND($E183&lt;='07-Paper Priority'!$D$5,$F183&lt;='07-Paper Priority'!$C$5))),'07-Paper Priority'!$A$5,"")</f>
        <v/>
      </c>
      <c r="T183" t="str">
        <f>IF(AND('07-Paper Priority'!$A$6&gt;=MATCH($J183,'07-Paper Priority'!$B$5:$B$26,0),OR(AND($E183&lt;='07-Paper Priority'!$C$6,$F183&lt;='07-Paper Priority'!$D$6),AND($E183&lt;='07-Paper Priority'!$D$6,$F183&lt;='07-Paper Priority'!$C$6))),'07-Paper Priority'!$A$6,"")</f>
        <v/>
      </c>
      <c r="U183" t="str">
        <f>IF(AND('07-Paper Priority'!$A$7&gt;=MATCH($J183,'07-Paper Priority'!$B$5:$B$26,0),OR(AND($E183&lt;='07-Paper Priority'!$C$7,$F183&lt;='07-Paper Priority'!$D$7),AND($E183&lt;='07-Paper Priority'!$D$7,$F183&lt;='07-Paper Priority'!$C$7))),'07-Paper Priority'!$A$7,"")</f>
        <v/>
      </c>
      <c r="V183" t="str">
        <f>IF(AND('07-Paper Priority'!$A$8&gt;=MATCH($J183,'07-Paper Priority'!$B$5:$B$26,0),OR(AND($E183&lt;='07-Paper Priority'!$C$8,$F183&lt;='07-Paper Priority'!$D$8),AND($E183&lt;='07-Paper Priority'!$D$8,$F183&lt;='07-Paper Priority'!$C$8))),'07-Paper Priority'!$A$8,"")</f>
        <v/>
      </c>
      <c r="W183" t="str">
        <f>IF(AND('07-Paper Priority'!$A$9&gt;=MATCH($J183,'07-Paper Priority'!$B$5:$B$26,0),OR(AND($E183&lt;='07-Paper Priority'!$C$9,$F183&lt;='07-Paper Priority'!$D$9),AND($E183&lt;='07-Paper Priority'!$D$9,$F183&lt;='07-Paper Priority'!$C$9))),'07-Paper Priority'!$A$9,"")</f>
        <v/>
      </c>
      <c r="X183" t="str">
        <f>IF(AND('07-Paper Priority'!$A$10&gt;=MATCH($J183,'07-Paper Priority'!$B$5:$B$26,0),OR(AND($E183&lt;='07-Paper Priority'!$C$10,$F183&lt;='07-Paper Priority'!$D$10),AND($E183&lt;='07-Paper Priority'!$D$10,$F183&lt;='07-Paper Priority'!$C$10))),'07-Paper Priority'!$A$10,"")</f>
        <v/>
      </c>
      <c r="Y183" t="str">
        <f>IF(AND('07-Paper Priority'!$A$11&gt;=MATCH($J183,'07-Paper Priority'!$B$5:$B$26,0),OR(AND($E183&lt;='07-Paper Priority'!$C$11,$F183&lt;='07-Paper Priority'!$D$11),AND($E183&lt;='07-Paper Priority'!$D$11,$F183&lt;='07-Paper Priority'!$C$11))),'07-Paper Priority'!$A$11,"")</f>
        <v/>
      </c>
      <c r="Z183" t="str">
        <f>IF(AND('07-Paper Priority'!$A$12&gt;=MATCH($J183,'07-Paper Priority'!$B$5:$B$26,0),OR(AND($E183&lt;='07-Paper Priority'!$C$12,$F183&lt;='07-Paper Priority'!$D$12),AND($E183&lt;='07-Paper Priority'!$D$12,$F183&lt;='07-Paper Priority'!$C$12))),'07-Paper Priority'!$A$12,"")</f>
        <v/>
      </c>
      <c r="AA183" t="str">
        <f>IF(AND('07-Paper Priority'!$A$13&gt;=MATCH($J183,'07-Paper Priority'!$B$5:$B$26,0),OR(AND($E183&lt;='07-Paper Priority'!$C$13,$F183&lt;='07-Paper Priority'!$D$13),AND($E183&lt;='07-Paper Priority'!$D$13,$F183&lt;='07-Paper Priority'!$C$13))),'07-Paper Priority'!$A$13,"")</f>
        <v/>
      </c>
      <c r="AB183" t="str">
        <f>IF(AND('07-Paper Priority'!$A$14&gt;=MATCH($J183,'07-Paper Priority'!$B$5:$B$26,0),OR(AND($E183&lt;='07-Paper Priority'!$C$14,$F183&lt;='07-Paper Priority'!$D$14),AND($E183&lt;='07-Paper Priority'!$D$14,$F183&lt;='07-Paper Priority'!$C$14))),'07-Paper Priority'!$A$14,"")</f>
        <v/>
      </c>
      <c r="AC183" t="str">
        <f>IF(AND('07-Paper Priority'!$A$15&gt;=MATCH($J183,'07-Paper Priority'!$B$5:$B$26,0),OR(AND($E183&lt;='07-Paper Priority'!$C$15,$F183&lt;='07-Paper Priority'!$D$15),AND($E183&lt;='07-Paper Priority'!$D$15,$F183&lt;='07-Paper Priority'!$C$15))),'07-Paper Priority'!$A$15,"")</f>
        <v/>
      </c>
      <c r="AD183" t="str">
        <f>IF(AND('07-Paper Priority'!$A$16&gt;=MATCH($J183,'07-Paper Priority'!$B$5:$B$26,0),OR(AND($E183&lt;='07-Paper Priority'!$C$16,$F183&lt;='07-Paper Priority'!$D$16),AND($E183&lt;='07-Paper Priority'!$D$16,$F183&lt;='07-Paper Priority'!$C$16))),'07-Paper Priority'!$A$16,"")</f>
        <v/>
      </c>
      <c r="AE183">
        <f>IF(AND('07-Paper Priority'!$A$17&gt;=MATCH($J183,'07-Paper Priority'!$B$5:$B$26,0),OR(AND($E183&lt;='07-Paper Priority'!$C$17,$F183&lt;='07-Paper Priority'!$D$17),AND($E183&lt;='07-Paper Priority'!$D$17,$F183&lt;='07-Paper Priority'!$C$17))),'07-Paper Priority'!$A$17,"")</f>
        <v>13</v>
      </c>
      <c r="AF183">
        <f>IF(AND('07-Paper Priority'!$A$18&gt;=MATCH($J183,'07-Paper Priority'!$B$5:$B$26,0),OR(AND($E183&lt;='07-Paper Priority'!$C$18,$F183&lt;='07-Paper Priority'!$D$18),AND($E183&lt;='07-Paper Priority'!$D$18,$F183&lt;='07-Paper Priority'!$C$18))),'07-Paper Priority'!$A$18,"")</f>
        <v>14</v>
      </c>
      <c r="AG183">
        <f>IF(AND('07-Paper Priority'!$A$19&gt;=MATCH($J183,'07-Paper Priority'!$B$5:$B$26,0),OR(AND($E183&lt;='07-Paper Priority'!$C$19,$F183&lt;='07-Paper Priority'!$D$19),AND($E183&lt;='07-Paper Priority'!$D$19,$F183&lt;='07-Paper Priority'!$C$19))),'07-Paper Priority'!$A$19,"")</f>
        <v>15</v>
      </c>
      <c r="AH183">
        <f>IF(AND('07-Paper Priority'!$A$20&gt;=MATCH($J183,'07-Paper Priority'!$B$5:$B$26,0),OR(AND($E183&lt;='07-Paper Priority'!$C$20,$F183&lt;='07-Paper Priority'!$D$20),AND($E183&lt;='07-Paper Priority'!$D$20,$F183&lt;='07-Paper Priority'!$C$20))),'07-Paper Priority'!$A$20,"")</f>
        <v>16</v>
      </c>
      <c r="AI183">
        <f>IF(AND('07-Paper Priority'!$A$21&gt;=MATCH($J183,'07-Paper Priority'!$B$5:$B$26,0),OR(AND($E183&lt;='07-Paper Priority'!$C$21,$F183&lt;='07-Paper Priority'!$D$21),AND($E183&lt;='07-Paper Priority'!$D$21,$F183&lt;='07-Paper Priority'!$C$21))),'07-Paper Priority'!$A$21,"")</f>
        <v>17</v>
      </c>
      <c r="AJ183">
        <f>IF(AND('07-Paper Priority'!$A$22&gt;=MATCH($J183,'07-Paper Priority'!$B$5:$B$26,0),OR(AND($E183&lt;='07-Paper Priority'!$C$22,$F183&lt;='07-Paper Priority'!$D$22),AND($E183&lt;='07-Paper Priority'!$D$22,$F183&lt;='07-Paper Priority'!$C$22))),'07-Paper Priority'!$A$22,"")</f>
        <v>18</v>
      </c>
      <c r="AK183">
        <f>IF(AND('07-Paper Priority'!$A$23&gt;=MATCH($J183,'07-Paper Priority'!$B$5:$B$26,0),OR(AND($E183&lt;='07-Paper Priority'!$C$23,$F183&lt;='07-Paper Priority'!$D$23),AND($E183&lt;='07-Paper Priority'!$D$23,$F183&lt;='07-Paper Priority'!$C$23))),'07-Paper Priority'!$A$23,"")</f>
        <v>19</v>
      </c>
      <c r="AL183">
        <f>IF(AND('07-Paper Priority'!$A$24&gt;=MATCH($J183,'07-Paper Priority'!$B$5:$B$26,0),OR(AND($E183&lt;='07-Paper Priority'!$C$24,$F183&lt;='07-Paper Priority'!$D$24),AND($E183&lt;='07-Paper Priority'!$D$24,$F183&lt;='07-Paper Priority'!$C$24))),'07-Paper Priority'!$A$24,"")</f>
        <v>20</v>
      </c>
      <c r="AM183">
        <f>IF(AND('07-Paper Priority'!$A$25&gt;=MATCH($J183,'07-Paper Priority'!$B$5:$B$26,0),OR(AND($E183&lt;='07-Paper Priority'!$C$25,$F183&lt;='07-Paper Priority'!$D$25),AND($E183&lt;='07-Paper Priority'!$D$25,$F183&lt;='07-Paper Priority'!$C$25))),'07-Paper Priority'!$A$25,"")</f>
        <v>21</v>
      </c>
      <c r="AN183">
        <f>IF(AND('07-Paper Priority'!$A$26&gt;=MATCH($J183,'07-Paper Priority'!$B$5:$B$26,0),OR(AND($E183&lt;='07-Paper Priority'!$C$26,$F183&lt;='07-Paper Priority'!$D$26),AND($E183&lt;='07-Paper Priority'!$D$26,$F183&lt;='07-Paper Priority'!$C$26))),'07-Paper Priority'!$A$26,"")</f>
        <v>22</v>
      </c>
    </row>
    <row r="184" spans="1:40" ht="33.950000000000003" customHeight="1">
      <c r="A184" s="22" t="s">
        <v>2678</v>
      </c>
      <c r="B184" s="22" t="s">
        <v>2548</v>
      </c>
      <c r="C184" s="22" t="s">
        <v>2671</v>
      </c>
      <c r="D184" s="22" t="s">
        <v>2672</v>
      </c>
      <c r="E184" s="23">
        <v>130</v>
      </c>
      <c r="F184" s="23">
        <v>130</v>
      </c>
      <c r="G184" s="22" t="s">
        <v>2561</v>
      </c>
      <c r="H184" s="22" t="s">
        <v>2679</v>
      </c>
      <c r="I184" s="24" t="s">
        <v>2553</v>
      </c>
      <c r="J184" s="25" t="s">
        <v>578</v>
      </c>
      <c r="K184" s="26" t="str">
        <f>IF(COUNT(S184:AN184)=0,"NO FIT",INDEX('07-Paper Priority'!$B$5:$B$26,MIN(S184:AN184)))</f>
        <v>A5</v>
      </c>
      <c r="L184" s="26" t="str">
        <f>IF($K184="NO FIT","",IF(AND($E184&lt;=INDEX('07-Paper Priority'!$C$5:$C$26,MATCH($K184,'07-Paper Priority'!$B$5:$B$26,0)),$F184&lt;=INDEX('07-Paper Priority'!$D$5:$D$26,MATCH($K184,'07-Paper Priority'!$B$5:$B$26,0))),"PORTRAIT","ROTATED"))</f>
        <v>PORTRAIT</v>
      </c>
      <c r="M184" s="27">
        <f>IF($K184="NO FIT","",IF($L184="PORTRAIT",INDEX('07-Paper Priority'!$C$5:$C$26,MATCH($K184,'07-Paper Priority'!$B$5:$B$26,0)),INDEX('07-Paper Priority'!$D$5:$D$26,MATCH($K184,'07-Paper Priority'!$B$5:$B$26,0))))</f>
        <v>148</v>
      </c>
      <c r="N184" s="27">
        <f>IF($K184="NO FIT","",IF($L184="PORTRAIT",INDEX('07-Paper Priority'!$D$5:$D$26,MATCH($K184,'07-Paper Priority'!$B$5:$B$26,0)),INDEX('07-Paper Priority'!$C$5:$C$26,MATCH($K184,'07-Paper Priority'!$B$5:$B$26,0))))</f>
        <v>210</v>
      </c>
      <c r="O184" s="27">
        <f>IF($K184="NO FIT","",$M184-$E184)</f>
        <v>18</v>
      </c>
      <c r="P184" s="27">
        <f>IF($K184="NO FIT","",$N184-$F184)</f>
        <v>80</v>
      </c>
      <c r="Q184" s="28" t="str">
        <f>IF($K184="NO FIT","REVIEW - NO PAPER FIT",IF(OR($O184&lt;0,$P184&lt;0),"ERROR - FIT",IF(COUNTIF('02-Printing Size'!$A$2:$A$2169,$K184)=0,"ERROR - CODE MISSING","VALID - LOWEST PAPER")))</f>
        <v>VALID - LOWEST PAPER</v>
      </c>
      <c r="R184" s="22" t="s">
        <v>2680</v>
      </c>
      <c r="S184" t="str">
        <f>IF(AND('07-Paper Priority'!$A$5&gt;=MATCH($J184,'07-Paper Priority'!$B$5:$B$26,0),OR(AND($E184&lt;='07-Paper Priority'!$C$5,$F184&lt;='07-Paper Priority'!$D$5),AND($E184&lt;='07-Paper Priority'!$D$5,$F184&lt;='07-Paper Priority'!$C$5))),'07-Paper Priority'!$A$5,"")</f>
        <v/>
      </c>
      <c r="T184" t="str">
        <f>IF(AND('07-Paper Priority'!$A$6&gt;=MATCH($J184,'07-Paper Priority'!$B$5:$B$26,0),OR(AND($E184&lt;='07-Paper Priority'!$C$6,$F184&lt;='07-Paper Priority'!$D$6),AND($E184&lt;='07-Paper Priority'!$D$6,$F184&lt;='07-Paper Priority'!$C$6))),'07-Paper Priority'!$A$6,"")</f>
        <v/>
      </c>
      <c r="U184" t="str">
        <f>IF(AND('07-Paper Priority'!$A$7&gt;=MATCH($J184,'07-Paper Priority'!$B$5:$B$26,0),OR(AND($E184&lt;='07-Paper Priority'!$C$7,$F184&lt;='07-Paper Priority'!$D$7),AND($E184&lt;='07-Paper Priority'!$D$7,$F184&lt;='07-Paper Priority'!$C$7))),'07-Paper Priority'!$A$7,"")</f>
        <v/>
      </c>
      <c r="V184" t="str">
        <f>IF(AND('07-Paper Priority'!$A$8&gt;=MATCH($J184,'07-Paper Priority'!$B$5:$B$26,0),OR(AND($E184&lt;='07-Paper Priority'!$C$8,$F184&lt;='07-Paper Priority'!$D$8),AND($E184&lt;='07-Paper Priority'!$D$8,$F184&lt;='07-Paper Priority'!$C$8))),'07-Paper Priority'!$A$8,"")</f>
        <v/>
      </c>
      <c r="W184" t="str">
        <f>IF(AND('07-Paper Priority'!$A$9&gt;=MATCH($J184,'07-Paper Priority'!$B$5:$B$26,0),OR(AND($E184&lt;='07-Paper Priority'!$C$9,$F184&lt;='07-Paper Priority'!$D$9),AND($E184&lt;='07-Paper Priority'!$D$9,$F184&lt;='07-Paper Priority'!$C$9))),'07-Paper Priority'!$A$9,"")</f>
        <v/>
      </c>
      <c r="X184" t="str">
        <f>IF(AND('07-Paper Priority'!$A$10&gt;=MATCH($J184,'07-Paper Priority'!$B$5:$B$26,0),OR(AND($E184&lt;='07-Paper Priority'!$C$10,$F184&lt;='07-Paper Priority'!$D$10),AND($E184&lt;='07-Paper Priority'!$D$10,$F184&lt;='07-Paper Priority'!$C$10))),'07-Paper Priority'!$A$10,"")</f>
        <v/>
      </c>
      <c r="Y184" t="str">
        <f>IF(AND('07-Paper Priority'!$A$11&gt;=MATCH($J184,'07-Paper Priority'!$B$5:$B$26,0),OR(AND($E184&lt;='07-Paper Priority'!$C$11,$F184&lt;='07-Paper Priority'!$D$11),AND($E184&lt;='07-Paper Priority'!$D$11,$F184&lt;='07-Paper Priority'!$C$11))),'07-Paper Priority'!$A$11,"")</f>
        <v/>
      </c>
      <c r="Z184" t="str">
        <f>IF(AND('07-Paper Priority'!$A$12&gt;=MATCH($J184,'07-Paper Priority'!$B$5:$B$26,0),OR(AND($E184&lt;='07-Paper Priority'!$C$12,$F184&lt;='07-Paper Priority'!$D$12),AND($E184&lt;='07-Paper Priority'!$D$12,$F184&lt;='07-Paper Priority'!$C$12))),'07-Paper Priority'!$A$12,"")</f>
        <v/>
      </c>
      <c r="AA184" t="str">
        <f>IF(AND('07-Paper Priority'!$A$13&gt;=MATCH($J184,'07-Paper Priority'!$B$5:$B$26,0),OR(AND($E184&lt;='07-Paper Priority'!$C$13,$F184&lt;='07-Paper Priority'!$D$13),AND($E184&lt;='07-Paper Priority'!$D$13,$F184&lt;='07-Paper Priority'!$C$13))),'07-Paper Priority'!$A$13,"")</f>
        <v/>
      </c>
      <c r="AB184" t="str">
        <f>IF(AND('07-Paper Priority'!$A$14&gt;=MATCH($J184,'07-Paper Priority'!$B$5:$B$26,0),OR(AND($E184&lt;='07-Paper Priority'!$C$14,$F184&lt;='07-Paper Priority'!$D$14),AND($E184&lt;='07-Paper Priority'!$D$14,$F184&lt;='07-Paper Priority'!$C$14))),'07-Paper Priority'!$A$14,"")</f>
        <v/>
      </c>
      <c r="AC184">
        <f>IF(AND('07-Paper Priority'!$A$15&gt;=MATCH($J184,'07-Paper Priority'!$B$5:$B$26,0),OR(AND($E184&lt;='07-Paper Priority'!$C$15,$F184&lt;='07-Paper Priority'!$D$15),AND($E184&lt;='07-Paper Priority'!$D$15,$F184&lt;='07-Paper Priority'!$C$15))),'07-Paper Priority'!$A$15,"")</f>
        <v>11</v>
      </c>
      <c r="AD184">
        <f>IF(AND('07-Paper Priority'!$A$16&gt;=MATCH($J184,'07-Paper Priority'!$B$5:$B$26,0),OR(AND($E184&lt;='07-Paper Priority'!$C$16,$F184&lt;='07-Paper Priority'!$D$16),AND($E184&lt;='07-Paper Priority'!$D$16,$F184&lt;='07-Paper Priority'!$C$16))),'07-Paper Priority'!$A$16,"")</f>
        <v>12</v>
      </c>
      <c r="AE184">
        <f>IF(AND('07-Paper Priority'!$A$17&gt;=MATCH($J184,'07-Paper Priority'!$B$5:$B$26,0),OR(AND($E184&lt;='07-Paper Priority'!$C$17,$F184&lt;='07-Paper Priority'!$D$17),AND($E184&lt;='07-Paper Priority'!$D$17,$F184&lt;='07-Paper Priority'!$C$17))),'07-Paper Priority'!$A$17,"")</f>
        <v>13</v>
      </c>
      <c r="AF184">
        <f>IF(AND('07-Paper Priority'!$A$18&gt;=MATCH($J184,'07-Paper Priority'!$B$5:$B$26,0),OR(AND($E184&lt;='07-Paper Priority'!$C$18,$F184&lt;='07-Paper Priority'!$D$18),AND($E184&lt;='07-Paper Priority'!$D$18,$F184&lt;='07-Paper Priority'!$C$18))),'07-Paper Priority'!$A$18,"")</f>
        <v>14</v>
      </c>
      <c r="AG184">
        <f>IF(AND('07-Paper Priority'!$A$19&gt;=MATCH($J184,'07-Paper Priority'!$B$5:$B$26,0),OR(AND($E184&lt;='07-Paper Priority'!$C$19,$F184&lt;='07-Paper Priority'!$D$19),AND($E184&lt;='07-Paper Priority'!$D$19,$F184&lt;='07-Paper Priority'!$C$19))),'07-Paper Priority'!$A$19,"")</f>
        <v>15</v>
      </c>
      <c r="AH184">
        <f>IF(AND('07-Paper Priority'!$A$20&gt;=MATCH($J184,'07-Paper Priority'!$B$5:$B$26,0),OR(AND($E184&lt;='07-Paper Priority'!$C$20,$F184&lt;='07-Paper Priority'!$D$20),AND($E184&lt;='07-Paper Priority'!$D$20,$F184&lt;='07-Paper Priority'!$C$20))),'07-Paper Priority'!$A$20,"")</f>
        <v>16</v>
      </c>
      <c r="AI184">
        <f>IF(AND('07-Paper Priority'!$A$21&gt;=MATCH($J184,'07-Paper Priority'!$B$5:$B$26,0),OR(AND($E184&lt;='07-Paper Priority'!$C$21,$F184&lt;='07-Paper Priority'!$D$21),AND($E184&lt;='07-Paper Priority'!$D$21,$F184&lt;='07-Paper Priority'!$C$21))),'07-Paper Priority'!$A$21,"")</f>
        <v>17</v>
      </c>
      <c r="AJ184">
        <f>IF(AND('07-Paper Priority'!$A$22&gt;=MATCH($J184,'07-Paper Priority'!$B$5:$B$26,0),OR(AND($E184&lt;='07-Paper Priority'!$C$22,$F184&lt;='07-Paper Priority'!$D$22),AND($E184&lt;='07-Paper Priority'!$D$22,$F184&lt;='07-Paper Priority'!$C$22))),'07-Paper Priority'!$A$22,"")</f>
        <v>18</v>
      </c>
      <c r="AK184">
        <f>IF(AND('07-Paper Priority'!$A$23&gt;=MATCH($J184,'07-Paper Priority'!$B$5:$B$26,0),OR(AND($E184&lt;='07-Paper Priority'!$C$23,$F184&lt;='07-Paper Priority'!$D$23),AND($E184&lt;='07-Paper Priority'!$D$23,$F184&lt;='07-Paper Priority'!$C$23))),'07-Paper Priority'!$A$23,"")</f>
        <v>19</v>
      </c>
      <c r="AL184">
        <f>IF(AND('07-Paper Priority'!$A$24&gt;=MATCH($J184,'07-Paper Priority'!$B$5:$B$26,0),OR(AND($E184&lt;='07-Paper Priority'!$C$24,$F184&lt;='07-Paper Priority'!$D$24),AND($E184&lt;='07-Paper Priority'!$D$24,$F184&lt;='07-Paper Priority'!$C$24))),'07-Paper Priority'!$A$24,"")</f>
        <v>20</v>
      </c>
      <c r="AM184">
        <f>IF(AND('07-Paper Priority'!$A$25&gt;=MATCH($J184,'07-Paper Priority'!$B$5:$B$26,0),OR(AND($E184&lt;='07-Paper Priority'!$C$25,$F184&lt;='07-Paper Priority'!$D$25),AND($E184&lt;='07-Paper Priority'!$D$25,$F184&lt;='07-Paper Priority'!$C$25))),'07-Paper Priority'!$A$25,"")</f>
        <v>21</v>
      </c>
      <c r="AN184">
        <f>IF(AND('07-Paper Priority'!$A$26&gt;=MATCH($J184,'07-Paper Priority'!$B$5:$B$26,0),OR(AND($E184&lt;='07-Paper Priority'!$C$26,$F184&lt;='07-Paper Priority'!$D$26),AND($E184&lt;='07-Paper Priority'!$D$26,$F184&lt;='07-Paper Priority'!$C$26))),'07-Paper Priority'!$A$26,"")</f>
        <v>22</v>
      </c>
    </row>
    <row r="185" spans="1:40" ht="33.950000000000003" customHeight="1">
      <c r="A185" s="22" t="s">
        <v>2681</v>
      </c>
      <c r="B185" s="22" t="s">
        <v>2548</v>
      </c>
      <c r="C185" s="22" t="s">
        <v>2682</v>
      </c>
      <c r="D185" s="22" t="s">
        <v>2683</v>
      </c>
      <c r="E185" s="23">
        <v>140</v>
      </c>
      <c r="F185" s="23">
        <v>140</v>
      </c>
      <c r="G185" s="22" t="s">
        <v>2642</v>
      </c>
      <c r="H185" s="22" t="s">
        <v>2684</v>
      </c>
      <c r="I185" s="24" t="s">
        <v>2568</v>
      </c>
      <c r="J185" s="25" t="s">
        <v>578</v>
      </c>
      <c r="K185" s="26" t="str">
        <f>IF(COUNT(S185:AN185)=0,"NO FIT",INDEX('07-Paper Priority'!$B$5:$B$26,MIN(S185:AN185)))</f>
        <v>A5</v>
      </c>
      <c r="L185" s="26" t="str">
        <f>IF($K185="NO FIT","",IF(AND($E185&lt;=INDEX('07-Paper Priority'!$C$5:$C$26,MATCH($K185,'07-Paper Priority'!$B$5:$B$26,0)),$F185&lt;=INDEX('07-Paper Priority'!$D$5:$D$26,MATCH($K185,'07-Paper Priority'!$B$5:$B$26,0))),"PORTRAIT","ROTATED"))</f>
        <v>PORTRAIT</v>
      </c>
      <c r="M185" s="27">
        <f>IF($K185="NO FIT","",IF($L185="PORTRAIT",INDEX('07-Paper Priority'!$C$5:$C$26,MATCH($K185,'07-Paper Priority'!$B$5:$B$26,0)),INDEX('07-Paper Priority'!$D$5:$D$26,MATCH($K185,'07-Paper Priority'!$B$5:$B$26,0))))</f>
        <v>148</v>
      </c>
      <c r="N185" s="27">
        <f>IF($K185="NO FIT","",IF($L185="PORTRAIT",INDEX('07-Paper Priority'!$D$5:$D$26,MATCH($K185,'07-Paper Priority'!$B$5:$B$26,0)),INDEX('07-Paper Priority'!$C$5:$C$26,MATCH($K185,'07-Paper Priority'!$B$5:$B$26,0))))</f>
        <v>210</v>
      </c>
      <c r="O185" s="27">
        <f>IF($K185="NO FIT","",$M185-$E185)</f>
        <v>8</v>
      </c>
      <c r="P185" s="27">
        <f>IF($K185="NO FIT","",$N185-$F185)</f>
        <v>70</v>
      </c>
      <c r="Q185" s="28" t="str">
        <f>IF($K185="NO FIT","REVIEW - NO PAPER FIT",IF(OR($O185&lt;0,$P185&lt;0),"ERROR - FIT",IF(COUNTIF('02-Printing Size'!$A$2:$A$2169,$K185)=0,"ERROR - CODE MISSING","VALID - LOWEST PAPER")))</f>
        <v>VALID - LOWEST PAPER</v>
      </c>
      <c r="R185" s="22" t="s">
        <v>2685</v>
      </c>
      <c r="S185" t="str">
        <f>IF(AND('07-Paper Priority'!$A$5&gt;=MATCH($J185,'07-Paper Priority'!$B$5:$B$26,0),OR(AND($E185&lt;='07-Paper Priority'!$C$5,$F185&lt;='07-Paper Priority'!$D$5),AND($E185&lt;='07-Paper Priority'!$D$5,$F185&lt;='07-Paper Priority'!$C$5))),'07-Paper Priority'!$A$5,"")</f>
        <v/>
      </c>
      <c r="T185" t="str">
        <f>IF(AND('07-Paper Priority'!$A$6&gt;=MATCH($J185,'07-Paper Priority'!$B$5:$B$26,0),OR(AND($E185&lt;='07-Paper Priority'!$C$6,$F185&lt;='07-Paper Priority'!$D$6),AND($E185&lt;='07-Paper Priority'!$D$6,$F185&lt;='07-Paper Priority'!$C$6))),'07-Paper Priority'!$A$6,"")</f>
        <v/>
      </c>
      <c r="U185" t="str">
        <f>IF(AND('07-Paper Priority'!$A$7&gt;=MATCH($J185,'07-Paper Priority'!$B$5:$B$26,0),OR(AND($E185&lt;='07-Paper Priority'!$C$7,$F185&lt;='07-Paper Priority'!$D$7),AND($E185&lt;='07-Paper Priority'!$D$7,$F185&lt;='07-Paper Priority'!$C$7))),'07-Paper Priority'!$A$7,"")</f>
        <v/>
      </c>
      <c r="V185" t="str">
        <f>IF(AND('07-Paper Priority'!$A$8&gt;=MATCH($J185,'07-Paper Priority'!$B$5:$B$26,0),OR(AND($E185&lt;='07-Paper Priority'!$C$8,$F185&lt;='07-Paper Priority'!$D$8),AND($E185&lt;='07-Paper Priority'!$D$8,$F185&lt;='07-Paper Priority'!$C$8))),'07-Paper Priority'!$A$8,"")</f>
        <v/>
      </c>
      <c r="W185" t="str">
        <f>IF(AND('07-Paper Priority'!$A$9&gt;=MATCH($J185,'07-Paper Priority'!$B$5:$B$26,0),OR(AND($E185&lt;='07-Paper Priority'!$C$9,$F185&lt;='07-Paper Priority'!$D$9),AND($E185&lt;='07-Paper Priority'!$D$9,$F185&lt;='07-Paper Priority'!$C$9))),'07-Paper Priority'!$A$9,"")</f>
        <v/>
      </c>
      <c r="X185" t="str">
        <f>IF(AND('07-Paper Priority'!$A$10&gt;=MATCH($J185,'07-Paper Priority'!$B$5:$B$26,0),OR(AND($E185&lt;='07-Paper Priority'!$C$10,$F185&lt;='07-Paper Priority'!$D$10),AND($E185&lt;='07-Paper Priority'!$D$10,$F185&lt;='07-Paper Priority'!$C$10))),'07-Paper Priority'!$A$10,"")</f>
        <v/>
      </c>
      <c r="Y185" t="str">
        <f>IF(AND('07-Paper Priority'!$A$11&gt;=MATCH($J185,'07-Paper Priority'!$B$5:$B$26,0),OR(AND($E185&lt;='07-Paper Priority'!$C$11,$F185&lt;='07-Paper Priority'!$D$11),AND($E185&lt;='07-Paper Priority'!$D$11,$F185&lt;='07-Paper Priority'!$C$11))),'07-Paper Priority'!$A$11,"")</f>
        <v/>
      </c>
      <c r="Z185" t="str">
        <f>IF(AND('07-Paper Priority'!$A$12&gt;=MATCH($J185,'07-Paper Priority'!$B$5:$B$26,0),OR(AND($E185&lt;='07-Paper Priority'!$C$12,$F185&lt;='07-Paper Priority'!$D$12),AND($E185&lt;='07-Paper Priority'!$D$12,$F185&lt;='07-Paper Priority'!$C$12))),'07-Paper Priority'!$A$12,"")</f>
        <v/>
      </c>
      <c r="AA185" t="str">
        <f>IF(AND('07-Paper Priority'!$A$13&gt;=MATCH($J185,'07-Paper Priority'!$B$5:$B$26,0),OR(AND($E185&lt;='07-Paper Priority'!$C$13,$F185&lt;='07-Paper Priority'!$D$13),AND($E185&lt;='07-Paper Priority'!$D$13,$F185&lt;='07-Paper Priority'!$C$13))),'07-Paper Priority'!$A$13,"")</f>
        <v/>
      </c>
      <c r="AB185" t="str">
        <f>IF(AND('07-Paper Priority'!$A$14&gt;=MATCH($J185,'07-Paper Priority'!$B$5:$B$26,0),OR(AND($E185&lt;='07-Paper Priority'!$C$14,$F185&lt;='07-Paper Priority'!$D$14),AND($E185&lt;='07-Paper Priority'!$D$14,$F185&lt;='07-Paper Priority'!$C$14))),'07-Paper Priority'!$A$14,"")</f>
        <v/>
      </c>
      <c r="AC185">
        <f>IF(AND('07-Paper Priority'!$A$15&gt;=MATCH($J185,'07-Paper Priority'!$B$5:$B$26,0),OR(AND($E185&lt;='07-Paper Priority'!$C$15,$F185&lt;='07-Paper Priority'!$D$15),AND($E185&lt;='07-Paper Priority'!$D$15,$F185&lt;='07-Paper Priority'!$C$15))),'07-Paper Priority'!$A$15,"")</f>
        <v>11</v>
      </c>
      <c r="AD185">
        <f>IF(AND('07-Paper Priority'!$A$16&gt;=MATCH($J185,'07-Paper Priority'!$B$5:$B$26,0),OR(AND($E185&lt;='07-Paper Priority'!$C$16,$F185&lt;='07-Paper Priority'!$D$16),AND($E185&lt;='07-Paper Priority'!$D$16,$F185&lt;='07-Paper Priority'!$C$16))),'07-Paper Priority'!$A$16,"")</f>
        <v>12</v>
      </c>
      <c r="AE185">
        <f>IF(AND('07-Paper Priority'!$A$17&gt;=MATCH($J185,'07-Paper Priority'!$B$5:$B$26,0),OR(AND($E185&lt;='07-Paper Priority'!$C$17,$F185&lt;='07-Paper Priority'!$D$17),AND($E185&lt;='07-Paper Priority'!$D$17,$F185&lt;='07-Paper Priority'!$C$17))),'07-Paper Priority'!$A$17,"")</f>
        <v>13</v>
      </c>
      <c r="AF185">
        <f>IF(AND('07-Paper Priority'!$A$18&gt;=MATCH($J185,'07-Paper Priority'!$B$5:$B$26,0),OR(AND($E185&lt;='07-Paper Priority'!$C$18,$F185&lt;='07-Paper Priority'!$D$18),AND($E185&lt;='07-Paper Priority'!$D$18,$F185&lt;='07-Paper Priority'!$C$18))),'07-Paper Priority'!$A$18,"")</f>
        <v>14</v>
      </c>
      <c r="AG185">
        <f>IF(AND('07-Paper Priority'!$A$19&gt;=MATCH($J185,'07-Paper Priority'!$B$5:$B$26,0),OR(AND($E185&lt;='07-Paper Priority'!$C$19,$F185&lt;='07-Paper Priority'!$D$19),AND($E185&lt;='07-Paper Priority'!$D$19,$F185&lt;='07-Paper Priority'!$C$19))),'07-Paper Priority'!$A$19,"")</f>
        <v>15</v>
      </c>
      <c r="AH185">
        <f>IF(AND('07-Paper Priority'!$A$20&gt;=MATCH($J185,'07-Paper Priority'!$B$5:$B$26,0),OR(AND($E185&lt;='07-Paper Priority'!$C$20,$F185&lt;='07-Paper Priority'!$D$20),AND($E185&lt;='07-Paper Priority'!$D$20,$F185&lt;='07-Paper Priority'!$C$20))),'07-Paper Priority'!$A$20,"")</f>
        <v>16</v>
      </c>
      <c r="AI185">
        <f>IF(AND('07-Paper Priority'!$A$21&gt;=MATCH($J185,'07-Paper Priority'!$B$5:$B$26,0),OR(AND($E185&lt;='07-Paper Priority'!$C$21,$F185&lt;='07-Paper Priority'!$D$21),AND($E185&lt;='07-Paper Priority'!$D$21,$F185&lt;='07-Paper Priority'!$C$21))),'07-Paper Priority'!$A$21,"")</f>
        <v>17</v>
      </c>
      <c r="AJ185">
        <f>IF(AND('07-Paper Priority'!$A$22&gt;=MATCH($J185,'07-Paper Priority'!$B$5:$B$26,0),OR(AND($E185&lt;='07-Paper Priority'!$C$22,$F185&lt;='07-Paper Priority'!$D$22),AND($E185&lt;='07-Paper Priority'!$D$22,$F185&lt;='07-Paper Priority'!$C$22))),'07-Paper Priority'!$A$22,"")</f>
        <v>18</v>
      </c>
      <c r="AK185">
        <f>IF(AND('07-Paper Priority'!$A$23&gt;=MATCH($J185,'07-Paper Priority'!$B$5:$B$26,0),OR(AND($E185&lt;='07-Paper Priority'!$C$23,$F185&lt;='07-Paper Priority'!$D$23),AND($E185&lt;='07-Paper Priority'!$D$23,$F185&lt;='07-Paper Priority'!$C$23))),'07-Paper Priority'!$A$23,"")</f>
        <v>19</v>
      </c>
      <c r="AL185">
        <f>IF(AND('07-Paper Priority'!$A$24&gt;=MATCH($J185,'07-Paper Priority'!$B$5:$B$26,0),OR(AND($E185&lt;='07-Paper Priority'!$C$24,$F185&lt;='07-Paper Priority'!$D$24),AND($E185&lt;='07-Paper Priority'!$D$24,$F185&lt;='07-Paper Priority'!$C$24))),'07-Paper Priority'!$A$24,"")</f>
        <v>20</v>
      </c>
      <c r="AM185">
        <f>IF(AND('07-Paper Priority'!$A$25&gt;=MATCH($J185,'07-Paper Priority'!$B$5:$B$26,0),OR(AND($E185&lt;='07-Paper Priority'!$C$25,$F185&lt;='07-Paper Priority'!$D$25),AND($E185&lt;='07-Paper Priority'!$D$25,$F185&lt;='07-Paper Priority'!$C$25))),'07-Paper Priority'!$A$25,"")</f>
        <v>21</v>
      </c>
      <c r="AN185">
        <f>IF(AND('07-Paper Priority'!$A$26&gt;=MATCH($J185,'07-Paper Priority'!$B$5:$B$26,0),OR(AND($E185&lt;='07-Paper Priority'!$C$26,$F185&lt;='07-Paper Priority'!$D$26),AND($E185&lt;='07-Paper Priority'!$D$26,$F185&lt;='07-Paper Priority'!$C$26))),'07-Paper Priority'!$A$26,"")</f>
        <v>22</v>
      </c>
    </row>
    <row r="186" spans="1:40" ht="33.950000000000003" customHeight="1">
      <c r="A186" s="22" t="s">
        <v>2686</v>
      </c>
      <c r="B186" s="22" t="s">
        <v>2548</v>
      </c>
      <c r="C186" s="22" t="s">
        <v>2682</v>
      </c>
      <c r="D186" s="22" t="s">
        <v>2683</v>
      </c>
      <c r="E186" s="23">
        <v>140</v>
      </c>
      <c r="F186" s="23">
        <v>140</v>
      </c>
      <c r="G186" s="22" t="s">
        <v>2656</v>
      </c>
      <c r="H186" s="22" t="s">
        <v>2687</v>
      </c>
      <c r="I186" s="24" t="s">
        <v>2568</v>
      </c>
      <c r="J186" s="25" t="s">
        <v>578</v>
      </c>
      <c r="K186" s="26" t="str">
        <f>IF(COUNT(S186:AN186)=0,"NO FIT",INDEX('07-Paper Priority'!$B$5:$B$26,MIN(S186:AN186)))</f>
        <v>A5</v>
      </c>
      <c r="L186" s="26" t="str">
        <f>IF($K186="NO FIT","",IF(AND($E186&lt;=INDEX('07-Paper Priority'!$C$5:$C$26,MATCH($K186,'07-Paper Priority'!$B$5:$B$26,0)),$F186&lt;=INDEX('07-Paper Priority'!$D$5:$D$26,MATCH($K186,'07-Paper Priority'!$B$5:$B$26,0))),"PORTRAIT","ROTATED"))</f>
        <v>PORTRAIT</v>
      </c>
      <c r="M186" s="27">
        <f>IF($K186="NO FIT","",IF($L186="PORTRAIT",INDEX('07-Paper Priority'!$C$5:$C$26,MATCH($K186,'07-Paper Priority'!$B$5:$B$26,0)),INDEX('07-Paper Priority'!$D$5:$D$26,MATCH($K186,'07-Paper Priority'!$B$5:$B$26,0))))</f>
        <v>148</v>
      </c>
      <c r="N186" s="27">
        <f>IF($K186="NO FIT","",IF($L186="PORTRAIT",INDEX('07-Paper Priority'!$D$5:$D$26,MATCH($K186,'07-Paper Priority'!$B$5:$B$26,0)),INDEX('07-Paper Priority'!$C$5:$C$26,MATCH($K186,'07-Paper Priority'!$B$5:$B$26,0))))</f>
        <v>210</v>
      </c>
      <c r="O186" s="27">
        <f>IF($K186="NO FIT","",$M186-$E186)</f>
        <v>8</v>
      </c>
      <c r="P186" s="27">
        <f>IF($K186="NO FIT","",$N186-$F186)</f>
        <v>70</v>
      </c>
      <c r="Q186" s="28" t="str">
        <f>IF($K186="NO FIT","REVIEW - NO PAPER FIT",IF(OR($O186&lt;0,$P186&lt;0),"ERROR - FIT",IF(COUNTIF('02-Printing Size'!$A$2:$A$2169,$K186)=0,"ERROR - CODE MISSING","VALID - LOWEST PAPER")))</f>
        <v>VALID - LOWEST PAPER</v>
      </c>
      <c r="R186" s="22" t="s">
        <v>2688</v>
      </c>
      <c r="S186" t="str">
        <f>IF(AND('07-Paper Priority'!$A$5&gt;=MATCH($J186,'07-Paper Priority'!$B$5:$B$26,0),OR(AND($E186&lt;='07-Paper Priority'!$C$5,$F186&lt;='07-Paper Priority'!$D$5),AND($E186&lt;='07-Paper Priority'!$D$5,$F186&lt;='07-Paper Priority'!$C$5))),'07-Paper Priority'!$A$5,"")</f>
        <v/>
      </c>
      <c r="T186" t="str">
        <f>IF(AND('07-Paper Priority'!$A$6&gt;=MATCH($J186,'07-Paper Priority'!$B$5:$B$26,0),OR(AND($E186&lt;='07-Paper Priority'!$C$6,$F186&lt;='07-Paper Priority'!$D$6),AND($E186&lt;='07-Paper Priority'!$D$6,$F186&lt;='07-Paper Priority'!$C$6))),'07-Paper Priority'!$A$6,"")</f>
        <v/>
      </c>
      <c r="U186" t="str">
        <f>IF(AND('07-Paper Priority'!$A$7&gt;=MATCH($J186,'07-Paper Priority'!$B$5:$B$26,0),OR(AND($E186&lt;='07-Paper Priority'!$C$7,$F186&lt;='07-Paper Priority'!$D$7),AND($E186&lt;='07-Paper Priority'!$D$7,$F186&lt;='07-Paper Priority'!$C$7))),'07-Paper Priority'!$A$7,"")</f>
        <v/>
      </c>
      <c r="V186" t="str">
        <f>IF(AND('07-Paper Priority'!$A$8&gt;=MATCH($J186,'07-Paper Priority'!$B$5:$B$26,0),OR(AND($E186&lt;='07-Paper Priority'!$C$8,$F186&lt;='07-Paper Priority'!$D$8),AND($E186&lt;='07-Paper Priority'!$D$8,$F186&lt;='07-Paper Priority'!$C$8))),'07-Paper Priority'!$A$8,"")</f>
        <v/>
      </c>
      <c r="W186" t="str">
        <f>IF(AND('07-Paper Priority'!$A$9&gt;=MATCH($J186,'07-Paper Priority'!$B$5:$B$26,0),OR(AND($E186&lt;='07-Paper Priority'!$C$9,$F186&lt;='07-Paper Priority'!$D$9),AND($E186&lt;='07-Paper Priority'!$D$9,$F186&lt;='07-Paper Priority'!$C$9))),'07-Paper Priority'!$A$9,"")</f>
        <v/>
      </c>
      <c r="X186" t="str">
        <f>IF(AND('07-Paper Priority'!$A$10&gt;=MATCH($J186,'07-Paper Priority'!$B$5:$B$26,0),OR(AND($E186&lt;='07-Paper Priority'!$C$10,$F186&lt;='07-Paper Priority'!$D$10),AND($E186&lt;='07-Paper Priority'!$D$10,$F186&lt;='07-Paper Priority'!$C$10))),'07-Paper Priority'!$A$10,"")</f>
        <v/>
      </c>
      <c r="Y186" t="str">
        <f>IF(AND('07-Paper Priority'!$A$11&gt;=MATCH($J186,'07-Paper Priority'!$B$5:$B$26,0),OR(AND($E186&lt;='07-Paper Priority'!$C$11,$F186&lt;='07-Paper Priority'!$D$11),AND($E186&lt;='07-Paper Priority'!$D$11,$F186&lt;='07-Paper Priority'!$C$11))),'07-Paper Priority'!$A$11,"")</f>
        <v/>
      </c>
      <c r="Z186" t="str">
        <f>IF(AND('07-Paper Priority'!$A$12&gt;=MATCH($J186,'07-Paper Priority'!$B$5:$B$26,0),OR(AND($E186&lt;='07-Paper Priority'!$C$12,$F186&lt;='07-Paper Priority'!$D$12),AND($E186&lt;='07-Paper Priority'!$D$12,$F186&lt;='07-Paper Priority'!$C$12))),'07-Paper Priority'!$A$12,"")</f>
        <v/>
      </c>
      <c r="AA186" t="str">
        <f>IF(AND('07-Paper Priority'!$A$13&gt;=MATCH($J186,'07-Paper Priority'!$B$5:$B$26,0),OR(AND($E186&lt;='07-Paper Priority'!$C$13,$F186&lt;='07-Paper Priority'!$D$13),AND($E186&lt;='07-Paper Priority'!$D$13,$F186&lt;='07-Paper Priority'!$C$13))),'07-Paper Priority'!$A$13,"")</f>
        <v/>
      </c>
      <c r="AB186" t="str">
        <f>IF(AND('07-Paper Priority'!$A$14&gt;=MATCH($J186,'07-Paper Priority'!$B$5:$B$26,0),OR(AND($E186&lt;='07-Paper Priority'!$C$14,$F186&lt;='07-Paper Priority'!$D$14),AND($E186&lt;='07-Paper Priority'!$D$14,$F186&lt;='07-Paper Priority'!$C$14))),'07-Paper Priority'!$A$14,"")</f>
        <v/>
      </c>
      <c r="AC186">
        <f>IF(AND('07-Paper Priority'!$A$15&gt;=MATCH($J186,'07-Paper Priority'!$B$5:$B$26,0),OR(AND($E186&lt;='07-Paper Priority'!$C$15,$F186&lt;='07-Paper Priority'!$D$15),AND($E186&lt;='07-Paper Priority'!$D$15,$F186&lt;='07-Paper Priority'!$C$15))),'07-Paper Priority'!$A$15,"")</f>
        <v>11</v>
      </c>
      <c r="AD186">
        <f>IF(AND('07-Paper Priority'!$A$16&gt;=MATCH($J186,'07-Paper Priority'!$B$5:$B$26,0),OR(AND($E186&lt;='07-Paper Priority'!$C$16,$F186&lt;='07-Paper Priority'!$D$16),AND($E186&lt;='07-Paper Priority'!$D$16,$F186&lt;='07-Paper Priority'!$C$16))),'07-Paper Priority'!$A$16,"")</f>
        <v>12</v>
      </c>
      <c r="AE186">
        <f>IF(AND('07-Paper Priority'!$A$17&gt;=MATCH($J186,'07-Paper Priority'!$B$5:$B$26,0),OR(AND($E186&lt;='07-Paper Priority'!$C$17,$F186&lt;='07-Paper Priority'!$D$17),AND($E186&lt;='07-Paper Priority'!$D$17,$F186&lt;='07-Paper Priority'!$C$17))),'07-Paper Priority'!$A$17,"")</f>
        <v>13</v>
      </c>
      <c r="AF186">
        <f>IF(AND('07-Paper Priority'!$A$18&gt;=MATCH($J186,'07-Paper Priority'!$B$5:$B$26,0),OR(AND($E186&lt;='07-Paper Priority'!$C$18,$F186&lt;='07-Paper Priority'!$D$18),AND($E186&lt;='07-Paper Priority'!$D$18,$F186&lt;='07-Paper Priority'!$C$18))),'07-Paper Priority'!$A$18,"")</f>
        <v>14</v>
      </c>
      <c r="AG186">
        <f>IF(AND('07-Paper Priority'!$A$19&gt;=MATCH($J186,'07-Paper Priority'!$B$5:$B$26,0),OR(AND($E186&lt;='07-Paper Priority'!$C$19,$F186&lt;='07-Paper Priority'!$D$19),AND($E186&lt;='07-Paper Priority'!$D$19,$F186&lt;='07-Paper Priority'!$C$19))),'07-Paper Priority'!$A$19,"")</f>
        <v>15</v>
      </c>
      <c r="AH186">
        <f>IF(AND('07-Paper Priority'!$A$20&gt;=MATCH($J186,'07-Paper Priority'!$B$5:$B$26,0),OR(AND($E186&lt;='07-Paper Priority'!$C$20,$F186&lt;='07-Paper Priority'!$D$20),AND($E186&lt;='07-Paper Priority'!$D$20,$F186&lt;='07-Paper Priority'!$C$20))),'07-Paper Priority'!$A$20,"")</f>
        <v>16</v>
      </c>
      <c r="AI186">
        <f>IF(AND('07-Paper Priority'!$A$21&gt;=MATCH($J186,'07-Paper Priority'!$B$5:$B$26,0),OR(AND($E186&lt;='07-Paper Priority'!$C$21,$F186&lt;='07-Paper Priority'!$D$21),AND($E186&lt;='07-Paper Priority'!$D$21,$F186&lt;='07-Paper Priority'!$C$21))),'07-Paper Priority'!$A$21,"")</f>
        <v>17</v>
      </c>
      <c r="AJ186">
        <f>IF(AND('07-Paper Priority'!$A$22&gt;=MATCH($J186,'07-Paper Priority'!$B$5:$B$26,0),OR(AND($E186&lt;='07-Paper Priority'!$C$22,$F186&lt;='07-Paper Priority'!$D$22),AND($E186&lt;='07-Paper Priority'!$D$22,$F186&lt;='07-Paper Priority'!$C$22))),'07-Paper Priority'!$A$22,"")</f>
        <v>18</v>
      </c>
      <c r="AK186">
        <f>IF(AND('07-Paper Priority'!$A$23&gt;=MATCH($J186,'07-Paper Priority'!$B$5:$B$26,0),OR(AND($E186&lt;='07-Paper Priority'!$C$23,$F186&lt;='07-Paper Priority'!$D$23),AND($E186&lt;='07-Paper Priority'!$D$23,$F186&lt;='07-Paper Priority'!$C$23))),'07-Paper Priority'!$A$23,"")</f>
        <v>19</v>
      </c>
      <c r="AL186">
        <f>IF(AND('07-Paper Priority'!$A$24&gt;=MATCH($J186,'07-Paper Priority'!$B$5:$B$26,0),OR(AND($E186&lt;='07-Paper Priority'!$C$24,$F186&lt;='07-Paper Priority'!$D$24),AND($E186&lt;='07-Paper Priority'!$D$24,$F186&lt;='07-Paper Priority'!$C$24))),'07-Paper Priority'!$A$24,"")</f>
        <v>20</v>
      </c>
      <c r="AM186">
        <f>IF(AND('07-Paper Priority'!$A$25&gt;=MATCH($J186,'07-Paper Priority'!$B$5:$B$26,0),OR(AND($E186&lt;='07-Paper Priority'!$C$25,$F186&lt;='07-Paper Priority'!$D$25),AND($E186&lt;='07-Paper Priority'!$D$25,$F186&lt;='07-Paper Priority'!$C$25))),'07-Paper Priority'!$A$25,"")</f>
        <v>21</v>
      </c>
      <c r="AN186">
        <f>IF(AND('07-Paper Priority'!$A$26&gt;=MATCH($J186,'07-Paper Priority'!$B$5:$B$26,0),OR(AND($E186&lt;='07-Paper Priority'!$C$26,$F186&lt;='07-Paper Priority'!$D$26),AND($E186&lt;='07-Paper Priority'!$D$26,$F186&lt;='07-Paper Priority'!$C$26))),'07-Paper Priority'!$A$26,"")</f>
        <v>22</v>
      </c>
    </row>
    <row r="187" spans="1:40" ht="33.950000000000003" customHeight="1">
      <c r="A187" s="22" t="s">
        <v>2689</v>
      </c>
      <c r="B187" s="22" t="s">
        <v>2548</v>
      </c>
      <c r="C187" s="22" t="s">
        <v>2682</v>
      </c>
      <c r="D187" s="22" t="s">
        <v>2683</v>
      </c>
      <c r="E187" s="23">
        <v>70</v>
      </c>
      <c r="F187" s="23">
        <v>70</v>
      </c>
      <c r="G187" s="22" t="s">
        <v>2659</v>
      </c>
      <c r="H187" s="22" t="s">
        <v>2690</v>
      </c>
      <c r="I187" s="24" t="s">
        <v>2553</v>
      </c>
      <c r="J187" s="25" t="s">
        <v>726</v>
      </c>
      <c r="K187" s="26" t="str">
        <f>IF(COUNT(S187:AN187)=0,"NO FIT",INDEX('07-Paper Priority'!$B$5:$B$26,MIN(S187:AN187)))</f>
        <v>A7</v>
      </c>
      <c r="L187" s="26" t="str">
        <f>IF($K187="NO FIT","",IF(AND($E187&lt;=INDEX('07-Paper Priority'!$C$5:$C$26,MATCH($K187,'07-Paper Priority'!$B$5:$B$26,0)),$F187&lt;=INDEX('07-Paper Priority'!$D$5:$D$26,MATCH($K187,'07-Paper Priority'!$B$5:$B$26,0))),"PORTRAIT","ROTATED"))</f>
        <v>PORTRAIT</v>
      </c>
      <c r="M187" s="27">
        <f>IF($K187="NO FIT","",IF($L187="PORTRAIT",INDEX('07-Paper Priority'!$C$5:$C$26,MATCH($K187,'07-Paper Priority'!$B$5:$B$26,0)),INDEX('07-Paper Priority'!$D$5:$D$26,MATCH($K187,'07-Paper Priority'!$B$5:$B$26,0))))</f>
        <v>74</v>
      </c>
      <c r="N187" s="27">
        <f>IF($K187="NO FIT","",IF($L187="PORTRAIT",INDEX('07-Paper Priority'!$D$5:$D$26,MATCH($K187,'07-Paper Priority'!$B$5:$B$26,0)),INDEX('07-Paper Priority'!$C$5:$C$26,MATCH($K187,'07-Paper Priority'!$B$5:$B$26,0))))</f>
        <v>105</v>
      </c>
      <c r="O187" s="27">
        <f>IF($K187="NO FIT","",$M187-$E187)</f>
        <v>4</v>
      </c>
      <c r="P187" s="27">
        <f>IF($K187="NO FIT","",$N187-$F187)</f>
        <v>35</v>
      </c>
      <c r="Q187" s="28" t="str">
        <f>IF($K187="NO FIT","REVIEW - NO PAPER FIT",IF(OR($O187&lt;0,$P187&lt;0),"ERROR - FIT",IF(COUNTIF('02-Printing Size'!$A$2:$A$2169,$K187)=0,"ERROR - CODE MISSING","VALID - LOWEST PAPER")))</f>
        <v>VALID - LOWEST PAPER</v>
      </c>
      <c r="R187" s="22" t="s">
        <v>2691</v>
      </c>
      <c r="S187" t="str">
        <f>IF(AND('07-Paper Priority'!$A$5&gt;=MATCH($J187,'07-Paper Priority'!$B$5:$B$26,0),OR(AND($E187&lt;='07-Paper Priority'!$C$5,$F187&lt;='07-Paper Priority'!$D$5),AND($E187&lt;='07-Paper Priority'!$D$5,$F187&lt;='07-Paper Priority'!$C$5))),'07-Paper Priority'!$A$5,"")</f>
        <v/>
      </c>
      <c r="T187" t="str">
        <f>IF(AND('07-Paper Priority'!$A$6&gt;=MATCH($J187,'07-Paper Priority'!$B$5:$B$26,0),OR(AND($E187&lt;='07-Paper Priority'!$C$6,$F187&lt;='07-Paper Priority'!$D$6),AND($E187&lt;='07-Paper Priority'!$D$6,$F187&lt;='07-Paper Priority'!$C$6))),'07-Paper Priority'!$A$6,"")</f>
        <v/>
      </c>
      <c r="U187" t="str">
        <f>IF(AND('07-Paper Priority'!$A$7&gt;=MATCH($J187,'07-Paper Priority'!$B$5:$B$26,0),OR(AND($E187&lt;='07-Paper Priority'!$C$7,$F187&lt;='07-Paper Priority'!$D$7),AND($E187&lt;='07-Paper Priority'!$D$7,$F187&lt;='07-Paper Priority'!$C$7))),'07-Paper Priority'!$A$7,"")</f>
        <v/>
      </c>
      <c r="V187" t="str">
        <f>IF(AND('07-Paper Priority'!$A$8&gt;=MATCH($J187,'07-Paper Priority'!$B$5:$B$26,0),OR(AND($E187&lt;='07-Paper Priority'!$C$8,$F187&lt;='07-Paper Priority'!$D$8),AND($E187&lt;='07-Paper Priority'!$D$8,$F187&lt;='07-Paper Priority'!$C$8))),'07-Paper Priority'!$A$8,"")</f>
        <v/>
      </c>
      <c r="W187" t="str">
        <f>IF(AND('07-Paper Priority'!$A$9&gt;=MATCH($J187,'07-Paper Priority'!$B$5:$B$26,0),OR(AND($E187&lt;='07-Paper Priority'!$C$9,$F187&lt;='07-Paper Priority'!$D$9),AND($E187&lt;='07-Paper Priority'!$D$9,$F187&lt;='07-Paper Priority'!$C$9))),'07-Paper Priority'!$A$9,"")</f>
        <v/>
      </c>
      <c r="X187" t="str">
        <f>IF(AND('07-Paper Priority'!$A$10&gt;=MATCH($J187,'07-Paper Priority'!$B$5:$B$26,0),OR(AND($E187&lt;='07-Paper Priority'!$C$10,$F187&lt;='07-Paper Priority'!$D$10),AND($E187&lt;='07-Paper Priority'!$D$10,$F187&lt;='07-Paper Priority'!$C$10))),'07-Paper Priority'!$A$10,"")</f>
        <v/>
      </c>
      <c r="Y187">
        <f>IF(AND('07-Paper Priority'!$A$11&gt;=MATCH($J187,'07-Paper Priority'!$B$5:$B$26,0),OR(AND($E187&lt;='07-Paper Priority'!$C$11,$F187&lt;='07-Paper Priority'!$D$11),AND($E187&lt;='07-Paper Priority'!$D$11,$F187&lt;='07-Paper Priority'!$C$11))),'07-Paper Priority'!$A$11,"")</f>
        <v>7</v>
      </c>
      <c r="Z187">
        <f>IF(AND('07-Paper Priority'!$A$12&gt;=MATCH($J187,'07-Paper Priority'!$B$5:$B$26,0),OR(AND($E187&lt;='07-Paper Priority'!$C$12,$F187&lt;='07-Paper Priority'!$D$12),AND($E187&lt;='07-Paper Priority'!$D$12,$F187&lt;='07-Paper Priority'!$C$12))),'07-Paper Priority'!$A$12,"")</f>
        <v>8</v>
      </c>
      <c r="AA187">
        <f>IF(AND('07-Paper Priority'!$A$13&gt;=MATCH($J187,'07-Paper Priority'!$B$5:$B$26,0),OR(AND($E187&lt;='07-Paper Priority'!$C$13,$F187&lt;='07-Paper Priority'!$D$13),AND($E187&lt;='07-Paper Priority'!$D$13,$F187&lt;='07-Paper Priority'!$C$13))),'07-Paper Priority'!$A$13,"")</f>
        <v>9</v>
      </c>
      <c r="AB187">
        <f>IF(AND('07-Paper Priority'!$A$14&gt;=MATCH($J187,'07-Paper Priority'!$B$5:$B$26,0),OR(AND($E187&lt;='07-Paper Priority'!$C$14,$F187&lt;='07-Paper Priority'!$D$14),AND($E187&lt;='07-Paper Priority'!$D$14,$F187&lt;='07-Paper Priority'!$C$14))),'07-Paper Priority'!$A$14,"")</f>
        <v>10</v>
      </c>
      <c r="AC187">
        <f>IF(AND('07-Paper Priority'!$A$15&gt;=MATCH($J187,'07-Paper Priority'!$B$5:$B$26,0),OR(AND($E187&lt;='07-Paper Priority'!$C$15,$F187&lt;='07-Paper Priority'!$D$15),AND($E187&lt;='07-Paper Priority'!$D$15,$F187&lt;='07-Paper Priority'!$C$15))),'07-Paper Priority'!$A$15,"")</f>
        <v>11</v>
      </c>
      <c r="AD187">
        <f>IF(AND('07-Paper Priority'!$A$16&gt;=MATCH($J187,'07-Paper Priority'!$B$5:$B$26,0),OR(AND($E187&lt;='07-Paper Priority'!$C$16,$F187&lt;='07-Paper Priority'!$D$16),AND($E187&lt;='07-Paper Priority'!$D$16,$F187&lt;='07-Paper Priority'!$C$16))),'07-Paper Priority'!$A$16,"")</f>
        <v>12</v>
      </c>
      <c r="AE187">
        <f>IF(AND('07-Paper Priority'!$A$17&gt;=MATCH($J187,'07-Paper Priority'!$B$5:$B$26,0),OR(AND($E187&lt;='07-Paper Priority'!$C$17,$F187&lt;='07-Paper Priority'!$D$17),AND($E187&lt;='07-Paper Priority'!$D$17,$F187&lt;='07-Paper Priority'!$C$17))),'07-Paper Priority'!$A$17,"")</f>
        <v>13</v>
      </c>
      <c r="AF187">
        <f>IF(AND('07-Paper Priority'!$A$18&gt;=MATCH($J187,'07-Paper Priority'!$B$5:$B$26,0),OR(AND($E187&lt;='07-Paper Priority'!$C$18,$F187&lt;='07-Paper Priority'!$D$18),AND($E187&lt;='07-Paper Priority'!$D$18,$F187&lt;='07-Paper Priority'!$C$18))),'07-Paper Priority'!$A$18,"")</f>
        <v>14</v>
      </c>
      <c r="AG187">
        <f>IF(AND('07-Paper Priority'!$A$19&gt;=MATCH($J187,'07-Paper Priority'!$B$5:$B$26,0),OR(AND($E187&lt;='07-Paper Priority'!$C$19,$F187&lt;='07-Paper Priority'!$D$19),AND($E187&lt;='07-Paper Priority'!$D$19,$F187&lt;='07-Paper Priority'!$C$19))),'07-Paper Priority'!$A$19,"")</f>
        <v>15</v>
      </c>
      <c r="AH187">
        <f>IF(AND('07-Paper Priority'!$A$20&gt;=MATCH($J187,'07-Paper Priority'!$B$5:$B$26,0),OR(AND($E187&lt;='07-Paper Priority'!$C$20,$F187&lt;='07-Paper Priority'!$D$20),AND($E187&lt;='07-Paper Priority'!$D$20,$F187&lt;='07-Paper Priority'!$C$20))),'07-Paper Priority'!$A$20,"")</f>
        <v>16</v>
      </c>
      <c r="AI187">
        <f>IF(AND('07-Paper Priority'!$A$21&gt;=MATCH($J187,'07-Paper Priority'!$B$5:$B$26,0),OR(AND($E187&lt;='07-Paper Priority'!$C$21,$F187&lt;='07-Paper Priority'!$D$21),AND($E187&lt;='07-Paper Priority'!$D$21,$F187&lt;='07-Paper Priority'!$C$21))),'07-Paper Priority'!$A$21,"")</f>
        <v>17</v>
      </c>
      <c r="AJ187">
        <f>IF(AND('07-Paper Priority'!$A$22&gt;=MATCH($J187,'07-Paper Priority'!$B$5:$B$26,0),OR(AND($E187&lt;='07-Paper Priority'!$C$22,$F187&lt;='07-Paper Priority'!$D$22),AND($E187&lt;='07-Paper Priority'!$D$22,$F187&lt;='07-Paper Priority'!$C$22))),'07-Paper Priority'!$A$22,"")</f>
        <v>18</v>
      </c>
      <c r="AK187">
        <f>IF(AND('07-Paper Priority'!$A$23&gt;=MATCH($J187,'07-Paper Priority'!$B$5:$B$26,0),OR(AND($E187&lt;='07-Paper Priority'!$C$23,$F187&lt;='07-Paper Priority'!$D$23),AND($E187&lt;='07-Paper Priority'!$D$23,$F187&lt;='07-Paper Priority'!$C$23))),'07-Paper Priority'!$A$23,"")</f>
        <v>19</v>
      </c>
      <c r="AL187">
        <f>IF(AND('07-Paper Priority'!$A$24&gt;=MATCH($J187,'07-Paper Priority'!$B$5:$B$26,0),OR(AND($E187&lt;='07-Paper Priority'!$C$24,$F187&lt;='07-Paper Priority'!$D$24),AND($E187&lt;='07-Paper Priority'!$D$24,$F187&lt;='07-Paper Priority'!$C$24))),'07-Paper Priority'!$A$24,"")</f>
        <v>20</v>
      </c>
      <c r="AM187">
        <f>IF(AND('07-Paper Priority'!$A$25&gt;=MATCH($J187,'07-Paper Priority'!$B$5:$B$26,0),OR(AND($E187&lt;='07-Paper Priority'!$C$25,$F187&lt;='07-Paper Priority'!$D$25),AND($E187&lt;='07-Paper Priority'!$D$25,$F187&lt;='07-Paper Priority'!$C$25))),'07-Paper Priority'!$A$25,"")</f>
        <v>21</v>
      </c>
      <c r="AN187">
        <f>IF(AND('07-Paper Priority'!$A$26&gt;=MATCH($J187,'07-Paper Priority'!$B$5:$B$26,0),OR(AND($E187&lt;='07-Paper Priority'!$C$26,$F187&lt;='07-Paper Priority'!$D$26),AND($E187&lt;='07-Paper Priority'!$D$26,$F187&lt;='07-Paper Priority'!$C$26))),'07-Paper Priority'!$A$26,"")</f>
        <v>22</v>
      </c>
    </row>
    <row r="188" spans="1:40" ht="33.950000000000003" customHeight="1">
      <c r="A188" s="22" t="s">
        <v>2692</v>
      </c>
      <c r="B188" s="22" t="s">
        <v>2548</v>
      </c>
      <c r="C188" s="22" t="s">
        <v>2693</v>
      </c>
      <c r="D188" s="22" t="s">
        <v>2694</v>
      </c>
      <c r="E188" s="23">
        <v>120</v>
      </c>
      <c r="F188" s="23">
        <v>150</v>
      </c>
      <c r="G188" s="22" t="s">
        <v>2642</v>
      </c>
      <c r="H188" s="22" t="s">
        <v>2695</v>
      </c>
      <c r="I188" s="24" t="s">
        <v>64</v>
      </c>
      <c r="J188" s="25" t="s">
        <v>578</v>
      </c>
      <c r="K188" s="26" t="str">
        <f>IF(COUNT(S188:AN188)=0,"NO FIT",INDEX('07-Paper Priority'!$B$5:$B$26,MIN(S188:AN188)))</f>
        <v>A5</v>
      </c>
      <c r="L188" s="26" t="str">
        <f>IF($K188="NO FIT","",IF(AND($E188&lt;=INDEX('07-Paper Priority'!$C$5:$C$26,MATCH($K188,'07-Paper Priority'!$B$5:$B$26,0)),$F188&lt;=INDEX('07-Paper Priority'!$D$5:$D$26,MATCH($K188,'07-Paper Priority'!$B$5:$B$26,0))),"PORTRAIT","ROTATED"))</f>
        <v>PORTRAIT</v>
      </c>
      <c r="M188" s="27">
        <f>IF($K188="NO FIT","",IF($L188="PORTRAIT",INDEX('07-Paper Priority'!$C$5:$C$26,MATCH($K188,'07-Paper Priority'!$B$5:$B$26,0)),INDEX('07-Paper Priority'!$D$5:$D$26,MATCH($K188,'07-Paper Priority'!$B$5:$B$26,0))))</f>
        <v>148</v>
      </c>
      <c r="N188" s="27">
        <f>IF($K188="NO FIT","",IF($L188="PORTRAIT",INDEX('07-Paper Priority'!$D$5:$D$26,MATCH($K188,'07-Paper Priority'!$B$5:$B$26,0)),INDEX('07-Paper Priority'!$C$5:$C$26,MATCH($K188,'07-Paper Priority'!$B$5:$B$26,0))))</f>
        <v>210</v>
      </c>
      <c r="O188" s="27">
        <f>IF($K188="NO FIT","",$M188-$E188)</f>
        <v>28</v>
      </c>
      <c r="P188" s="27">
        <f>IF($K188="NO FIT","",$N188-$F188)</f>
        <v>60</v>
      </c>
      <c r="Q188" s="28" t="str">
        <f>IF($K188="NO FIT","REVIEW - NO PAPER FIT",IF(OR($O188&lt;0,$P188&lt;0),"ERROR - FIT",IF(COUNTIF('02-Printing Size'!$A$2:$A$2169,$K188)=0,"ERROR - CODE MISSING","VALID - LOWEST PAPER")))</f>
        <v>VALID - LOWEST PAPER</v>
      </c>
      <c r="R188" s="22" t="s">
        <v>2696</v>
      </c>
      <c r="S188" t="str">
        <f>IF(AND('07-Paper Priority'!$A$5&gt;=MATCH($J188,'07-Paper Priority'!$B$5:$B$26,0),OR(AND($E188&lt;='07-Paper Priority'!$C$5,$F188&lt;='07-Paper Priority'!$D$5),AND($E188&lt;='07-Paper Priority'!$D$5,$F188&lt;='07-Paper Priority'!$C$5))),'07-Paper Priority'!$A$5,"")</f>
        <v/>
      </c>
      <c r="T188" t="str">
        <f>IF(AND('07-Paper Priority'!$A$6&gt;=MATCH($J188,'07-Paper Priority'!$B$5:$B$26,0),OR(AND($E188&lt;='07-Paper Priority'!$C$6,$F188&lt;='07-Paper Priority'!$D$6),AND($E188&lt;='07-Paper Priority'!$D$6,$F188&lt;='07-Paper Priority'!$C$6))),'07-Paper Priority'!$A$6,"")</f>
        <v/>
      </c>
      <c r="U188" t="str">
        <f>IF(AND('07-Paper Priority'!$A$7&gt;=MATCH($J188,'07-Paper Priority'!$B$5:$B$26,0),OR(AND($E188&lt;='07-Paper Priority'!$C$7,$F188&lt;='07-Paper Priority'!$D$7),AND($E188&lt;='07-Paper Priority'!$D$7,$F188&lt;='07-Paper Priority'!$C$7))),'07-Paper Priority'!$A$7,"")</f>
        <v/>
      </c>
      <c r="V188" t="str">
        <f>IF(AND('07-Paper Priority'!$A$8&gt;=MATCH($J188,'07-Paper Priority'!$B$5:$B$26,0),OR(AND($E188&lt;='07-Paper Priority'!$C$8,$F188&lt;='07-Paper Priority'!$D$8),AND($E188&lt;='07-Paper Priority'!$D$8,$F188&lt;='07-Paper Priority'!$C$8))),'07-Paper Priority'!$A$8,"")</f>
        <v/>
      </c>
      <c r="W188" t="str">
        <f>IF(AND('07-Paper Priority'!$A$9&gt;=MATCH($J188,'07-Paper Priority'!$B$5:$B$26,0),OR(AND($E188&lt;='07-Paper Priority'!$C$9,$F188&lt;='07-Paper Priority'!$D$9),AND($E188&lt;='07-Paper Priority'!$D$9,$F188&lt;='07-Paper Priority'!$C$9))),'07-Paper Priority'!$A$9,"")</f>
        <v/>
      </c>
      <c r="X188" t="str">
        <f>IF(AND('07-Paper Priority'!$A$10&gt;=MATCH($J188,'07-Paper Priority'!$B$5:$B$26,0),OR(AND($E188&lt;='07-Paper Priority'!$C$10,$F188&lt;='07-Paper Priority'!$D$10),AND($E188&lt;='07-Paper Priority'!$D$10,$F188&lt;='07-Paper Priority'!$C$10))),'07-Paper Priority'!$A$10,"")</f>
        <v/>
      </c>
      <c r="Y188" t="str">
        <f>IF(AND('07-Paper Priority'!$A$11&gt;=MATCH($J188,'07-Paper Priority'!$B$5:$B$26,0),OR(AND($E188&lt;='07-Paper Priority'!$C$11,$F188&lt;='07-Paper Priority'!$D$11),AND($E188&lt;='07-Paper Priority'!$D$11,$F188&lt;='07-Paper Priority'!$C$11))),'07-Paper Priority'!$A$11,"")</f>
        <v/>
      </c>
      <c r="Z188" t="str">
        <f>IF(AND('07-Paper Priority'!$A$12&gt;=MATCH($J188,'07-Paper Priority'!$B$5:$B$26,0),OR(AND($E188&lt;='07-Paper Priority'!$C$12,$F188&lt;='07-Paper Priority'!$D$12),AND($E188&lt;='07-Paper Priority'!$D$12,$F188&lt;='07-Paper Priority'!$C$12))),'07-Paper Priority'!$A$12,"")</f>
        <v/>
      </c>
      <c r="AA188" t="str">
        <f>IF(AND('07-Paper Priority'!$A$13&gt;=MATCH($J188,'07-Paper Priority'!$B$5:$B$26,0),OR(AND($E188&lt;='07-Paper Priority'!$C$13,$F188&lt;='07-Paper Priority'!$D$13),AND($E188&lt;='07-Paper Priority'!$D$13,$F188&lt;='07-Paper Priority'!$C$13))),'07-Paper Priority'!$A$13,"")</f>
        <v/>
      </c>
      <c r="AB188" t="str">
        <f>IF(AND('07-Paper Priority'!$A$14&gt;=MATCH($J188,'07-Paper Priority'!$B$5:$B$26,0),OR(AND($E188&lt;='07-Paper Priority'!$C$14,$F188&lt;='07-Paper Priority'!$D$14),AND($E188&lt;='07-Paper Priority'!$D$14,$F188&lt;='07-Paper Priority'!$C$14))),'07-Paper Priority'!$A$14,"")</f>
        <v/>
      </c>
      <c r="AC188">
        <f>IF(AND('07-Paper Priority'!$A$15&gt;=MATCH($J188,'07-Paper Priority'!$B$5:$B$26,0),OR(AND($E188&lt;='07-Paper Priority'!$C$15,$F188&lt;='07-Paper Priority'!$D$15),AND($E188&lt;='07-Paper Priority'!$D$15,$F188&lt;='07-Paper Priority'!$C$15))),'07-Paper Priority'!$A$15,"")</f>
        <v>11</v>
      </c>
      <c r="AD188">
        <f>IF(AND('07-Paper Priority'!$A$16&gt;=MATCH($J188,'07-Paper Priority'!$B$5:$B$26,0),OR(AND($E188&lt;='07-Paper Priority'!$C$16,$F188&lt;='07-Paper Priority'!$D$16),AND($E188&lt;='07-Paper Priority'!$D$16,$F188&lt;='07-Paper Priority'!$C$16))),'07-Paper Priority'!$A$16,"")</f>
        <v>12</v>
      </c>
      <c r="AE188">
        <f>IF(AND('07-Paper Priority'!$A$17&gt;=MATCH($J188,'07-Paper Priority'!$B$5:$B$26,0),OR(AND($E188&lt;='07-Paper Priority'!$C$17,$F188&lt;='07-Paper Priority'!$D$17),AND($E188&lt;='07-Paper Priority'!$D$17,$F188&lt;='07-Paper Priority'!$C$17))),'07-Paper Priority'!$A$17,"")</f>
        <v>13</v>
      </c>
      <c r="AF188">
        <f>IF(AND('07-Paper Priority'!$A$18&gt;=MATCH($J188,'07-Paper Priority'!$B$5:$B$26,0),OR(AND($E188&lt;='07-Paper Priority'!$C$18,$F188&lt;='07-Paper Priority'!$D$18),AND($E188&lt;='07-Paper Priority'!$D$18,$F188&lt;='07-Paper Priority'!$C$18))),'07-Paper Priority'!$A$18,"")</f>
        <v>14</v>
      </c>
      <c r="AG188">
        <f>IF(AND('07-Paper Priority'!$A$19&gt;=MATCH($J188,'07-Paper Priority'!$B$5:$B$26,0),OR(AND($E188&lt;='07-Paper Priority'!$C$19,$F188&lt;='07-Paper Priority'!$D$19),AND($E188&lt;='07-Paper Priority'!$D$19,$F188&lt;='07-Paper Priority'!$C$19))),'07-Paper Priority'!$A$19,"")</f>
        <v>15</v>
      </c>
      <c r="AH188">
        <f>IF(AND('07-Paper Priority'!$A$20&gt;=MATCH($J188,'07-Paper Priority'!$B$5:$B$26,0),OR(AND($E188&lt;='07-Paper Priority'!$C$20,$F188&lt;='07-Paper Priority'!$D$20),AND($E188&lt;='07-Paper Priority'!$D$20,$F188&lt;='07-Paper Priority'!$C$20))),'07-Paper Priority'!$A$20,"")</f>
        <v>16</v>
      </c>
      <c r="AI188">
        <f>IF(AND('07-Paper Priority'!$A$21&gt;=MATCH($J188,'07-Paper Priority'!$B$5:$B$26,0),OR(AND($E188&lt;='07-Paper Priority'!$C$21,$F188&lt;='07-Paper Priority'!$D$21),AND($E188&lt;='07-Paper Priority'!$D$21,$F188&lt;='07-Paper Priority'!$C$21))),'07-Paper Priority'!$A$21,"")</f>
        <v>17</v>
      </c>
      <c r="AJ188">
        <f>IF(AND('07-Paper Priority'!$A$22&gt;=MATCH($J188,'07-Paper Priority'!$B$5:$B$26,0),OR(AND($E188&lt;='07-Paper Priority'!$C$22,$F188&lt;='07-Paper Priority'!$D$22),AND($E188&lt;='07-Paper Priority'!$D$22,$F188&lt;='07-Paper Priority'!$C$22))),'07-Paper Priority'!$A$22,"")</f>
        <v>18</v>
      </c>
      <c r="AK188">
        <f>IF(AND('07-Paper Priority'!$A$23&gt;=MATCH($J188,'07-Paper Priority'!$B$5:$B$26,0),OR(AND($E188&lt;='07-Paper Priority'!$C$23,$F188&lt;='07-Paper Priority'!$D$23),AND($E188&lt;='07-Paper Priority'!$D$23,$F188&lt;='07-Paper Priority'!$C$23))),'07-Paper Priority'!$A$23,"")</f>
        <v>19</v>
      </c>
      <c r="AL188">
        <f>IF(AND('07-Paper Priority'!$A$24&gt;=MATCH($J188,'07-Paper Priority'!$B$5:$B$26,0),OR(AND($E188&lt;='07-Paper Priority'!$C$24,$F188&lt;='07-Paper Priority'!$D$24),AND($E188&lt;='07-Paper Priority'!$D$24,$F188&lt;='07-Paper Priority'!$C$24))),'07-Paper Priority'!$A$24,"")</f>
        <v>20</v>
      </c>
      <c r="AM188">
        <f>IF(AND('07-Paper Priority'!$A$25&gt;=MATCH($J188,'07-Paper Priority'!$B$5:$B$26,0),OR(AND($E188&lt;='07-Paper Priority'!$C$25,$F188&lt;='07-Paper Priority'!$D$25),AND($E188&lt;='07-Paper Priority'!$D$25,$F188&lt;='07-Paper Priority'!$C$25))),'07-Paper Priority'!$A$25,"")</f>
        <v>21</v>
      </c>
      <c r="AN188">
        <f>IF(AND('07-Paper Priority'!$A$26&gt;=MATCH($J188,'07-Paper Priority'!$B$5:$B$26,0),OR(AND($E188&lt;='07-Paper Priority'!$C$26,$F188&lt;='07-Paper Priority'!$D$26),AND($E188&lt;='07-Paper Priority'!$D$26,$F188&lt;='07-Paper Priority'!$C$26))),'07-Paper Priority'!$A$26,"")</f>
        <v>22</v>
      </c>
    </row>
    <row r="189" spans="1:40" ht="33.950000000000003" customHeight="1">
      <c r="A189" s="22" t="s">
        <v>2697</v>
      </c>
      <c r="B189" s="22" t="s">
        <v>2548</v>
      </c>
      <c r="C189" s="22" t="s">
        <v>2693</v>
      </c>
      <c r="D189" s="22" t="s">
        <v>2694</v>
      </c>
      <c r="E189" s="23">
        <v>120</v>
      </c>
      <c r="F189" s="23">
        <v>150</v>
      </c>
      <c r="G189" s="22" t="s">
        <v>2656</v>
      </c>
      <c r="H189" s="22" t="s">
        <v>2698</v>
      </c>
      <c r="I189" s="24" t="s">
        <v>64</v>
      </c>
      <c r="J189" s="25" t="s">
        <v>578</v>
      </c>
      <c r="K189" s="26" t="str">
        <f>IF(COUNT(S189:AN189)=0,"NO FIT",INDEX('07-Paper Priority'!$B$5:$B$26,MIN(S189:AN189)))</f>
        <v>A5</v>
      </c>
      <c r="L189" s="26" t="str">
        <f>IF($K189="NO FIT","",IF(AND($E189&lt;=INDEX('07-Paper Priority'!$C$5:$C$26,MATCH($K189,'07-Paper Priority'!$B$5:$B$26,0)),$F189&lt;=INDEX('07-Paper Priority'!$D$5:$D$26,MATCH($K189,'07-Paper Priority'!$B$5:$B$26,0))),"PORTRAIT","ROTATED"))</f>
        <v>PORTRAIT</v>
      </c>
      <c r="M189" s="27">
        <f>IF($K189="NO FIT","",IF($L189="PORTRAIT",INDEX('07-Paper Priority'!$C$5:$C$26,MATCH($K189,'07-Paper Priority'!$B$5:$B$26,0)),INDEX('07-Paper Priority'!$D$5:$D$26,MATCH($K189,'07-Paper Priority'!$B$5:$B$26,0))))</f>
        <v>148</v>
      </c>
      <c r="N189" s="27">
        <f>IF($K189="NO FIT","",IF($L189="PORTRAIT",INDEX('07-Paper Priority'!$D$5:$D$26,MATCH($K189,'07-Paper Priority'!$B$5:$B$26,0)),INDEX('07-Paper Priority'!$C$5:$C$26,MATCH($K189,'07-Paper Priority'!$B$5:$B$26,0))))</f>
        <v>210</v>
      </c>
      <c r="O189" s="27">
        <f>IF($K189="NO FIT","",$M189-$E189)</f>
        <v>28</v>
      </c>
      <c r="P189" s="27">
        <f>IF($K189="NO FIT","",$N189-$F189)</f>
        <v>60</v>
      </c>
      <c r="Q189" s="28" t="str">
        <f>IF($K189="NO FIT","REVIEW - NO PAPER FIT",IF(OR($O189&lt;0,$P189&lt;0),"ERROR - FIT",IF(COUNTIF('02-Printing Size'!$A$2:$A$2169,$K189)=0,"ERROR - CODE MISSING","VALID - LOWEST PAPER")))</f>
        <v>VALID - LOWEST PAPER</v>
      </c>
      <c r="R189" s="22" t="s">
        <v>2696</v>
      </c>
      <c r="S189" t="str">
        <f>IF(AND('07-Paper Priority'!$A$5&gt;=MATCH($J189,'07-Paper Priority'!$B$5:$B$26,0),OR(AND($E189&lt;='07-Paper Priority'!$C$5,$F189&lt;='07-Paper Priority'!$D$5),AND($E189&lt;='07-Paper Priority'!$D$5,$F189&lt;='07-Paper Priority'!$C$5))),'07-Paper Priority'!$A$5,"")</f>
        <v/>
      </c>
      <c r="T189" t="str">
        <f>IF(AND('07-Paper Priority'!$A$6&gt;=MATCH($J189,'07-Paper Priority'!$B$5:$B$26,0),OR(AND($E189&lt;='07-Paper Priority'!$C$6,$F189&lt;='07-Paper Priority'!$D$6),AND($E189&lt;='07-Paper Priority'!$D$6,$F189&lt;='07-Paper Priority'!$C$6))),'07-Paper Priority'!$A$6,"")</f>
        <v/>
      </c>
      <c r="U189" t="str">
        <f>IF(AND('07-Paper Priority'!$A$7&gt;=MATCH($J189,'07-Paper Priority'!$B$5:$B$26,0),OR(AND($E189&lt;='07-Paper Priority'!$C$7,$F189&lt;='07-Paper Priority'!$D$7),AND($E189&lt;='07-Paper Priority'!$D$7,$F189&lt;='07-Paper Priority'!$C$7))),'07-Paper Priority'!$A$7,"")</f>
        <v/>
      </c>
      <c r="V189" t="str">
        <f>IF(AND('07-Paper Priority'!$A$8&gt;=MATCH($J189,'07-Paper Priority'!$B$5:$B$26,0),OR(AND($E189&lt;='07-Paper Priority'!$C$8,$F189&lt;='07-Paper Priority'!$D$8),AND($E189&lt;='07-Paper Priority'!$D$8,$F189&lt;='07-Paper Priority'!$C$8))),'07-Paper Priority'!$A$8,"")</f>
        <v/>
      </c>
      <c r="W189" t="str">
        <f>IF(AND('07-Paper Priority'!$A$9&gt;=MATCH($J189,'07-Paper Priority'!$B$5:$B$26,0),OR(AND($E189&lt;='07-Paper Priority'!$C$9,$F189&lt;='07-Paper Priority'!$D$9),AND($E189&lt;='07-Paper Priority'!$D$9,$F189&lt;='07-Paper Priority'!$C$9))),'07-Paper Priority'!$A$9,"")</f>
        <v/>
      </c>
      <c r="X189" t="str">
        <f>IF(AND('07-Paper Priority'!$A$10&gt;=MATCH($J189,'07-Paper Priority'!$B$5:$B$26,0),OR(AND($E189&lt;='07-Paper Priority'!$C$10,$F189&lt;='07-Paper Priority'!$D$10),AND($E189&lt;='07-Paper Priority'!$D$10,$F189&lt;='07-Paper Priority'!$C$10))),'07-Paper Priority'!$A$10,"")</f>
        <v/>
      </c>
      <c r="Y189" t="str">
        <f>IF(AND('07-Paper Priority'!$A$11&gt;=MATCH($J189,'07-Paper Priority'!$B$5:$B$26,0),OR(AND($E189&lt;='07-Paper Priority'!$C$11,$F189&lt;='07-Paper Priority'!$D$11),AND($E189&lt;='07-Paper Priority'!$D$11,$F189&lt;='07-Paper Priority'!$C$11))),'07-Paper Priority'!$A$11,"")</f>
        <v/>
      </c>
      <c r="Z189" t="str">
        <f>IF(AND('07-Paper Priority'!$A$12&gt;=MATCH($J189,'07-Paper Priority'!$B$5:$B$26,0),OR(AND($E189&lt;='07-Paper Priority'!$C$12,$F189&lt;='07-Paper Priority'!$D$12),AND($E189&lt;='07-Paper Priority'!$D$12,$F189&lt;='07-Paper Priority'!$C$12))),'07-Paper Priority'!$A$12,"")</f>
        <v/>
      </c>
      <c r="AA189" t="str">
        <f>IF(AND('07-Paper Priority'!$A$13&gt;=MATCH($J189,'07-Paper Priority'!$B$5:$B$26,0),OR(AND($E189&lt;='07-Paper Priority'!$C$13,$F189&lt;='07-Paper Priority'!$D$13),AND($E189&lt;='07-Paper Priority'!$D$13,$F189&lt;='07-Paper Priority'!$C$13))),'07-Paper Priority'!$A$13,"")</f>
        <v/>
      </c>
      <c r="AB189" t="str">
        <f>IF(AND('07-Paper Priority'!$A$14&gt;=MATCH($J189,'07-Paper Priority'!$B$5:$B$26,0),OR(AND($E189&lt;='07-Paper Priority'!$C$14,$F189&lt;='07-Paper Priority'!$D$14),AND($E189&lt;='07-Paper Priority'!$D$14,$F189&lt;='07-Paper Priority'!$C$14))),'07-Paper Priority'!$A$14,"")</f>
        <v/>
      </c>
      <c r="AC189">
        <f>IF(AND('07-Paper Priority'!$A$15&gt;=MATCH($J189,'07-Paper Priority'!$B$5:$B$26,0),OR(AND($E189&lt;='07-Paper Priority'!$C$15,$F189&lt;='07-Paper Priority'!$D$15),AND($E189&lt;='07-Paper Priority'!$D$15,$F189&lt;='07-Paper Priority'!$C$15))),'07-Paper Priority'!$A$15,"")</f>
        <v>11</v>
      </c>
      <c r="AD189">
        <f>IF(AND('07-Paper Priority'!$A$16&gt;=MATCH($J189,'07-Paper Priority'!$B$5:$B$26,0),OR(AND($E189&lt;='07-Paper Priority'!$C$16,$F189&lt;='07-Paper Priority'!$D$16),AND($E189&lt;='07-Paper Priority'!$D$16,$F189&lt;='07-Paper Priority'!$C$16))),'07-Paper Priority'!$A$16,"")</f>
        <v>12</v>
      </c>
      <c r="AE189">
        <f>IF(AND('07-Paper Priority'!$A$17&gt;=MATCH($J189,'07-Paper Priority'!$B$5:$B$26,0),OR(AND($E189&lt;='07-Paper Priority'!$C$17,$F189&lt;='07-Paper Priority'!$D$17),AND($E189&lt;='07-Paper Priority'!$D$17,$F189&lt;='07-Paper Priority'!$C$17))),'07-Paper Priority'!$A$17,"")</f>
        <v>13</v>
      </c>
      <c r="AF189">
        <f>IF(AND('07-Paper Priority'!$A$18&gt;=MATCH($J189,'07-Paper Priority'!$B$5:$B$26,0),OR(AND($E189&lt;='07-Paper Priority'!$C$18,$F189&lt;='07-Paper Priority'!$D$18),AND($E189&lt;='07-Paper Priority'!$D$18,$F189&lt;='07-Paper Priority'!$C$18))),'07-Paper Priority'!$A$18,"")</f>
        <v>14</v>
      </c>
      <c r="AG189">
        <f>IF(AND('07-Paper Priority'!$A$19&gt;=MATCH($J189,'07-Paper Priority'!$B$5:$B$26,0),OR(AND($E189&lt;='07-Paper Priority'!$C$19,$F189&lt;='07-Paper Priority'!$D$19),AND($E189&lt;='07-Paper Priority'!$D$19,$F189&lt;='07-Paper Priority'!$C$19))),'07-Paper Priority'!$A$19,"")</f>
        <v>15</v>
      </c>
      <c r="AH189">
        <f>IF(AND('07-Paper Priority'!$A$20&gt;=MATCH($J189,'07-Paper Priority'!$B$5:$B$26,0),OR(AND($E189&lt;='07-Paper Priority'!$C$20,$F189&lt;='07-Paper Priority'!$D$20),AND($E189&lt;='07-Paper Priority'!$D$20,$F189&lt;='07-Paper Priority'!$C$20))),'07-Paper Priority'!$A$20,"")</f>
        <v>16</v>
      </c>
      <c r="AI189">
        <f>IF(AND('07-Paper Priority'!$A$21&gt;=MATCH($J189,'07-Paper Priority'!$B$5:$B$26,0),OR(AND($E189&lt;='07-Paper Priority'!$C$21,$F189&lt;='07-Paper Priority'!$D$21),AND($E189&lt;='07-Paper Priority'!$D$21,$F189&lt;='07-Paper Priority'!$C$21))),'07-Paper Priority'!$A$21,"")</f>
        <v>17</v>
      </c>
      <c r="AJ189">
        <f>IF(AND('07-Paper Priority'!$A$22&gt;=MATCH($J189,'07-Paper Priority'!$B$5:$B$26,0),OR(AND($E189&lt;='07-Paper Priority'!$C$22,$F189&lt;='07-Paper Priority'!$D$22),AND($E189&lt;='07-Paper Priority'!$D$22,$F189&lt;='07-Paper Priority'!$C$22))),'07-Paper Priority'!$A$22,"")</f>
        <v>18</v>
      </c>
      <c r="AK189">
        <f>IF(AND('07-Paper Priority'!$A$23&gt;=MATCH($J189,'07-Paper Priority'!$B$5:$B$26,0),OR(AND($E189&lt;='07-Paper Priority'!$C$23,$F189&lt;='07-Paper Priority'!$D$23),AND($E189&lt;='07-Paper Priority'!$D$23,$F189&lt;='07-Paper Priority'!$C$23))),'07-Paper Priority'!$A$23,"")</f>
        <v>19</v>
      </c>
      <c r="AL189">
        <f>IF(AND('07-Paper Priority'!$A$24&gt;=MATCH($J189,'07-Paper Priority'!$B$5:$B$26,0),OR(AND($E189&lt;='07-Paper Priority'!$C$24,$F189&lt;='07-Paper Priority'!$D$24),AND($E189&lt;='07-Paper Priority'!$D$24,$F189&lt;='07-Paper Priority'!$C$24))),'07-Paper Priority'!$A$24,"")</f>
        <v>20</v>
      </c>
      <c r="AM189">
        <f>IF(AND('07-Paper Priority'!$A$25&gt;=MATCH($J189,'07-Paper Priority'!$B$5:$B$26,0),OR(AND($E189&lt;='07-Paper Priority'!$C$25,$F189&lt;='07-Paper Priority'!$D$25),AND($E189&lt;='07-Paper Priority'!$D$25,$F189&lt;='07-Paper Priority'!$C$25))),'07-Paper Priority'!$A$25,"")</f>
        <v>21</v>
      </c>
      <c r="AN189">
        <f>IF(AND('07-Paper Priority'!$A$26&gt;=MATCH($J189,'07-Paper Priority'!$B$5:$B$26,0),OR(AND($E189&lt;='07-Paper Priority'!$C$26,$F189&lt;='07-Paper Priority'!$D$26),AND($E189&lt;='07-Paper Priority'!$D$26,$F189&lt;='07-Paper Priority'!$C$26))),'07-Paper Priority'!$A$26,"")</f>
        <v>22</v>
      </c>
    </row>
    <row r="190" spans="1:40" ht="33.950000000000003" customHeight="1">
      <c r="A190" s="29" t="s">
        <v>2699</v>
      </c>
      <c r="B190" s="29" t="s">
        <v>2700</v>
      </c>
      <c r="C190" s="29" t="s">
        <v>2549</v>
      </c>
      <c r="D190" s="29" t="s">
        <v>2611</v>
      </c>
      <c r="E190" s="16">
        <v>100</v>
      </c>
      <c r="F190" s="16">
        <v>100</v>
      </c>
      <c r="G190" s="29" t="s">
        <v>2659</v>
      </c>
      <c r="H190" s="29" t="s">
        <v>2701</v>
      </c>
      <c r="I190" s="17" t="s">
        <v>2553</v>
      </c>
      <c r="J190" s="18" t="s">
        <v>652</v>
      </c>
      <c r="K190" s="19" t="str">
        <f>IF(COUNT(S190:AN190)=0,"NO FIT",INDEX('07-Paper Priority'!$B$5:$B$26,MIN(S190:AN190)))</f>
        <v>A6</v>
      </c>
      <c r="L190" s="19" t="str">
        <f>IF($K190="NO FIT","",IF(AND($E190&lt;=INDEX('07-Paper Priority'!$C$5:$C$26,MATCH($K190,'07-Paper Priority'!$B$5:$B$26,0)),$F190&lt;=INDEX('07-Paper Priority'!$D$5:$D$26,MATCH($K190,'07-Paper Priority'!$B$5:$B$26,0))),"PORTRAIT","ROTATED"))</f>
        <v>PORTRAIT</v>
      </c>
      <c r="M190" s="20">
        <f>IF($K190="NO FIT","",IF($L190="PORTRAIT",INDEX('07-Paper Priority'!$C$5:$C$26,MATCH($K190,'07-Paper Priority'!$B$5:$B$26,0)),INDEX('07-Paper Priority'!$D$5:$D$26,MATCH($K190,'07-Paper Priority'!$B$5:$B$26,0))))</f>
        <v>105</v>
      </c>
      <c r="N190" s="20">
        <f>IF($K190="NO FIT","",IF($L190="PORTRAIT",INDEX('07-Paper Priority'!$D$5:$D$26,MATCH($K190,'07-Paper Priority'!$B$5:$B$26,0)),INDEX('07-Paper Priority'!$C$5:$C$26,MATCH($K190,'07-Paper Priority'!$B$5:$B$26,0))))</f>
        <v>148</v>
      </c>
      <c r="O190" s="20">
        <f>IF($K190="NO FIT","",$M190-$E190)</f>
        <v>5</v>
      </c>
      <c r="P190" s="20">
        <f>IF($K190="NO FIT","",$N190-$F190)</f>
        <v>48</v>
      </c>
      <c r="Q190" s="21" t="str">
        <f>IF($K190="NO FIT","REVIEW - NO PAPER FIT",IF(OR($O190&lt;0,$P190&lt;0),"ERROR - FIT",IF(COUNTIF('02-Printing Size'!$A$2:$A$2169,$K190)=0,"ERROR - CODE MISSING","VALID - LOWEST PAPER")))</f>
        <v>VALID - LOWEST PAPER</v>
      </c>
      <c r="R190" s="29" t="s">
        <v>2702</v>
      </c>
      <c r="S190" t="str">
        <f>IF(AND('07-Paper Priority'!$A$5&gt;=MATCH($J190,'07-Paper Priority'!$B$5:$B$26,0),OR(AND($E190&lt;='07-Paper Priority'!$C$5,$F190&lt;='07-Paper Priority'!$D$5),AND($E190&lt;='07-Paper Priority'!$D$5,$F190&lt;='07-Paper Priority'!$C$5))),'07-Paper Priority'!$A$5,"")</f>
        <v/>
      </c>
      <c r="T190" t="str">
        <f>IF(AND('07-Paper Priority'!$A$6&gt;=MATCH($J190,'07-Paper Priority'!$B$5:$B$26,0),OR(AND($E190&lt;='07-Paper Priority'!$C$6,$F190&lt;='07-Paper Priority'!$D$6),AND($E190&lt;='07-Paper Priority'!$D$6,$F190&lt;='07-Paper Priority'!$C$6))),'07-Paper Priority'!$A$6,"")</f>
        <v/>
      </c>
      <c r="U190" t="str">
        <f>IF(AND('07-Paper Priority'!$A$7&gt;=MATCH($J190,'07-Paper Priority'!$B$5:$B$26,0),OR(AND($E190&lt;='07-Paper Priority'!$C$7,$F190&lt;='07-Paper Priority'!$D$7),AND($E190&lt;='07-Paper Priority'!$D$7,$F190&lt;='07-Paper Priority'!$C$7))),'07-Paper Priority'!$A$7,"")</f>
        <v/>
      </c>
      <c r="V190" t="str">
        <f>IF(AND('07-Paper Priority'!$A$8&gt;=MATCH($J190,'07-Paper Priority'!$B$5:$B$26,0),OR(AND($E190&lt;='07-Paper Priority'!$C$8,$F190&lt;='07-Paper Priority'!$D$8),AND($E190&lt;='07-Paper Priority'!$D$8,$F190&lt;='07-Paper Priority'!$C$8))),'07-Paper Priority'!$A$8,"")</f>
        <v/>
      </c>
      <c r="W190" t="str">
        <f>IF(AND('07-Paper Priority'!$A$9&gt;=MATCH($J190,'07-Paper Priority'!$B$5:$B$26,0),OR(AND($E190&lt;='07-Paper Priority'!$C$9,$F190&lt;='07-Paper Priority'!$D$9),AND($E190&lt;='07-Paper Priority'!$D$9,$F190&lt;='07-Paper Priority'!$C$9))),'07-Paper Priority'!$A$9,"")</f>
        <v/>
      </c>
      <c r="X190" t="str">
        <f>IF(AND('07-Paper Priority'!$A$10&gt;=MATCH($J190,'07-Paper Priority'!$B$5:$B$26,0),OR(AND($E190&lt;='07-Paper Priority'!$C$10,$F190&lt;='07-Paper Priority'!$D$10),AND($E190&lt;='07-Paper Priority'!$D$10,$F190&lt;='07-Paper Priority'!$C$10))),'07-Paper Priority'!$A$10,"")</f>
        <v/>
      </c>
      <c r="Y190" t="str">
        <f>IF(AND('07-Paper Priority'!$A$11&gt;=MATCH($J190,'07-Paper Priority'!$B$5:$B$26,0),OR(AND($E190&lt;='07-Paper Priority'!$C$11,$F190&lt;='07-Paper Priority'!$D$11),AND($E190&lt;='07-Paper Priority'!$D$11,$F190&lt;='07-Paper Priority'!$C$11))),'07-Paper Priority'!$A$11,"")</f>
        <v/>
      </c>
      <c r="Z190" t="str">
        <f>IF(AND('07-Paper Priority'!$A$12&gt;=MATCH($J190,'07-Paper Priority'!$B$5:$B$26,0),OR(AND($E190&lt;='07-Paper Priority'!$C$12,$F190&lt;='07-Paper Priority'!$D$12),AND($E190&lt;='07-Paper Priority'!$D$12,$F190&lt;='07-Paper Priority'!$C$12))),'07-Paper Priority'!$A$12,"")</f>
        <v/>
      </c>
      <c r="AA190">
        <f>IF(AND('07-Paper Priority'!$A$13&gt;=MATCH($J190,'07-Paper Priority'!$B$5:$B$26,0),OR(AND($E190&lt;='07-Paper Priority'!$C$13,$F190&lt;='07-Paper Priority'!$D$13),AND($E190&lt;='07-Paper Priority'!$D$13,$F190&lt;='07-Paper Priority'!$C$13))),'07-Paper Priority'!$A$13,"")</f>
        <v>9</v>
      </c>
      <c r="AB190">
        <f>IF(AND('07-Paper Priority'!$A$14&gt;=MATCH($J190,'07-Paper Priority'!$B$5:$B$26,0),OR(AND($E190&lt;='07-Paper Priority'!$C$14,$F190&lt;='07-Paper Priority'!$D$14),AND($E190&lt;='07-Paper Priority'!$D$14,$F190&lt;='07-Paper Priority'!$C$14))),'07-Paper Priority'!$A$14,"")</f>
        <v>10</v>
      </c>
      <c r="AC190">
        <f>IF(AND('07-Paper Priority'!$A$15&gt;=MATCH($J190,'07-Paper Priority'!$B$5:$B$26,0),OR(AND($E190&lt;='07-Paper Priority'!$C$15,$F190&lt;='07-Paper Priority'!$D$15),AND($E190&lt;='07-Paper Priority'!$D$15,$F190&lt;='07-Paper Priority'!$C$15))),'07-Paper Priority'!$A$15,"")</f>
        <v>11</v>
      </c>
      <c r="AD190">
        <f>IF(AND('07-Paper Priority'!$A$16&gt;=MATCH($J190,'07-Paper Priority'!$B$5:$B$26,0),OR(AND($E190&lt;='07-Paper Priority'!$C$16,$F190&lt;='07-Paper Priority'!$D$16),AND($E190&lt;='07-Paper Priority'!$D$16,$F190&lt;='07-Paper Priority'!$C$16))),'07-Paper Priority'!$A$16,"")</f>
        <v>12</v>
      </c>
      <c r="AE190">
        <f>IF(AND('07-Paper Priority'!$A$17&gt;=MATCH($J190,'07-Paper Priority'!$B$5:$B$26,0),OR(AND($E190&lt;='07-Paper Priority'!$C$17,$F190&lt;='07-Paper Priority'!$D$17),AND($E190&lt;='07-Paper Priority'!$D$17,$F190&lt;='07-Paper Priority'!$C$17))),'07-Paper Priority'!$A$17,"")</f>
        <v>13</v>
      </c>
      <c r="AF190">
        <f>IF(AND('07-Paper Priority'!$A$18&gt;=MATCH($J190,'07-Paper Priority'!$B$5:$B$26,0),OR(AND($E190&lt;='07-Paper Priority'!$C$18,$F190&lt;='07-Paper Priority'!$D$18),AND($E190&lt;='07-Paper Priority'!$D$18,$F190&lt;='07-Paper Priority'!$C$18))),'07-Paper Priority'!$A$18,"")</f>
        <v>14</v>
      </c>
      <c r="AG190">
        <f>IF(AND('07-Paper Priority'!$A$19&gt;=MATCH($J190,'07-Paper Priority'!$B$5:$B$26,0),OR(AND($E190&lt;='07-Paper Priority'!$C$19,$F190&lt;='07-Paper Priority'!$D$19),AND($E190&lt;='07-Paper Priority'!$D$19,$F190&lt;='07-Paper Priority'!$C$19))),'07-Paper Priority'!$A$19,"")</f>
        <v>15</v>
      </c>
      <c r="AH190">
        <f>IF(AND('07-Paper Priority'!$A$20&gt;=MATCH($J190,'07-Paper Priority'!$B$5:$B$26,0),OR(AND($E190&lt;='07-Paper Priority'!$C$20,$F190&lt;='07-Paper Priority'!$D$20),AND($E190&lt;='07-Paper Priority'!$D$20,$F190&lt;='07-Paper Priority'!$C$20))),'07-Paper Priority'!$A$20,"")</f>
        <v>16</v>
      </c>
      <c r="AI190">
        <f>IF(AND('07-Paper Priority'!$A$21&gt;=MATCH($J190,'07-Paper Priority'!$B$5:$B$26,0),OR(AND($E190&lt;='07-Paper Priority'!$C$21,$F190&lt;='07-Paper Priority'!$D$21),AND($E190&lt;='07-Paper Priority'!$D$21,$F190&lt;='07-Paper Priority'!$C$21))),'07-Paper Priority'!$A$21,"")</f>
        <v>17</v>
      </c>
      <c r="AJ190">
        <f>IF(AND('07-Paper Priority'!$A$22&gt;=MATCH($J190,'07-Paper Priority'!$B$5:$B$26,0),OR(AND($E190&lt;='07-Paper Priority'!$C$22,$F190&lt;='07-Paper Priority'!$D$22),AND($E190&lt;='07-Paper Priority'!$D$22,$F190&lt;='07-Paper Priority'!$C$22))),'07-Paper Priority'!$A$22,"")</f>
        <v>18</v>
      </c>
      <c r="AK190">
        <f>IF(AND('07-Paper Priority'!$A$23&gt;=MATCH($J190,'07-Paper Priority'!$B$5:$B$26,0),OR(AND($E190&lt;='07-Paper Priority'!$C$23,$F190&lt;='07-Paper Priority'!$D$23),AND($E190&lt;='07-Paper Priority'!$D$23,$F190&lt;='07-Paper Priority'!$C$23))),'07-Paper Priority'!$A$23,"")</f>
        <v>19</v>
      </c>
      <c r="AL190">
        <f>IF(AND('07-Paper Priority'!$A$24&gt;=MATCH($J190,'07-Paper Priority'!$B$5:$B$26,0),OR(AND($E190&lt;='07-Paper Priority'!$C$24,$F190&lt;='07-Paper Priority'!$D$24),AND($E190&lt;='07-Paper Priority'!$D$24,$F190&lt;='07-Paper Priority'!$C$24))),'07-Paper Priority'!$A$24,"")</f>
        <v>20</v>
      </c>
      <c r="AM190">
        <f>IF(AND('07-Paper Priority'!$A$25&gt;=MATCH($J190,'07-Paper Priority'!$B$5:$B$26,0),OR(AND($E190&lt;='07-Paper Priority'!$C$25,$F190&lt;='07-Paper Priority'!$D$25),AND($E190&lt;='07-Paper Priority'!$D$25,$F190&lt;='07-Paper Priority'!$C$25))),'07-Paper Priority'!$A$25,"")</f>
        <v>21</v>
      </c>
      <c r="AN190">
        <f>IF(AND('07-Paper Priority'!$A$26&gt;=MATCH($J190,'07-Paper Priority'!$B$5:$B$26,0),OR(AND($E190&lt;='07-Paper Priority'!$C$26,$F190&lt;='07-Paper Priority'!$D$26),AND($E190&lt;='07-Paper Priority'!$D$26,$F190&lt;='07-Paper Priority'!$C$26))),'07-Paper Priority'!$A$26,"")</f>
        <v>22</v>
      </c>
    </row>
    <row r="191" spans="1:40" ht="33.950000000000003" customHeight="1">
      <c r="A191" s="30" t="s">
        <v>2703</v>
      </c>
      <c r="B191" s="30" t="s">
        <v>2700</v>
      </c>
      <c r="C191" s="30" t="s">
        <v>2549</v>
      </c>
      <c r="D191" s="30" t="s">
        <v>2611</v>
      </c>
      <c r="E191" s="23">
        <v>100</v>
      </c>
      <c r="F191" s="23">
        <v>100</v>
      </c>
      <c r="G191" s="30" t="s">
        <v>2556</v>
      </c>
      <c r="H191" s="30" t="s">
        <v>2704</v>
      </c>
      <c r="I191" s="24" t="s">
        <v>2558</v>
      </c>
      <c r="J191" s="25" t="s">
        <v>652</v>
      </c>
      <c r="K191" s="26" t="str">
        <f>IF(COUNT(S191:AN191)=0,"NO FIT",INDEX('07-Paper Priority'!$B$5:$B$26,MIN(S191:AN191)))</f>
        <v>A6</v>
      </c>
      <c r="L191" s="26" t="str">
        <f>IF($K191="NO FIT","",IF(AND($E191&lt;=INDEX('07-Paper Priority'!$C$5:$C$26,MATCH($K191,'07-Paper Priority'!$B$5:$B$26,0)),$F191&lt;=INDEX('07-Paper Priority'!$D$5:$D$26,MATCH($K191,'07-Paper Priority'!$B$5:$B$26,0))),"PORTRAIT","ROTATED"))</f>
        <v>PORTRAIT</v>
      </c>
      <c r="M191" s="27">
        <f>IF($K191="NO FIT","",IF($L191="PORTRAIT",INDEX('07-Paper Priority'!$C$5:$C$26,MATCH($K191,'07-Paper Priority'!$B$5:$B$26,0)),INDEX('07-Paper Priority'!$D$5:$D$26,MATCH($K191,'07-Paper Priority'!$B$5:$B$26,0))))</f>
        <v>105</v>
      </c>
      <c r="N191" s="27">
        <f>IF($K191="NO FIT","",IF($L191="PORTRAIT",INDEX('07-Paper Priority'!$D$5:$D$26,MATCH($K191,'07-Paper Priority'!$B$5:$B$26,0)),INDEX('07-Paper Priority'!$C$5:$C$26,MATCH($K191,'07-Paper Priority'!$B$5:$B$26,0))))</f>
        <v>148</v>
      </c>
      <c r="O191" s="27">
        <f>IF($K191="NO FIT","",$M191-$E191)</f>
        <v>5</v>
      </c>
      <c r="P191" s="27">
        <f>IF($K191="NO FIT","",$N191-$F191)</f>
        <v>48</v>
      </c>
      <c r="Q191" s="28" t="str">
        <f>IF($K191="NO FIT","REVIEW - NO PAPER FIT",IF(OR($O191&lt;0,$P191&lt;0),"ERROR - FIT",IF(COUNTIF('02-Printing Size'!$A$2:$A$2169,$K191)=0,"ERROR - CODE MISSING","VALID - LOWEST PAPER")))</f>
        <v>VALID - LOWEST PAPER</v>
      </c>
      <c r="R191" s="30" t="s">
        <v>2705</v>
      </c>
      <c r="S191" t="str">
        <f>IF(AND('07-Paper Priority'!$A$5&gt;=MATCH($J191,'07-Paper Priority'!$B$5:$B$26,0),OR(AND($E191&lt;='07-Paper Priority'!$C$5,$F191&lt;='07-Paper Priority'!$D$5),AND($E191&lt;='07-Paper Priority'!$D$5,$F191&lt;='07-Paper Priority'!$C$5))),'07-Paper Priority'!$A$5,"")</f>
        <v/>
      </c>
      <c r="T191" t="str">
        <f>IF(AND('07-Paper Priority'!$A$6&gt;=MATCH($J191,'07-Paper Priority'!$B$5:$B$26,0),OR(AND($E191&lt;='07-Paper Priority'!$C$6,$F191&lt;='07-Paper Priority'!$D$6),AND($E191&lt;='07-Paper Priority'!$D$6,$F191&lt;='07-Paper Priority'!$C$6))),'07-Paper Priority'!$A$6,"")</f>
        <v/>
      </c>
      <c r="U191" t="str">
        <f>IF(AND('07-Paper Priority'!$A$7&gt;=MATCH($J191,'07-Paper Priority'!$B$5:$B$26,0),OR(AND($E191&lt;='07-Paper Priority'!$C$7,$F191&lt;='07-Paper Priority'!$D$7),AND($E191&lt;='07-Paper Priority'!$D$7,$F191&lt;='07-Paper Priority'!$C$7))),'07-Paper Priority'!$A$7,"")</f>
        <v/>
      </c>
      <c r="V191" t="str">
        <f>IF(AND('07-Paper Priority'!$A$8&gt;=MATCH($J191,'07-Paper Priority'!$B$5:$B$26,0),OR(AND($E191&lt;='07-Paper Priority'!$C$8,$F191&lt;='07-Paper Priority'!$D$8),AND($E191&lt;='07-Paper Priority'!$D$8,$F191&lt;='07-Paper Priority'!$C$8))),'07-Paper Priority'!$A$8,"")</f>
        <v/>
      </c>
      <c r="W191" t="str">
        <f>IF(AND('07-Paper Priority'!$A$9&gt;=MATCH($J191,'07-Paper Priority'!$B$5:$B$26,0),OR(AND($E191&lt;='07-Paper Priority'!$C$9,$F191&lt;='07-Paper Priority'!$D$9),AND($E191&lt;='07-Paper Priority'!$D$9,$F191&lt;='07-Paper Priority'!$C$9))),'07-Paper Priority'!$A$9,"")</f>
        <v/>
      </c>
      <c r="X191" t="str">
        <f>IF(AND('07-Paper Priority'!$A$10&gt;=MATCH($J191,'07-Paper Priority'!$B$5:$B$26,0),OR(AND($E191&lt;='07-Paper Priority'!$C$10,$F191&lt;='07-Paper Priority'!$D$10),AND($E191&lt;='07-Paper Priority'!$D$10,$F191&lt;='07-Paper Priority'!$C$10))),'07-Paper Priority'!$A$10,"")</f>
        <v/>
      </c>
      <c r="Y191" t="str">
        <f>IF(AND('07-Paper Priority'!$A$11&gt;=MATCH($J191,'07-Paper Priority'!$B$5:$B$26,0),OR(AND($E191&lt;='07-Paper Priority'!$C$11,$F191&lt;='07-Paper Priority'!$D$11),AND($E191&lt;='07-Paper Priority'!$D$11,$F191&lt;='07-Paper Priority'!$C$11))),'07-Paper Priority'!$A$11,"")</f>
        <v/>
      </c>
      <c r="Z191" t="str">
        <f>IF(AND('07-Paper Priority'!$A$12&gt;=MATCH($J191,'07-Paper Priority'!$B$5:$B$26,0),OR(AND($E191&lt;='07-Paper Priority'!$C$12,$F191&lt;='07-Paper Priority'!$D$12),AND($E191&lt;='07-Paper Priority'!$D$12,$F191&lt;='07-Paper Priority'!$C$12))),'07-Paper Priority'!$A$12,"")</f>
        <v/>
      </c>
      <c r="AA191">
        <f>IF(AND('07-Paper Priority'!$A$13&gt;=MATCH($J191,'07-Paper Priority'!$B$5:$B$26,0),OR(AND($E191&lt;='07-Paper Priority'!$C$13,$F191&lt;='07-Paper Priority'!$D$13),AND($E191&lt;='07-Paper Priority'!$D$13,$F191&lt;='07-Paper Priority'!$C$13))),'07-Paper Priority'!$A$13,"")</f>
        <v>9</v>
      </c>
      <c r="AB191">
        <f>IF(AND('07-Paper Priority'!$A$14&gt;=MATCH($J191,'07-Paper Priority'!$B$5:$B$26,0),OR(AND($E191&lt;='07-Paper Priority'!$C$14,$F191&lt;='07-Paper Priority'!$D$14),AND($E191&lt;='07-Paper Priority'!$D$14,$F191&lt;='07-Paper Priority'!$C$14))),'07-Paper Priority'!$A$14,"")</f>
        <v>10</v>
      </c>
      <c r="AC191">
        <f>IF(AND('07-Paper Priority'!$A$15&gt;=MATCH($J191,'07-Paper Priority'!$B$5:$B$26,0),OR(AND($E191&lt;='07-Paper Priority'!$C$15,$F191&lt;='07-Paper Priority'!$D$15),AND($E191&lt;='07-Paper Priority'!$D$15,$F191&lt;='07-Paper Priority'!$C$15))),'07-Paper Priority'!$A$15,"")</f>
        <v>11</v>
      </c>
      <c r="AD191">
        <f>IF(AND('07-Paper Priority'!$A$16&gt;=MATCH($J191,'07-Paper Priority'!$B$5:$B$26,0),OR(AND($E191&lt;='07-Paper Priority'!$C$16,$F191&lt;='07-Paper Priority'!$D$16),AND($E191&lt;='07-Paper Priority'!$D$16,$F191&lt;='07-Paper Priority'!$C$16))),'07-Paper Priority'!$A$16,"")</f>
        <v>12</v>
      </c>
      <c r="AE191">
        <f>IF(AND('07-Paper Priority'!$A$17&gt;=MATCH($J191,'07-Paper Priority'!$B$5:$B$26,0),OR(AND($E191&lt;='07-Paper Priority'!$C$17,$F191&lt;='07-Paper Priority'!$D$17),AND($E191&lt;='07-Paper Priority'!$D$17,$F191&lt;='07-Paper Priority'!$C$17))),'07-Paper Priority'!$A$17,"")</f>
        <v>13</v>
      </c>
      <c r="AF191">
        <f>IF(AND('07-Paper Priority'!$A$18&gt;=MATCH($J191,'07-Paper Priority'!$B$5:$B$26,0),OR(AND($E191&lt;='07-Paper Priority'!$C$18,$F191&lt;='07-Paper Priority'!$D$18),AND($E191&lt;='07-Paper Priority'!$D$18,$F191&lt;='07-Paper Priority'!$C$18))),'07-Paper Priority'!$A$18,"")</f>
        <v>14</v>
      </c>
      <c r="AG191">
        <f>IF(AND('07-Paper Priority'!$A$19&gt;=MATCH($J191,'07-Paper Priority'!$B$5:$B$26,0),OR(AND($E191&lt;='07-Paper Priority'!$C$19,$F191&lt;='07-Paper Priority'!$D$19),AND($E191&lt;='07-Paper Priority'!$D$19,$F191&lt;='07-Paper Priority'!$C$19))),'07-Paper Priority'!$A$19,"")</f>
        <v>15</v>
      </c>
      <c r="AH191">
        <f>IF(AND('07-Paper Priority'!$A$20&gt;=MATCH($J191,'07-Paper Priority'!$B$5:$B$26,0),OR(AND($E191&lt;='07-Paper Priority'!$C$20,$F191&lt;='07-Paper Priority'!$D$20),AND($E191&lt;='07-Paper Priority'!$D$20,$F191&lt;='07-Paper Priority'!$C$20))),'07-Paper Priority'!$A$20,"")</f>
        <v>16</v>
      </c>
      <c r="AI191">
        <f>IF(AND('07-Paper Priority'!$A$21&gt;=MATCH($J191,'07-Paper Priority'!$B$5:$B$26,0),OR(AND($E191&lt;='07-Paper Priority'!$C$21,$F191&lt;='07-Paper Priority'!$D$21),AND($E191&lt;='07-Paper Priority'!$D$21,$F191&lt;='07-Paper Priority'!$C$21))),'07-Paper Priority'!$A$21,"")</f>
        <v>17</v>
      </c>
      <c r="AJ191">
        <f>IF(AND('07-Paper Priority'!$A$22&gt;=MATCH($J191,'07-Paper Priority'!$B$5:$B$26,0),OR(AND($E191&lt;='07-Paper Priority'!$C$22,$F191&lt;='07-Paper Priority'!$D$22),AND($E191&lt;='07-Paper Priority'!$D$22,$F191&lt;='07-Paper Priority'!$C$22))),'07-Paper Priority'!$A$22,"")</f>
        <v>18</v>
      </c>
      <c r="AK191">
        <f>IF(AND('07-Paper Priority'!$A$23&gt;=MATCH($J191,'07-Paper Priority'!$B$5:$B$26,0),OR(AND($E191&lt;='07-Paper Priority'!$C$23,$F191&lt;='07-Paper Priority'!$D$23),AND($E191&lt;='07-Paper Priority'!$D$23,$F191&lt;='07-Paper Priority'!$C$23))),'07-Paper Priority'!$A$23,"")</f>
        <v>19</v>
      </c>
      <c r="AL191">
        <f>IF(AND('07-Paper Priority'!$A$24&gt;=MATCH($J191,'07-Paper Priority'!$B$5:$B$26,0),OR(AND($E191&lt;='07-Paper Priority'!$C$24,$F191&lt;='07-Paper Priority'!$D$24),AND($E191&lt;='07-Paper Priority'!$D$24,$F191&lt;='07-Paper Priority'!$C$24))),'07-Paper Priority'!$A$24,"")</f>
        <v>20</v>
      </c>
      <c r="AM191">
        <f>IF(AND('07-Paper Priority'!$A$25&gt;=MATCH($J191,'07-Paper Priority'!$B$5:$B$26,0),OR(AND($E191&lt;='07-Paper Priority'!$C$25,$F191&lt;='07-Paper Priority'!$D$25),AND($E191&lt;='07-Paper Priority'!$D$25,$F191&lt;='07-Paper Priority'!$C$25))),'07-Paper Priority'!$A$25,"")</f>
        <v>21</v>
      </c>
      <c r="AN191">
        <f>IF(AND('07-Paper Priority'!$A$26&gt;=MATCH($J191,'07-Paper Priority'!$B$5:$B$26,0),OR(AND($E191&lt;='07-Paper Priority'!$C$26,$F191&lt;='07-Paper Priority'!$D$26),AND($E191&lt;='07-Paper Priority'!$D$26,$F191&lt;='07-Paper Priority'!$C$26))),'07-Paper Priority'!$A$26,"")</f>
        <v>22</v>
      </c>
    </row>
    <row r="192" spans="1:40" ht="33.950000000000003" customHeight="1">
      <c r="A192" s="30" t="s">
        <v>2706</v>
      </c>
      <c r="B192" s="30" t="s">
        <v>2700</v>
      </c>
      <c r="C192" s="30" t="s">
        <v>2549</v>
      </c>
      <c r="D192" s="30" t="s">
        <v>2611</v>
      </c>
      <c r="E192" s="23">
        <v>200</v>
      </c>
      <c r="F192" s="23">
        <v>180</v>
      </c>
      <c r="G192" s="30" t="s">
        <v>2707</v>
      </c>
      <c r="H192" s="30" t="s">
        <v>2708</v>
      </c>
      <c r="I192" s="24" t="s">
        <v>64</v>
      </c>
      <c r="J192" s="25" t="s">
        <v>504</v>
      </c>
      <c r="K192" s="26" t="str">
        <f>IF(COUNT(S192:AN192)=0,"NO FIT",INDEX('07-Paper Priority'!$B$5:$B$26,MIN(S192:AN192)))</f>
        <v>A4</v>
      </c>
      <c r="L192" s="26" t="str">
        <f>IF($K192="NO FIT","",IF(AND($E192&lt;=INDEX('07-Paper Priority'!$C$5:$C$26,MATCH($K192,'07-Paper Priority'!$B$5:$B$26,0)),$F192&lt;=INDEX('07-Paper Priority'!$D$5:$D$26,MATCH($K192,'07-Paper Priority'!$B$5:$B$26,0))),"PORTRAIT","ROTATED"))</f>
        <v>PORTRAIT</v>
      </c>
      <c r="M192" s="27">
        <f>IF($K192="NO FIT","",IF($L192="PORTRAIT",INDEX('07-Paper Priority'!$C$5:$C$26,MATCH($K192,'07-Paper Priority'!$B$5:$B$26,0)),INDEX('07-Paper Priority'!$D$5:$D$26,MATCH($K192,'07-Paper Priority'!$B$5:$B$26,0))))</f>
        <v>210</v>
      </c>
      <c r="N192" s="27">
        <f>IF($K192="NO FIT","",IF($L192="PORTRAIT",INDEX('07-Paper Priority'!$D$5:$D$26,MATCH($K192,'07-Paper Priority'!$B$5:$B$26,0)),INDEX('07-Paper Priority'!$C$5:$C$26,MATCH($K192,'07-Paper Priority'!$B$5:$B$26,0))))</f>
        <v>297</v>
      </c>
      <c r="O192" s="27">
        <f>IF($K192="NO FIT","",$M192-$E192)</f>
        <v>10</v>
      </c>
      <c r="P192" s="27">
        <f>IF($K192="NO FIT","",$N192-$F192)</f>
        <v>117</v>
      </c>
      <c r="Q192" s="28" t="str">
        <f>IF($K192="NO FIT","REVIEW - NO PAPER FIT",IF(OR($O192&lt;0,$P192&lt;0),"ERROR - FIT",IF(COUNTIF('02-Printing Size'!$A$2:$A$2169,$K192)=0,"ERROR - CODE MISSING","VALID - LOWEST PAPER")))</f>
        <v>VALID - LOWEST PAPER</v>
      </c>
      <c r="R192" s="30" t="s">
        <v>2709</v>
      </c>
      <c r="S192" t="str">
        <f>IF(AND('07-Paper Priority'!$A$5&gt;=MATCH($J192,'07-Paper Priority'!$B$5:$B$26,0),OR(AND($E192&lt;='07-Paper Priority'!$C$5,$F192&lt;='07-Paper Priority'!$D$5),AND($E192&lt;='07-Paper Priority'!$D$5,$F192&lt;='07-Paper Priority'!$C$5))),'07-Paper Priority'!$A$5,"")</f>
        <v/>
      </c>
      <c r="T192" t="str">
        <f>IF(AND('07-Paper Priority'!$A$6&gt;=MATCH($J192,'07-Paper Priority'!$B$5:$B$26,0),OR(AND($E192&lt;='07-Paper Priority'!$C$6,$F192&lt;='07-Paper Priority'!$D$6),AND($E192&lt;='07-Paper Priority'!$D$6,$F192&lt;='07-Paper Priority'!$C$6))),'07-Paper Priority'!$A$6,"")</f>
        <v/>
      </c>
      <c r="U192" t="str">
        <f>IF(AND('07-Paper Priority'!$A$7&gt;=MATCH($J192,'07-Paper Priority'!$B$5:$B$26,0),OR(AND($E192&lt;='07-Paper Priority'!$C$7,$F192&lt;='07-Paper Priority'!$D$7),AND($E192&lt;='07-Paper Priority'!$D$7,$F192&lt;='07-Paper Priority'!$C$7))),'07-Paper Priority'!$A$7,"")</f>
        <v/>
      </c>
      <c r="V192" t="str">
        <f>IF(AND('07-Paper Priority'!$A$8&gt;=MATCH($J192,'07-Paper Priority'!$B$5:$B$26,0),OR(AND($E192&lt;='07-Paper Priority'!$C$8,$F192&lt;='07-Paper Priority'!$D$8),AND($E192&lt;='07-Paper Priority'!$D$8,$F192&lt;='07-Paper Priority'!$C$8))),'07-Paper Priority'!$A$8,"")</f>
        <v/>
      </c>
      <c r="W192" t="str">
        <f>IF(AND('07-Paper Priority'!$A$9&gt;=MATCH($J192,'07-Paper Priority'!$B$5:$B$26,0),OR(AND($E192&lt;='07-Paper Priority'!$C$9,$F192&lt;='07-Paper Priority'!$D$9),AND($E192&lt;='07-Paper Priority'!$D$9,$F192&lt;='07-Paper Priority'!$C$9))),'07-Paper Priority'!$A$9,"")</f>
        <v/>
      </c>
      <c r="X192" t="str">
        <f>IF(AND('07-Paper Priority'!$A$10&gt;=MATCH($J192,'07-Paper Priority'!$B$5:$B$26,0),OR(AND($E192&lt;='07-Paper Priority'!$C$10,$F192&lt;='07-Paper Priority'!$D$10),AND($E192&lt;='07-Paper Priority'!$D$10,$F192&lt;='07-Paper Priority'!$C$10))),'07-Paper Priority'!$A$10,"")</f>
        <v/>
      </c>
      <c r="Y192" t="str">
        <f>IF(AND('07-Paper Priority'!$A$11&gt;=MATCH($J192,'07-Paper Priority'!$B$5:$B$26,0),OR(AND($E192&lt;='07-Paper Priority'!$C$11,$F192&lt;='07-Paper Priority'!$D$11),AND($E192&lt;='07-Paper Priority'!$D$11,$F192&lt;='07-Paper Priority'!$C$11))),'07-Paper Priority'!$A$11,"")</f>
        <v/>
      </c>
      <c r="Z192" t="str">
        <f>IF(AND('07-Paper Priority'!$A$12&gt;=MATCH($J192,'07-Paper Priority'!$B$5:$B$26,0),OR(AND($E192&lt;='07-Paper Priority'!$C$12,$F192&lt;='07-Paper Priority'!$D$12),AND($E192&lt;='07-Paper Priority'!$D$12,$F192&lt;='07-Paper Priority'!$C$12))),'07-Paper Priority'!$A$12,"")</f>
        <v/>
      </c>
      <c r="AA192" t="str">
        <f>IF(AND('07-Paper Priority'!$A$13&gt;=MATCH($J192,'07-Paper Priority'!$B$5:$B$26,0),OR(AND($E192&lt;='07-Paper Priority'!$C$13,$F192&lt;='07-Paper Priority'!$D$13),AND($E192&lt;='07-Paper Priority'!$D$13,$F192&lt;='07-Paper Priority'!$C$13))),'07-Paper Priority'!$A$13,"")</f>
        <v/>
      </c>
      <c r="AB192" t="str">
        <f>IF(AND('07-Paper Priority'!$A$14&gt;=MATCH($J192,'07-Paper Priority'!$B$5:$B$26,0),OR(AND($E192&lt;='07-Paper Priority'!$C$14,$F192&lt;='07-Paper Priority'!$D$14),AND($E192&lt;='07-Paper Priority'!$D$14,$F192&lt;='07-Paper Priority'!$C$14))),'07-Paper Priority'!$A$14,"")</f>
        <v/>
      </c>
      <c r="AC192" t="str">
        <f>IF(AND('07-Paper Priority'!$A$15&gt;=MATCH($J192,'07-Paper Priority'!$B$5:$B$26,0),OR(AND($E192&lt;='07-Paper Priority'!$C$15,$F192&lt;='07-Paper Priority'!$D$15),AND($E192&lt;='07-Paper Priority'!$D$15,$F192&lt;='07-Paper Priority'!$C$15))),'07-Paper Priority'!$A$15,"")</f>
        <v/>
      </c>
      <c r="AD192" t="str">
        <f>IF(AND('07-Paper Priority'!$A$16&gt;=MATCH($J192,'07-Paper Priority'!$B$5:$B$26,0),OR(AND($E192&lt;='07-Paper Priority'!$C$16,$F192&lt;='07-Paper Priority'!$D$16),AND($E192&lt;='07-Paper Priority'!$D$16,$F192&lt;='07-Paper Priority'!$C$16))),'07-Paper Priority'!$A$16,"")</f>
        <v/>
      </c>
      <c r="AE192">
        <f>IF(AND('07-Paper Priority'!$A$17&gt;=MATCH($J192,'07-Paper Priority'!$B$5:$B$26,0),OR(AND($E192&lt;='07-Paper Priority'!$C$17,$F192&lt;='07-Paper Priority'!$D$17),AND($E192&lt;='07-Paper Priority'!$D$17,$F192&lt;='07-Paper Priority'!$C$17))),'07-Paper Priority'!$A$17,"")</f>
        <v>13</v>
      </c>
      <c r="AF192">
        <f>IF(AND('07-Paper Priority'!$A$18&gt;=MATCH($J192,'07-Paper Priority'!$B$5:$B$26,0),OR(AND($E192&lt;='07-Paper Priority'!$C$18,$F192&lt;='07-Paper Priority'!$D$18),AND($E192&lt;='07-Paper Priority'!$D$18,$F192&lt;='07-Paper Priority'!$C$18))),'07-Paper Priority'!$A$18,"")</f>
        <v>14</v>
      </c>
      <c r="AG192">
        <f>IF(AND('07-Paper Priority'!$A$19&gt;=MATCH($J192,'07-Paper Priority'!$B$5:$B$26,0),OR(AND($E192&lt;='07-Paper Priority'!$C$19,$F192&lt;='07-Paper Priority'!$D$19),AND($E192&lt;='07-Paper Priority'!$D$19,$F192&lt;='07-Paper Priority'!$C$19))),'07-Paper Priority'!$A$19,"")</f>
        <v>15</v>
      </c>
      <c r="AH192">
        <f>IF(AND('07-Paper Priority'!$A$20&gt;=MATCH($J192,'07-Paper Priority'!$B$5:$B$26,0),OR(AND($E192&lt;='07-Paper Priority'!$C$20,$F192&lt;='07-Paper Priority'!$D$20),AND($E192&lt;='07-Paper Priority'!$D$20,$F192&lt;='07-Paper Priority'!$C$20))),'07-Paper Priority'!$A$20,"")</f>
        <v>16</v>
      </c>
      <c r="AI192">
        <f>IF(AND('07-Paper Priority'!$A$21&gt;=MATCH($J192,'07-Paper Priority'!$B$5:$B$26,0),OR(AND($E192&lt;='07-Paper Priority'!$C$21,$F192&lt;='07-Paper Priority'!$D$21),AND($E192&lt;='07-Paper Priority'!$D$21,$F192&lt;='07-Paper Priority'!$C$21))),'07-Paper Priority'!$A$21,"")</f>
        <v>17</v>
      </c>
      <c r="AJ192">
        <f>IF(AND('07-Paper Priority'!$A$22&gt;=MATCH($J192,'07-Paper Priority'!$B$5:$B$26,0),OR(AND($E192&lt;='07-Paper Priority'!$C$22,$F192&lt;='07-Paper Priority'!$D$22),AND($E192&lt;='07-Paper Priority'!$D$22,$F192&lt;='07-Paper Priority'!$C$22))),'07-Paper Priority'!$A$22,"")</f>
        <v>18</v>
      </c>
      <c r="AK192">
        <f>IF(AND('07-Paper Priority'!$A$23&gt;=MATCH($J192,'07-Paper Priority'!$B$5:$B$26,0),OR(AND($E192&lt;='07-Paper Priority'!$C$23,$F192&lt;='07-Paper Priority'!$D$23),AND($E192&lt;='07-Paper Priority'!$D$23,$F192&lt;='07-Paper Priority'!$C$23))),'07-Paper Priority'!$A$23,"")</f>
        <v>19</v>
      </c>
      <c r="AL192">
        <f>IF(AND('07-Paper Priority'!$A$24&gt;=MATCH($J192,'07-Paper Priority'!$B$5:$B$26,0),OR(AND($E192&lt;='07-Paper Priority'!$C$24,$F192&lt;='07-Paper Priority'!$D$24),AND($E192&lt;='07-Paper Priority'!$D$24,$F192&lt;='07-Paper Priority'!$C$24))),'07-Paper Priority'!$A$24,"")</f>
        <v>20</v>
      </c>
      <c r="AM192">
        <f>IF(AND('07-Paper Priority'!$A$25&gt;=MATCH($J192,'07-Paper Priority'!$B$5:$B$26,0),OR(AND($E192&lt;='07-Paper Priority'!$C$25,$F192&lt;='07-Paper Priority'!$D$25),AND($E192&lt;='07-Paper Priority'!$D$25,$F192&lt;='07-Paper Priority'!$C$25))),'07-Paper Priority'!$A$25,"")</f>
        <v>21</v>
      </c>
      <c r="AN192">
        <f>IF(AND('07-Paper Priority'!$A$26&gt;=MATCH($J192,'07-Paper Priority'!$B$5:$B$26,0),OR(AND($E192&lt;='07-Paper Priority'!$C$26,$F192&lt;='07-Paper Priority'!$D$26),AND($E192&lt;='07-Paper Priority'!$D$26,$F192&lt;='07-Paper Priority'!$C$26))),'07-Paper Priority'!$A$26,"")</f>
        <v>22</v>
      </c>
    </row>
    <row r="193" spans="1:40" ht="33.950000000000003" customHeight="1">
      <c r="A193" s="30" t="s">
        <v>2710</v>
      </c>
      <c r="B193" s="30" t="s">
        <v>2700</v>
      </c>
      <c r="C193" s="30" t="s">
        <v>2549</v>
      </c>
      <c r="D193" s="30" t="s">
        <v>2711</v>
      </c>
      <c r="E193" s="23">
        <v>280</v>
      </c>
      <c r="F193" s="23">
        <v>300</v>
      </c>
      <c r="G193" s="30" t="s">
        <v>2712</v>
      </c>
      <c r="H193" s="30" t="s">
        <v>2713</v>
      </c>
      <c r="I193" s="24" t="s">
        <v>64</v>
      </c>
      <c r="J193" s="25" t="s">
        <v>430</v>
      </c>
      <c r="K193" s="26" t="str">
        <f>IF(COUNT(S193:AN193)=0,"NO FIT",INDEX('07-Paper Priority'!$B$5:$B$26,MIN(S193:AN193)))</f>
        <v>A3</v>
      </c>
      <c r="L193" s="26" t="str">
        <f>IF($K193="NO FIT","",IF(AND($E193&lt;=INDEX('07-Paper Priority'!$C$5:$C$26,MATCH($K193,'07-Paper Priority'!$B$5:$B$26,0)),$F193&lt;=INDEX('07-Paper Priority'!$D$5:$D$26,MATCH($K193,'07-Paper Priority'!$B$5:$B$26,0))),"PORTRAIT","ROTATED"))</f>
        <v>PORTRAIT</v>
      </c>
      <c r="M193" s="27">
        <f>IF($K193="NO FIT","",IF($L193="PORTRAIT",INDEX('07-Paper Priority'!$C$5:$C$26,MATCH($K193,'07-Paper Priority'!$B$5:$B$26,0)),INDEX('07-Paper Priority'!$D$5:$D$26,MATCH($K193,'07-Paper Priority'!$B$5:$B$26,0))))</f>
        <v>297</v>
      </c>
      <c r="N193" s="27">
        <f>IF($K193="NO FIT","",IF($L193="PORTRAIT",INDEX('07-Paper Priority'!$D$5:$D$26,MATCH($K193,'07-Paper Priority'!$B$5:$B$26,0)),INDEX('07-Paper Priority'!$C$5:$C$26,MATCH($K193,'07-Paper Priority'!$B$5:$B$26,0))))</f>
        <v>420</v>
      </c>
      <c r="O193" s="27">
        <f>IF($K193="NO FIT","",$M193-$E193)</f>
        <v>17</v>
      </c>
      <c r="P193" s="27">
        <f>IF($K193="NO FIT","",$N193-$F193)</f>
        <v>120</v>
      </c>
      <c r="Q193" s="28" t="str">
        <f>IF($K193="NO FIT","REVIEW - NO PAPER FIT",IF(OR($O193&lt;0,$P193&lt;0),"ERROR - FIT",IF(COUNTIF('02-Printing Size'!$A$2:$A$2169,$K193)=0,"ERROR - CODE MISSING","VALID - LOWEST PAPER")))</f>
        <v>VALID - LOWEST PAPER</v>
      </c>
      <c r="R193" s="30" t="s">
        <v>2714</v>
      </c>
      <c r="S193" t="str">
        <f>IF(AND('07-Paper Priority'!$A$5&gt;=MATCH($J193,'07-Paper Priority'!$B$5:$B$26,0),OR(AND($E193&lt;='07-Paper Priority'!$C$5,$F193&lt;='07-Paper Priority'!$D$5),AND($E193&lt;='07-Paper Priority'!$D$5,$F193&lt;='07-Paper Priority'!$C$5))),'07-Paper Priority'!$A$5,"")</f>
        <v/>
      </c>
      <c r="T193" t="str">
        <f>IF(AND('07-Paper Priority'!$A$6&gt;=MATCH($J193,'07-Paper Priority'!$B$5:$B$26,0),OR(AND($E193&lt;='07-Paper Priority'!$C$6,$F193&lt;='07-Paper Priority'!$D$6),AND($E193&lt;='07-Paper Priority'!$D$6,$F193&lt;='07-Paper Priority'!$C$6))),'07-Paper Priority'!$A$6,"")</f>
        <v/>
      </c>
      <c r="U193" t="str">
        <f>IF(AND('07-Paper Priority'!$A$7&gt;=MATCH($J193,'07-Paper Priority'!$B$5:$B$26,0),OR(AND($E193&lt;='07-Paper Priority'!$C$7,$F193&lt;='07-Paper Priority'!$D$7),AND($E193&lt;='07-Paper Priority'!$D$7,$F193&lt;='07-Paper Priority'!$C$7))),'07-Paper Priority'!$A$7,"")</f>
        <v/>
      </c>
      <c r="V193" t="str">
        <f>IF(AND('07-Paper Priority'!$A$8&gt;=MATCH($J193,'07-Paper Priority'!$B$5:$B$26,0),OR(AND($E193&lt;='07-Paper Priority'!$C$8,$F193&lt;='07-Paper Priority'!$D$8),AND($E193&lt;='07-Paper Priority'!$D$8,$F193&lt;='07-Paper Priority'!$C$8))),'07-Paper Priority'!$A$8,"")</f>
        <v/>
      </c>
      <c r="W193" t="str">
        <f>IF(AND('07-Paper Priority'!$A$9&gt;=MATCH($J193,'07-Paper Priority'!$B$5:$B$26,0),OR(AND($E193&lt;='07-Paper Priority'!$C$9,$F193&lt;='07-Paper Priority'!$D$9),AND($E193&lt;='07-Paper Priority'!$D$9,$F193&lt;='07-Paper Priority'!$C$9))),'07-Paper Priority'!$A$9,"")</f>
        <v/>
      </c>
      <c r="X193" t="str">
        <f>IF(AND('07-Paper Priority'!$A$10&gt;=MATCH($J193,'07-Paper Priority'!$B$5:$B$26,0),OR(AND($E193&lt;='07-Paper Priority'!$C$10,$F193&lt;='07-Paper Priority'!$D$10),AND($E193&lt;='07-Paper Priority'!$D$10,$F193&lt;='07-Paper Priority'!$C$10))),'07-Paper Priority'!$A$10,"")</f>
        <v/>
      </c>
      <c r="Y193" t="str">
        <f>IF(AND('07-Paper Priority'!$A$11&gt;=MATCH($J193,'07-Paper Priority'!$B$5:$B$26,0),OR(AND($E193&lt;='07-Paper Priority'!$C$11,$F193&lt;='07-Paper Priority'!$D$11),AND($E193&lt;='07-Paper Priority'!$D$11,$F193&lt;='07-Paper Priority'!$C$11))),'07-Paper Priority'!$A$11,"")</f>
        <v/>
      </c>
      <c r="Z193" t="str">
        <f>IF(AND('07-Paper Priority'!$A$12&gt;=MATCH($J193,'07-Paper Priority'!$B$5:$B$26,0),OR(AND($E193&lt;='07-Paper Priority'!$C$12,$F193&lt;='07-Paper Priority'!$D$12),AND($E193&lt;='07-Paper Priority'!$D$12,$F193&lt;='07-Paper Priority'!$C$12))),'07-Paper Priority'!$A$12,"")</f>
        <v/>
      </c>
      <c r="AA193" t="str">
        <f>IF(AND('07-Paper Priority'!$A$13&gt;=MATCH($J193,'07-Paper Priority'!$B$5:$B$26,0),OR(AND($E193&lt;='07-Paper Priority'!$C$13,$F193&lt;='07-Paper Priority'!$D$13),AND($E193&lt;='07-Paper Priority'!$D$13,$F193&lt;='07-Paper Priority'!$C$13))),'07-Paper Priority'!$A$13,"")</f>
        <v/>
      </c>
      <c r="AB193" t="str">
        <f>IF(AND('07-Paper Priority'!$A$14&gt;=MATCH($J193,'07-Paper Priority'!$B$5:$B$26,0),OR(AND($E193&lt;='07-Paper Priority'!$C$14,$F193&lt;='07-Paper Priority'!$D$14),AND($E193&lt;='07-Paper Priority'!$D$14,$F193&lt;='07-Paper Priority'!$C$14))),'07-Paper Priority'!$A$14,"")</f>
        <v/>
      </c>
      <c r="AC193" t="str">
        <f>IF(AND('07-Paper Priority'!$A$15&gt;=MATCH($J193,'07-Paper Priority'!$B$5:$B$26,0),OR(AND($E193&lt;='07-Paper Priority'!$C$15,$F193&lt;='07-Paper Priority'!$D$15),AND($E193&lt;='07-Paper Priority'!$D$15,$F193&lt;='07-Paper Priority'!$C$15))),'07-Paper Priority'!$A$15,"")</f>
        <v/>
      </c>
      <c r="AD193" t="str">
        <f>IF(AND('07-Paper Priority'!$A$16&gt;=MATCH($J193,'07-Paper Priority'!$B$5:$B$26,0),OR(AND($E193&lt;='07-Paper Priority'!$C$16,$F193&lt;='07-Paper Priority'!$D$16),AND($E193&lt;='07-Paper Priority'!$D$16,$F193&lt;='07-Paper Priority'!$C$16))),'07-Paper Priority'!$A$16,"")</f>
        <v/>
      </c>
      <c r="AE193" t="str">
        <f>IF(AND('07-Paper Priority'!$A$17&gt;=MATCH($J193,'07-Paper Priority'!$B$5:$B$26,0),OR(AND($E193&lt;='07-Paper Priority'!$C$17,$F193&lt;='07-Paper Priority'!$D$17),AND($E193&lt;='07-Paper Priority'!$D$17,$F193&lt;='07-Paper Priority'!$C$17))),'07-Paper Priority'!$A$17,"")</f>
        <v/>
      </c>
      <c r="AF193" t="str">
        <f>IF(AND('07-Paper Priority'!$A$18&gt;=MATCH($J193,'07-Paper Priority'!$B$5:$B$26,0),OR(AND($E193&lt;='07-Paper Priority'!$C$18,$F193&lt;='07-Paper Priority'!$D$18),AND($E193&lt;='07-Paper Priority'!$D$18,$F193&lt;='07-Paper Priority'!$C$18))),'07-Paper Priority'!$A$18,"")</f>
        <v/>
      </c>
      <c r="AG193">
        <f>IF(AND('07-Paper Priority'!$A$19&gt;=MATCH($J193,'07-Paper Priority'!$B$5:$B$26,0),OR(AND($E193&lt;='07-Paper Priority'!$C$19,$F193&lt;='07-Paper Priority'!$D$19),AND($E193&lt;='07-Paper Priority'!$D$19,$F193&lt;='07-Paper Priority'!$C$19))),'07-Paper Priority'!$A$19,"")</f>
        <v>15</v>
      </c>
      <c r="AH193">
        <f>IF(AND('07-Paper Priority'!$A$20&gt;=MATCH($J193,'07-Paper Priority'!$B$5:$B$26,0),OR(AND($E193&lt;='07-Paper Priority'!$C$20,$F193&lt;='07-Paper Priority'!$D$20),AND($E193&lt;='07-Paper Priority'!$D$20,$F193&lt;='07-Paper Priority'!$C$20))),'07-Paper Priority'!$A$20,"")</f>
        <v>16</v>
      </c>
      <c r="AI193">
        <f>IF(AND('07-Paper Priority'!$A$21&gt;=MATCH($J193,'07-Paper Priority'!$B$5:$B$26,0),OR(AND($E193&lt;='07-Paper Priority'!$C$21,$F193&lt;='07-Paper Priority'!$D$21),AND($E193&lt;='07-Paper Priority'!$D$21,$F193&lt;='07-Paper Priority'!$C$21))),'07-Paper Priority'!$A$21,"")</f>
        <v>17</v>
      </c>
      <c r="AJ193">
        <f>IF(AND('07-Paper Priority'!$A$22&gt;=MATCH($J193,'07-Paper Priority'!$B$5:$B$26,0),OR(AND($E193&lt;='07-Paper Priority'!$C$22,$F193&lt;='07-Paper Priority'!$D$22),AND($E193&lt;='07-Paper Priority'!$D$22,$F193&lt;='07-Paper Priority'!$C$22))),'07-Paper Priority'!$A$22,"")</f>
        <v>18</v>
      </c>
      <c r="AK193">
        <f>IF(AND('07-Paper Priority'!$A$23&gt;=MATCH($J193,'07-Paper Priority'!$B$5:$B$26,0),OR(AND($E193&lt;='07-Paper Priority'!$C$23,$F193&lt;='07-Paper Priority'!$D$23),AND($E193&lt;='07-Paper Priority'!$D$23,$F193&lt;='07-Paper Priority'!$C$23))),'07-Paper Priority'!$A$23,"")</f>
        <v>19</v>
      </c>
      <c r="AL193">
        <f>IF(AND('07-Paper Priority'!$A$24&gt;=MATCH($J193,'07-Paper Priority'!$B$5:$B$26,0),OR(AND($E193&lt;='07-Paper Priority'!$C$24,$F193&lt;='07-Paper Priority'!$D$24),AND($E193&lt;='07-Paper Priority'!$D$24,$F193&lt;='07-Paper Priority'!$C$24))),'07-Paper Priority'!$A$24,"")</f>
        <v>20</v>
      </c>
      <c r="AM193">
        <f>IF(AND('07-Paper Priority'!$A$25&gt;=MATCH($J193,'07-Paper Priority'!$B$5:$B$26,0),OR(AND($E193&lt;='07-Paper Priority'!$C$25,$F193&lt;='07-Paper Priority'!$D$25),AND($E193&lt;='07-Paper Priority'!$D$25,$F193&lt;='07-Paper Priority'!$C$25))),'07-Paper Priority'!$A$25,"")</f>
        <v>21</v>
      </c>
      <c r="AN193">
        <f>IF(AND('07-Paper Priority'!$A$26&gt;=MATCH($J193,'07-Paper Priority'!$B$5:$B$26,0),OR(AND($E193&lt;='07-Paper Priority'!$C$26,$F193&lt;='07-Paper Priority'!$D$26),AND($E193&lt;='07-Paper Priority'!$D$26,$F193&lt;='07-Paper Priority'!$C$26))),'07-Paper Priority'!$A$26,"")</f>
        <v>22</v>
      </c>
    </row>
    <row r="194" spans="1:40" ht="33.950000000000003" customHeight="1">
      <c r="A194" s="30" t="s">
        <v>2715</v>
      </c>
      <c r="B194" s="30" t="s">
        <v>2716</v>
      </c>
      <c r="C194" s="30" t="s">
        <v>2549</v>
      </c>
      <c r="D194" s="30" t="s">
        <v>2611</v>
      </c>
      <c r="E194" s="23">
        <v>120</v>
      </c>
      <c r="F194" s="23">
        <v>250</v>
      </c>
      <c r="G194" s="30" t="s">
        <v>2717</v>
      </c>
      <c r="H194" s="30" t="s">
        <v>2718</v>
      </c>
      <c r="I194" s="24" t="s">
        <v>64</v>
      </c>
      <c r="J194" s="25" t="s">
        <v>2054</v>
      </c>
      <c r="K194" s="26" t="str">
        <f>IF(COUNT(S194:AN194)=0,"NO FIT",INDEX('07-Paper Priority'!$B$5:$B$26,MIN(S194:AN194)))</f>
        <v>B5</v>
      </c>
      <c r="L194" s="26" t="str">
        <f>IF($K194="NO FIT","",IF(AND($E194&lt;=INDEX('07-Paper Priority'!$C$5:$C$26,MATCH($K194,'07-Paper Priority'!$B$5:$B$26,0)),$F194&lt;=INDEX('07-Paper Priority'!$D$5:$D$26,MATCH($K194,'07-Paper Priority'!$B$5:$B$26,0))),"PORTRAIT","ROTATED"))</f>
        <v>PORTRAIT</v>
      </c>
      <c r="M194" s="27">
        <f>IF($K194="NO FIT","",IF($L194="PORTRAIT",INDEX('07-Paper Priority'!$C$5:$C$26,MATCH($K194,'07-Paper Priority'!$B$5:$B$26,0)),INDEX('07-Paper Priority'!$D$5:$D$26,MATCH($K194,'07-Paper Priority'!$B$5:$B$26,0))))</f>
        <v>176</v>
      </c>
      <c r="N194" s="27">
        <f>IF($K194="NO FIT","",IF($L194="PORTRAIT",INDEX('07-Paper Priority'!$D$5:$D$26,MATCH($K194,'07-Paper Priority'!$B$5:$B$26,0)),INDEX('07-Paper Priority'!$C$5:$C$26,MATCH($K194,'07-Paper Priority'!$B$5:$B$26,0))))</f>
        <v>250</v>
      </c>
      <c r="O194" s="27">
        <f>IF($K194="NO FIT","",$M194-$E194)</f>
        <v>56</v>
      </c>
      <c r="P194" s="27">
        <f>IF($K194="NO FIT","",$N194-$F194)</f>
        <v>0</v>
      </c>
      <c r="Q194" s="28" t="str">
        <f>IF($K194="NO FIT","REVIEW - NO PAPER FIT",IF(OR($O194&lt;0,$P194&lt;0),"ERROR - FIT",IF(COUNTIF('02-Printing Size'!$A$2:$A$2169,$K194)=0,"ERROR - CODE MISSING","VALID - LOWEST PAPER")))</f>
        <v>VALID - LOWEST PAPER</v>
      </c>
      <c r="R194" s="30" t="s">
        <v>2719</v>
      </c>
      <c r="S194" t="str">
        <f>IF(AND('07-Paper Priority'!$A$5&gt;=MATCH($J194,'07-Paper Priority'!$B$5:$B$26,0),OR(AND($E194&lt;='07-Paper Priority'!$C$5,$F194&lt;='07-Paper Priority'!$D$5),AND($E194&lt;='07-Paper Priority'!$D$5,$F194&lt;='07-Paper Priority'!$C$5))),'07-Paper Priority'!$A$5,"")</f>
        <v/>
      </c>
      <c r="T194" t="str">
        <f>IF(AND('07-Paper Priority'!$A$6&gt;=MATCH($J194,'07-Paper Priority'!$B$5:$B$26,0),OR(AND($E194&lt;='07-Paper Priority'!$C$6,$F194&lt;='07-Paper Priority'!$D$6),AND($E194&lt;='07-Paper Priority'!$D$6,$F194&lt;='07-Paper Priority'!$C$6))),'07-Paper Priority'!$A$6,"")</f>
        <v/>
      </c>
      <c r="U194" t="str">
        <f>IF(AND('07-Paper Priority'!$A$7&gt;=MATCH($J194,'07-Paper Priority'!$B$5:$B$26,0),OR(AND($E194&lt;='07-Paper Priority'!$C$7,$F194&lt;='07-Paper Priority'!$D$7),AND($E194&lt;='07-Paper Priority'!$D$7,$F194&lt;='07-Paper Priority'!$C$7))),'07-Paper Priority'!$A$7,"")</f>
        <v/>
      </c>
      <c r="V194" t="str">
        <f>IF(AND('07-Paper Priority'!$A$8&gt;=MATCH($J194,'07-Paper Priority'!$B$5:$B$26,0),OR(AND($E194&lt;='07-Paper Priority'!$C$8,$F194&lt;='07-Paper Priority'!$D$8),AND($E194&lt;='07-Paper Priority'!$D$8,$F194&lt;='07-Paper Priority'!$C$8))),'07-Paper Priority'!$A$8,"")</f>
        <v/>
      </c>
      <c r="W194" t="str">
        <f>IF(AND('07-Paper Priority'!$A$9&gt;=MATCH($J194,'07-Paper Priority'!$B$5:$B$26,0),OR(AND($E194&lt;='07-Paper Priority'!$C$9,$F194&lt;='07-Paper Priority'!$D$9),AND($E194&lt;='07-Paper Priority'!$D$9,$F194&lt;='07-Paper Priority'!$C$9))),'07-Paper Priority'!$A$9,"")</f>
        <v/>
      </c>
      <c r="X194" t="str">
        <f>IF(AND('07-Paper Priority'!$A$10&gt;=MATCH($J194,'07-Paper Priority'!$B$5:$B$26,0),OR(AND($E194&lt;='07-Paper Priority'!$C$10,$F194&lt;='07-Paper Priority'!$D$10),AND($E194&lt;='07-Paper Priority'!$D$10,$F194&lt;='07-Paper Priority'!$C$10))),'07-Paper Priority'!$A$10,"")</f>
        <v/>
      </c>
      <c r="Y194" t="str">
        <f>IF(AND('07-Paper Priority'!$A$11&gt;=MATCH($J194,'07-Paper Priority'!$B$5:$B$26,0),OR(AND($E194&lt;='07-Paper Priority'!$C$11,$F194&lt;='07-Paper Priority'!$D$11),AND($E194&lt;='07-Paper Priority'!$D$11,$F194&lt;='07-Paper Priority'!$C$11))),'07-Paper Priority'!$A$11,"")</f>
        <v/>
      </c>
      <c r="Z194" t="str">
        <f>IF(AND('07-Paper Priority'!$A$12&gt;=MATCH($J194,'07-Paper Priority'!$B$5:$B$26,0),OR(AND($E194&lt;='07-Paper Priority'!$C$12,$F194&lt;='07-Paper Priority'!$D$12),AND($E194&lt;='07-Paper Priority'!$D$12,$F194&lt;='07-Paper Priority'!$C$12))),'07-Paper Priority'!$A$12,"")</f>
        <v/>
      </c>
      <c r="AA194" t="str">
        <f>IF(AND('07-Paper Priority'!$A$13&gt;=MATCH($J194,'07-Paper Priority'!$B$5:$B$26,0),OR(AND($E194&lt;='07-Paper Priority'!$C$13,$F194&lt;='07-Paper Priority'!$D$13),AND($E194&lt;='07-Paper Priority'!$D$13,$F194&lt;='07-Paper Priority'!$C$13))),'07-Paper Priority'!$A$13,"")</f>
        <v/>
      </c>
      <c r="AB194" t="str">
        <f>IF(AND('07-Paper Priority'!$A$14&gt;=MATCH($J194,'07-Paper Priority'!$B$5:$B$26,0),OR(AND($E194&lt;='07-Paper Priority'!$C$14,$F194&lt;='07-Paper Priority'!$D$14),AND($E194&lt;='07-Paper Priority'!$D$14,$F194&lt;='07-Paper Priority'!$C$14))),'07-Paper Priority'!$A$14,"")</f>
        <v/>
      </c>
      <c r="AC194" t="str">
        <f>IF(AND('07-Paper Priority'!$A$15&gt;=MATCH($J194,'07-Paper Priority'!$B$5:$B$26,0),OR(AND($E194&lt;='07-Paper Priority'!$C$15,$F194&lt;='07-Paper Priority'!$D$15),AND($E194&lt;='07-Paper Priority'!$D$15,$F194&lt;='07-Paper Priority'!$C$15))),'07-Paper Priority'!$A$15,"")</f>
        <v/>
      </c>
      <c r="AD194">
        <f>IF(AND('07-Paper Priority'!$A$16&gt;=MATCH($J194,'07-Paper Priority'!$B$5:$B$26,0),OR(AND($E194&lt;='07-Paper Priority'!$C$16,$F194&lt;='07-Paper Priority'!$D$16),AND($E194&lt;='07-Paper Priority'!$D$16,$F194&lt;='07-Paper Priority'!$C$16))),'07-Paper Priority'!$A$16,"")</f>
        <v>12</v>
      </c>
      <c r="AE194">
        <f>IF(AND('07-Paper Priority'!$A$17&gt;=MATCH($J194,'07-Paper Priority'!$B$5:$B$26,0),OR(AND($E194&lt;='07-Paper Priority'!$C$17,$F194&lt;='07-Paper Priority'!$D$17),AND($E194&lt;='07-Paper Priority'!$D$17,$F194&lt;='07-Paper Priority'!$C$17))),'07-Paper Priority'!$A$17,"")</f>
        <v>13</v>
      </c>
      <c r="AF194">
        <f>IF(AND('07-Paper Priority'!$A$18&gt;=MATCH($J194,'07-Paper Priority'!$B$5:$B$26,0),OR(AND($E194&lt;='07-Paper Priority'!$C$18,$F194&lt;='07-Paper Priority'!$D$18),AND($E194&lt;='07-Paper Priority'!$D$18,$F194&lt;='07-Paper Priority'!$C$18))),'07-Paper Priority'!$A$18,"")</f>
        <v>14</v>
      </c>
      <c r="AG194">
        <f>IF(AND('07-Paper Priority'!$A$19&gt;=MATCH($J194,'07-Paper Priority'!$B$5:$B$26,0),OR(AND($E194&lt;='07-Paper Priority'!$C$19,$F194&lt;='07-Paper Priority'!$D$19),AND($E194&lt;='07-Paper Priority'!$D$19,$F194&lt;='07-Paper Priority'!$C$19))),'07-Paper Priority'!$A$19,"")</f>
        <v>15</v>
      </c>
      <c r="AH194">
        <f>IF(AND('07-Paper Priority'!$A$20&gt;=MATCH($J194,'07-Paper Priority'!$B$5:$B$26,0),OR(AND($E194&lt;='07-Paper Priority'!$C$20,$F194&lt;='07-Paper Priority'!$D$20),AND($E194&lt;='07-Paper Priority'!$D$20,$F194&lt;='07-Paper Priority'!$C$20))),'07-Paper Priority'!$A$20,"")</f>
        <v>16</v>
      </c>
      <c r="AI194">
        <f>IF(AND('07-Paper Priority'!$A$21&gt;=MATCH($J194,'07-Paper Priority'!$B$5:$B$26,0),OR(AND($E194&lt;='07-Paper Priority'!$C$21,$F194&lt;='07-Paper Priority'!$D$21),AND($E194&lt;='07-Paper Priority'!$D$21,$F194&lt;='07-Paper Priority'!$C$21))),'07-Paper Priority'!$A$21,"")</f>
        <v>17</v>
      </c>
      <c r="AJ194">
        <f>IF(AND('07-Paper Priority'!$A$22&gt;=MATCH($J194,'07-Paper Priority'!$B$5:$B$26,0),OR(AND($E194&lt;='07-Paper Priority'!$C$22,$F194&lt;='07-Paper Priority'!$D$22),AND($E194&lt;='07-Paper Priority'!$D$22,$F194&lt;='07-Paper Priority'!$C$22))),'07-Paper Priority'!$A$22,"")</f>
        <v>18</v>
      </c>
      <c r="AK194">
        <f>IF(AND('07-Paper Priority'!$A$23&gt;=MATCH($J194,'07-Paper Priority'!$B$5:$B$26,0),OR(AND($E194&lt;='07-Paper Priority'!$C$23,$F194&lt;='07-Paper Priority'!$D$23),AND($E194&lt;='07-Paper Priority'!$D$23,$F194&lt;='07-Paper Priority'!$C$23))),'07-Paper Priority'!$A$23,"")</f>
        <v>19</v>
      </c>
      <c r="AL194">
        <f>IF(AND('07-Paper Priority'!$A$24&gt;=MATCH($J194,'07-Paper Priority'!$B$5:$B$26,0),OR(AND($E194&lt;='07-Paper Priority'!$C$24,$F194&lt;='07-Paper Priority'!$D$24),AND($E194&lt;='07-Paper Priority'!$D$24,$F194&lt;='07-Paper Priority'!$C$24))),'07-Paper Priority'!$A$24,"")</f>
        <v>20</v>
      </c>
      <c r="AM194">
        <f>IF(AND('07-Paper Priority'!$A$25&gt;=MATCH($J194,'07-Paper Priority'!$B$5:$B$26,0),OR(AND($E194&lt;='07-Paper Priority'!$C$25,$F194&lt;='07-Paper Priority'!$D$25),AND($E194&lt;='07-Paper Priority'!$D$25,$F194&lt;='07-Paper Priority'!$C$25))),'07-Paper Priority'!$A$25,"")</f>
        <v>21</v>
      </c>
      <c r="AN194">
        <f>IF(AND('07-Paper Priority'!$A$26&gt;=MATCH($J194,'07-Paper Priority'!$B$5:$B$26,0),OR(AND($E194&lt;='07-Paper Priority'!$C$26,$F194&lt;='07-Paper Priority'!$D$26),AND($E194&lt;='07-Paper Priority'!$D$26,$F194&lt;='07-Paper Priority'!$C$26))),'07-Paper Priority'!$A$26,"")</f>
        <v>22</v>
      </c>
    </row>
    <row r="195" spans="1:40" ht="33.950000000000003" customHeight="1">
      <c r="A195" s="30" t="s">
        <v>2720</v>
      </c>
      <c r="B195" s="30" t="s">
        <v>2716</v>
      </c>
      <c r="C195" s="30" t="s">
        <v>2549</v>
      </c>
      <c r="D195" s="30" t="s">
        <v>2611</v>
      </c>
      <c r="E195" s="23">
        <v>120</v>
      </c>
      <c r="F195" s="23">
        <v>250</v>
      </c>
      <c r="G195" s="30" t="s">
        <v>2721</v>
      </c>
      <c r="H195" s="30" t="s">
        <v>2722</v>
      </c>
      <c r="I195" s="24" t="s">
        <v>64</v>
      </c>
      <c r="J195" s="25" t="s">
        <v>2054</v>
      </c>
      <c r="K195" s="26" t="str">
        <f>IF(COUNT(S195:AN195)=0,"NO FIT",INDEX('07-Paper Priority'!$B$5:$B$26,MIN(S195:AN195)))</f>
        <v>B5</v>
      </c>
      <c r="L195" s="26" t="str">
        <f>IF($K195="NO FIT","",IF(AND($E195&lt;=INDEX('07-Paper Priority'!$C$5:$C$26,MATCH($K195,'07-Paper Priority'!$B$5:$B$26,0)),$F195&lt;=INDEX('07-Paper Priority'!$D$5:$D$26,MATCH($K195,'07-Paper Priority'!$B$5:$B$26,0))),"PORTRAIT","ROTATED"))</f>
        <v>PORTRAIT</v>
      </c>
      <c r="M195" s="27">
        <f>IF($K195="NO FIT","",IF($L195="PORTRAIT",INDEX('07-Paper Priority'!$C$5:$C$26,MATCH($K195,'07-Paper Priority'!$B$5:$B$26,0)),INDEX('07-Paper Priority'!$D$5:$D$26,MATCH($K195,'07-Paper Priority'!$B$5:$B$26,0))))</f>
        <v>176</v>
      </c>
      <c r="N195" s="27">
        <f>IF($K195="NO FIT","",IF($L195="PORTRAIT",INDEX('07-Paper Priority'!$D$5:$D$26,MATCH($K195,'07-Paper Priority'!$B$5:$B$26,0)),INDEX('07-Paper Priority'!$C$5:$C$26,MATCH($K195,'07-Paper Priority'!$B$5:$B$26,0))))</f>
        <v>250</v>
      </c>
      <c r="O195" s="27">
        <f>IF($K195="NO FIT","",$M195-$E195)</f>
        <v>56</v>
      </c>
      <c r="P195" s="27">
        <f>IF($K195="NO FIT","",$N195-$F195)</f>
        <v>0</v>
      </c>
      <c r="Q195" s="28" t="str">
        <f>IF($K195="NO FIT","REVIEW - NO PAPER FIT",IF(OR($O195&lt;0,$P195&lt;0),"ERROR - FIT",IF(COUNTIF('02-Printing Size'!$A$2:$A$2169,$K195)=0,"ERROR - CODE MISSING","VALID - LOWEST PAPER")))</f>
        <v>VALID - LOWEST PAPER</v>
      </c>
      <c r="R195" s="30" t="s">
        <v>2719</v>
      </c>
      <c r="S195" t="str">
        <f>IF(AND('07-Paper Priority'!$A$5&gt;=MATCH($J195,'07-Paper Priority'!$B$5:$B$26,0),OR(AND($E195&lt;='07-Paper Priority'!$C$5,$F195&lt;='07-Paper Priority'!$D$5),AND($E195&lt;='07-Paper Priority'!$D$5,$F195&lt;='07-Paper Priority'!$C$5))),'07-Paper Priority'!$A$5,"")</f>
        <v/>
      </c>
      <c r="T195" t="str">
        <f>IF(AND('07-Paper Priority'!$A$6&gt;=MATCH($J195,'07-Paper Priority'!$B$5:$B$26,0),OR(AND($E195&lt;='07-Paper Priority'!$C$6,$F195&lt;='07-Paper Priority'!$D$6),AND($E195&lt;='07-Paper Priority'!$D$6,$F195&lt;='07-Paper Priority'!$C$6))),'07-Paper Priority'!$A$6,"")</f>
        <v/>
      </c>
      <c r="U195" t="str">
        <f>IF(AND('07-Paper Priority'!$A$7&gt;=MATCH($J195,'07-Paper Priority'!$B$5:$B$26,0),OR(AND($E195&lt;='07-Paper Priority'!$C$7,$F195&lt;='07-Paper Priority'!$D$7),AND($E195&lt;='07-Paper Priority'!$D$7,$F195&lt;='07-Paper Priority'!$C$7))),'07-Paper Priority'!$A$7,"")</f>
        <v/>
      </c>
      <c r="V195" t="str">
        <f>IF(AND('07-Paper Priority'!$A$8&gt;=MATCH($J195,'07-Paper Priority'!$B$5:$B$26,0),OR(AND($E195&lt;='07-Paper Priority'!$C$8,$F195&lt;='07-Paper Priority'!$D$8),AND($E195&lt;='07-Paper Priority'!$D$8,$F195&lt;='07-Paper Priority'!$C$8))),'07-Paper Priority'!$A$8,"")</f>
        <v/>
      </c>
      <c r="W195" t="str">
        <f>IF(AND('07-Paper Priority'!$A$9&gt;=MATCH($J195,'07-Paper Priority'!$B$5:$B$26,0),OR(AND($E195&lt;='07-Paper Priority'!$C$9,$F195&lt;='07-Paper Priority'!$D$9),AND($E195&lt;='07-Paper Priority'!$D$9,$F195&lt;='07-Paper Priority'!$C$9))),'07-Paper Priority'!$A$9,"")</f>
        <v/>
      </c>
      <c r="X195" t="str">
        <f>IF(AND('07-Paper Priority'!$A$10&gt;=MATCH($J195,'07-Paper Priority'!$B$5:$B$26,0),OR(AND($E195&lt;='07-Paper Priority'!$C$10,$F195&lt;='07-Paper Priority'!$D$10),AND($E195&lt;='07-Paper Priority'!$D$10,$F195&lt;='07-Paper Priority'!$C$10))),'07-Paper Priority'!$A$10,"")</f>
        <v/>
      </c>
      <c r="Y195" t="str">
        <f>IF(AND('07-Paper Priority'!$A$11&gt;=MATCH($J195,'07-Paper Priority'!$B$5:$B$26,0),OR(AND($E195&lt;='07-Paper Priority'!$C$11,$F195&lt;='07-Paper Priority'!$D$11),AND($E195&lt;='07-Paper Priority'!$D$11,$F195&lt;='07-Paper Priority'!$C$11))),'07-Paper Priority'!$A$11,"")</f>
        <v/>
      </c>
      <c r="Z195" t="str">
        <f>IF(AND('07-Paper Priority'!$A$12&gt;=MATCH($J195,'07-Paper Priority'!$B$5:$B$26,0),OR(AND($E195&lt;='07-Paper Priority'!$C$12,$F195&lt;='07-Paper Priority'!$D$12),AND($E195&lt;='07-Paper Priority'!$D$12,$F195&lt;='07-Paper Priority'!$C$12))),'07-Paper Priority'!$A$12,"")</f>
        <v/>
      </c>
      <c r="AA195" t="str">
        <f>IF(AND('07-Paper Priority'!$A$13&gt;=MATCH($J195,'07-Paper Priority'!$B$5:$B$26,0),OR(AND($E195&lt;='07-Paper Priority'!$C$13,$F195&lt;='07-Paper Priority'!$D$13),AND($E195&lt;='07-Paper Priority'!$D$13,$F195&lt;='07-Paper Priority'!$C$13))),'07-Paper Priority'!$A$13,"")</f>
        <v/>
      </c>
      <c r="AB195" t="str">
        <f>IF(AND('07-Paper Priority'!$A$14&gt;=MATCH($J195,'07-Paper Priority'!$B$5:$B$26,0),OR(AND($E195&lt;='07-Paper Priority'!$C$14,$F195&lt;='07-Paper Priority'!$D$14),AND($E195&lt;='07-Paper Priority'!$D$14,$F195&lt;='07-Paper Priority'!$C$14))),'07-Paper Priority'!$A$14,"")</f>
        <v/>
      </c>
      <c r="AC195" t="str">
        <f>IF(AND('07-Paper Priority'!$A$15&gt;=MATCH($J195,'07-Paper Priority'!$B$5:$B$26,0),OR(AND($E195&lt;='07-Paper Priority'!$C$15,$F195&lt;='07-Paper Priority'!$D$15),AND($E195&lt;='07-Paper Priority'!$D$15,$F195&lt;='07-Paper Priority'!$C$15))),'07-Paper Priority'!$A$15,"")</f>
        <v/>
      </c>
      <c r="AD195">
        <f>IF(AND('07-Paper Priority'!$A$16&gt;=MATCH($J195,'07-Paper Priority'!$B$5:$B$26,0),OR(AND($E195&lt;='07-Paper Priority'!$C$16,$F195&lt;='07-Paper Priority'!$D$16),AND($E195&lt;='07-Paper Priority'!$D$16,$F195&lt;='07-Paper Priority'!$C$16))),'07-Paper Priority'!$A$16,"")</f>
        <v>12</v>
      </c>
      <c r="AE195">
        <f>IF(AND('07-Paper Priority'!$A$17&gt;=MATCH($J195,'07-Paper Priority'!$B$5:$B$26,0),OR(AND($E195&lt;='07-Paper Priority'!$C$17,$F195&lt;='07-Paper Priority'!$D$17),AND($E195&lt;='07-Paper Priority'!$D$17,$F195&lt;='07-Paper Priority'!$C$17))),'07-Paper Priority'!$A$17,"")</f>
        <v>13</v>
      </c>
      <c r="AF195">
        <f>IF(AND('07-Paper Priority'!$A$18&gt;=MATCH($J195,'07-Paper Priority'!$B$5:$B$26,0),OR(AND($E195&lt;='07-Paper Priority'!$C$18,$F195&lt;='07-Paper Priority'!$D$18),AND($E195&lt;='07-Paper Priority'!$D$18,$F195&lt;='07-Paper Priority'!$C$18))),'07-Paper Priority'!$A$18,"")</f>
        <v>14</v>
      </c>
      <c r="AG195">
        <f>IF(AND('07-Paper Priority'!$A$19&gt;=MATCH($J195,'07-Paper Priority'!$B$5:$B$26,0),OR(AND($E195&lt;='07-Paper Priority'!$C$19,$F195&lt;='07-Paper Priority'!$D$19),AND($E195&lt;='07-Paper Priority'!$D$19,$F195&lt;='07-Paper Priority'!$C$19))),'07-Paper Priority'!$A$19,"")</f>
        <v>15</v>
      </c>
      <c r="AH195">
        <f>IF(AND('07-Paper Priority'!$A$20&gt;=MATCH($J195,'07-Paper Priority'!$B$5:$B$26,0),OR(AND($E195&lt;='07-Paper Priority'!$C$20,$F195&lt;='07-Paper Priority'!$D$20),AND($E195&lt;='07-Paper Priority'!$D$20,$F195&lt;='07-Paper Priority'!$C$20))),'07-Paper Priority'!$A$20,"")</f>
        <v>16</v>
      </c>
      <c r="AI195">
        <f>IF(AND('07-Paper Priority'!$A$21&gt;=MATCH($J195,'07-Paper Priority'!$B$5:$B$26,0),OR(AND($E195&lt;='07-Paper Priority'!$C$21,$F195&lt;='07-Paper Priority'!$D$21),AND($E195&lt;='07-Paper Priority'!$D$21,$F195&lt;='07-Paper Priority'!$C$21))),'07-Paper Priority'!$A$21,"")</f>
        <v>17</v>
      </c>
      <c r="AJ195">
        <f>IF(AND('07-Paper Priority'!$A$22&gt;=MATCH($J195,'07-Paper Priority'!$B$5:$B$26,0),OR(AND($E195&lt;='07-Paper Priority'!$C$22,$F195&lt;='07-Paper Priority'!$D$22),AND($E195&lt;='07-Paper Priority'!$D$22,$F195&lt;='07-Paper Priority'!$C$22))),'07-Paper Priority'!$A$22,"")</f>
        <v>18</v>
      </c>
      <c r="AK195">
        <f>IF(AND('07-Paper Priority'!$A$23&gt;=MATCH($J195,'07-Paper Priority'!$B$5:$B$26,0),OR(AND($E195&lt;='07-Paper Priority'!$C$23,$F195&lt;='07-Paper Priority'!$D$23),AND($E195&lt;='07-Paper Priority'!$D$23,$F195&lt;='07-Paper Priority'!$C$23))),'07-Paper Priority'!$A$23,"")</f>
        <v>19</v>
      </c>
      <c r="AL195">
        <f>IF(AND('07-Paper Priority'!$A$24&gt;=MATCH($J195,'07-Paper Priority'!$B$5:$B$26,0),OR(AND($E195&lt;='07-Paper Priority'!$C$24,$F195&lt;='07-Paper Priority'!$D$24),AND($E195&lt;='07-Paper Priority'!$D$24,$F195&lt;='07-Paper Priority'!$C$24))),'07-Paper Priority'!$A$24,"")</f>
        <v>20</v>
      </c>
      <c r="AM195">
        <f>IF(AND('07-Paper Priority'!$A$25&gt;=MATCH($J195,'07-Paper Priority'!$B$5:$B$26,0),OR(AND($E195&lt;='07-Paper Priority'!$C$25,$F195&lt;='07-Paper Priority'!$D$25),AND($E195&lt;='07-Paper Priority'!$D$25,$F195&lt;='07-Paper Priority'!$C$25))),'07-Paper Priority'!$A$25,"")</f>
        <v>21</v>
      </c>
      <c r="AN195">
        <f>IF(AND('07-Paper Priority'!$A$26&gt;=MATCH($J195,'07-Paper Priority'!$B$5:$B$26,0),OR(AND($E195&lt;='07-Paper Priority'!$C$26,$F195&lt;='07-Paper Priority'!$D$26),AND($E195&lt;='07-Paper Priority'!$D$26,$F195&lt;='07-Paper Priority'!$C$26))),'07-Paper Priority'!$A$26,"")</f>
        <v>22</v>
      </c>
    </row>
    <row r="196" spans="1:40" ht="33.950000000000003" customHeight="1">
      <c r="A196" s="30" t="s">
        <v>2723</v>
      </c>
      <c r="B196" s="30" t="s">
        <v>2700</v>
      </c>
      <c r="C196" s="30" t="s">
        <v>2549</v>
      </c>
      <c r="D196" s="30" t="s">
        <v>2711</v>
      </c>
      <c r="E196" s="23">
        <v>300</v>
      </c>
      <c r="F196" s="23">
        <v>400</v>
      </c>
      <c r="G196" s="30" t="s">
        <v>2724</v>
      </c>
      <c r="H196" s="30" t="s">
        <v>2725</v>
      </c>
      <c r="I196" s="24" t="s">
        <v>64</v>
      </c>
      <c r="J196" s="25" t="s">
        <v>1906</v>
      </c>
      <c r="K196" s="26" t="str">
        <f>IF(COUNT(S196:AN196)=0,"NO FIT",INDEX('07-Paper Priority'!$B$5:$B$26,MIN(S196:AN196)))</f>
        <v>B3</v>
      </c>
      <c r="L196" s="26" t="str">
        <f>IF($K196="NO FIT","",IF(AND($E196&lt;=INDEX('07-Paper Priority'!$C$5:$C$26,MATCH($K196,'07-Paper Priority'!$B$5:$B$26,0)),$F196&lt;=INDEX('07-Paper Priority'!$D$5:$D$26,MATCH($K196,'07-Paper Priority'!$B$5:$B$26,0))),"PORTRAIT","ROTATED"))</f>
        <v>PORTRAIT</v>
      </c>
      <c r="M196" s="27">
        <f>IF($K196="NO FIT","",IF($L196="PORTRAIT",INDEX('07-Paper Priority'!$C$5:$C$26,MATCH($K196,'07-Paper Priority'!$B$5:$B$26,0)),INDEX('07-Paper Priority'!$D$5:$D$26,MATCH($K196,'07-Paper Priority'!$B$5:$B$26,0))))</f>
        <v>353</v>
      </c>
      <c r="N196" s="27">
        <f>IF($K196="NO FIT","",IF($L196="PORTRAIT",INDEX('07-Paper Priority'!$D$5:$D$26,MATCH($K196,'07-Paper Priority'!$B$5:$B$26,0)),INDEX('07-Paper Priority'!$C$5:$C$26,MATCH($K196,'07-Paper Priority'!$B$5:$B$26,0))))</f>
        <v>500</v>
      </c>
      <c r="O196" s="27">
        <f>IF($K196="NO FIT","",$M196-$E196)</f>
        <v>53</v>
      </c>
      <c r="P196" s="27">
        <f>IF($K196="NO FIT","",$N196-$F196)</f>
        <v>100</v>
      </c>
      <c r="Q196" s="28" t="str">
        <f>IF($K196="NO FIT","REVIEW - NO PAPER FIT",IF(OR($O196&lt;0,$P196&lt;0),"ERROR - FIT",IF(COUNTIF('02-Printing Size'!$A$2:$A$2169,$K196)=0,"ERROR - CODE MISSING","VALID - LOWEST PAPER")))</f>
        <v>VALID - LOWEST PAPER</v>
      </c>
      <c r="R196" s="30" t="s">
        <v>2726</v>
      </c>
      <c r="S196" t="str">
        <f>IF(AND('07-Paper Priority'!$A$5&gt;=MATCH($J196,'07-Paper Priority'!$B$5:$B$26,0),OR(AND($E196&lt;='07-Paper Priority'!$C$5,$F196&lt;='07-Paper Priority'!$D$5),AND($E196&lt;='07-Paper Priority'!$D$5,$F196&lt;='07-Paper Priority'!$C$5))),'07-Paper Priority'!$A$5,"")</f>
        <v/>
      </c>
      <c r="T196" t="str">
        <f>IF(AND('07-Paper Priority'!$A$6&gt;=MATCH($J196,'07-Paper Priority'!$B$5:$B$26,0),OR(AND($E196&lt;='07-Paper Priority'!$C$6,$F196&lt;='07-Paper Priority'!$D$6),AND($E196&lt;='07-Paper Priority'!$D$6,$F196&lt;='07-Paper Priority'!$C$6))),'07-Paper Priority'!$A$6,"")</f>
        <v/>
      </c>
      <c r="U196" t="str">
        <f>IF(AND('07-Paper Priority'!$A$7&gt;=MATCH($J196,'07-Paper Priority'!$B$5:$B$26,0),OR(AND($E196&lt;='07-Paper Priority'!$C$7,$F196&lt;='07-Paper Priority'!$D$7),AND($E196&lt;='07-Paper Priority'!$D$7,$F196&lt;='07-Paper Priority'!$C$7))),'07-Paper Priority'!$A$7,"")</f>
        <v/>
      </c>
      <c r="V196" t="str">
        <f>IF(AND('07-Paper Priority'!$A$8&gt;=MATCH($J196,'07-Paper Priority'!$B$5:$B$26,0),OR(AND($E196&lt;='07-Paper Priority'!$C$8,$F196&lt;='07-Paper Priority'!$D$8),AND($E196&lt;='07-Paper Priority'!$D$8,$F196&lt;='07-Paper Priority'!$C$8))),'07-Paper Priority'!$A$8,"")</f>
        <v/>
      </c>
      <c r="W196" t="str">
        <f>IF(AND('07-Paper Priority'!$A$9&gt;=MATCH($J196,'07-Paper Priority'!$B$5:$B$26,0),OR(AND($E196&lt;='07-Paper Priority'!$C$9,$F196&lt;='07-Paper Priority'!$D$9),AND($E196&lt;='07-Paper Priority'!$D$9,$F196&lt;='07-Paper Priority'!$C$9))),'07-Paper Priority'!$A$9,"")</f>
        <v/>
      </c>
      <c r="X196" t="str">
        <f>IF(AND('07-Paper Priority'!$A$10&gt;=MATCH($J196,'07-Paper Priority'!$B$5:$B$26,0),OR(AND($E196&lt;='07-Paper Priority'!$C$10,$F196&lt;='07-Paper Priority'!$D$10),AND($E196&lt;='07-Paper Priority'!$D$10,$F196&lt;='07-Paper Priority'!$C$10))),'07-Paper Priority'!$A$10,"")</f>
        <v/>
      </c>
      <c r="Y196" t="str">
        <f>IF(AND('07-Paper Priority'!$A$11&gt;=MATCH($J196,'07-Paper Priority'!$B$5:$B$26,0),OR(AND($E196&lt;='07-Paper Priority'!$C$11,$F196&lt;='07-Paper Priority'!$D$11),AND($E196&lt;='07-Paper Priority'!$D$11,$F196&lt;='07-Paper Priority'!$C$11))),'07-Paper Priority'!$A$11,"")</f>
        <v/>
      </c>
      <c r="Z196" t="str">
        <f>IF(AND('07-Paper Priority'!$A$12&gt;=MATCH($J196,'07-Paper Priority'!$B$5:$B$26,0),OR(AND($E196&lt;='07-Paper Priority'!$C$12,$F196&lt;='07-Paper Priority'!$D$12),AND($E196&lt;='07-Paper Priority'!$D$12,$F196&lt;='07-Paper Priority'!$C$12))),'07-Paper Priority'!$A$12,"")</f>
        <v/>
      </c>
      <c r="AA196" t="str">
        <f>IF(AND('07-Paper Priority'!$A$13&gt;=MATCH($J196,'07-Paper Priority'!$B$5:$B$26,0),OR(AND($E196&lt;='07-Paper Priority'!$C$13,$F196&lt;='07-Paper Priority'!$D$13),AND($E196&lt;='07-Paper Priority'!$D$13,$F196&lt;='07-Paper Priority'!$C$13))),'07-Paper Priority'!$A$13,"")</f>
        <v/>
      </c>
      <c r="AB196" t="str">
        <f>IF(AND('07-Paper Priority'!$A$14&gt;=MATCH($J196,'07-Paper Priority'!$B$5:$B$26,0),OR(AND($E196&lt;='07-Paper Priority'!$C$14,$F196&lt;='07-Paper Priority'!$D$14),AND($E196&lt;='07-Paper Priority'!$D$14,$F196&lt;='07-Paper Priority'!$C$14))),'07-Paper Priority'!$A$14,"")</f>
        <v/>
      </c>
      <c r="AC196" t="str">
        <f>IF(AND('07-Paper Priority'!$A$15&gt;=MATCH($J196,'07-Paper Priority'!$B$5:$B$26,0),OR(AND($E196&lt;='07-Paper Priority'!$C$15,$F196&lt;='07-Paper Priority'!$D$15),AND($E196&lt;='07-Paper Priority'!$D$15,$F196&lt;='07-Paper Priority'!$C$15))),'07-Paper Priority'!$A$15,"")</f>
        <v/>
      </c>
      <c r="AD196" t="str">
        <f>IF(AND('07-Paper Priority'!$A$16&gt;=MATCH($J196,'07-Paper Priority'!$B$5:$B$26,0),OR(AND($E196&lt;='07-Paper Priority'!$C$16,$F196&lt;='07-Paper Priority'!$D$16),AND($E196&lt;='07-Paper Priority'!$D$16,$F196&lt;='07-Paper Priority'!$C$16))),'07-Paper Priority'!$A$16,"")</f>
        <v/>
      </c>
      <c r="AE196" t="str">
        <f>IF(AND('07-Paper Priority'!$A$17&gt;=MATCH($J196,'07-Paper Priority'!$B$5:$B$26,0),OR(AND($E196&lt;='07-Paper Priority'!$C$17,$F196&lt;='07-Paper Priority'!$D$17),AND($E196&lt;='07-Paper Priority'!$D$17,$F196&lt;='07-Paper Priority'!$C$17))),'07-Paper Priority'!$A$17,"")</f>
        <v/>
      </c>
      <c r="AF196" t="str">
        <f>IF(AND('07-Paper Priority'!$A$18&gt;=MATCH($J196,'07-Paper Priority'!$B$5:$B$26,0),OR(AND($E196&lt;='07-Paper Priority'!$C$18,$F196&lt;='07-Paper Priority'!$D$18),AND($E196&lt;='07-Paper Priority'!$D$18,$F196&lt;='07-Paper Priority'!$C$18))),'07-Paper Priority'!$A$18,"")</f>
        <v/>
      </c>
      <c r="AG196" t="str">
        <f>IF(AND('07-Paper Priority'!$A$19&gt;=MATCH($J196,'07-Paper Priority'!$B$5:$B$26,0),OR(AND($E196&lt;='07-Paper Priority'!$C$19,$F196&lt;='07-Paper Priority'!$D$19),AND($E196&lt;='07-Paper Priority'!$D$19,$F196&lt;='07-Paper Priority'!$C$19))),'07-Paper Priority'!$A$19,"")</f>
        <v/>
      </c>
      <c r="AH196">
        <f>IF(AND('07-Paper Priority'!$A$20&gt;=MATCH($J196,'07-Paper Priority'!$B$5:$B$26,0),OR(AND($E196&lt;='07-Paper Priority'!$C$20,$F196&lt;='07-Paper Priority'!$D$20),AND($E196&lt;='07-Paper Priority'!$D$20,$F196&lt;='07-Paper Priority'!$C$20))),'07-Paper Priority'!$A$20,"")</f>
        <v>16</v>
      </c>
      <c r="AI196">
        <f>IF(AND('07-Paper Priority'!$A$21&gt;=MATCH($J196,'07-Paper Priority'!$B$5:$B$26,0),OR(AND($E196&lt;='07-Paper Priority'!$C$21,$F196&lt;='07-Paper Priority'!$D$21),AND($E196&lt;='07-Paper Priority'!$D$21,$F196&lt;='07-Paper Priority'!$C$21))),'07-Paper Priority'!$A$21,"")</f>
        <v>17</v>
      </c>
      <c r="AJ196">
        <f>IF(AND('07-Paper Priority'!$A$22&gt;=MATCH($J196,'07-Paper Priority'!$B$5:$B$26,0),OR(AND($E196&lt;='07-Paper Priority'!$C$22,$F196&lt;='07-Paper Priority'!$D$22),AND($E196&lt;='07-Paper Priority'!$D$22,$F196&lt;='07-Paper Priority'!$C$22))),'07-Paper Priority'!$A$22,"")</f>
        <v>18</v>
      </c>
      <c r="AK196">
        <f>IF(AND('07-Paper Priority'!$A$23&gt;=MATCH($J196,'07-Paper Priority'!$B$5:$B$26,0),OR(AND($E196&lt;='07-Paper Priority'!$C$23,$F196&lt;='07-Paper Priority'!$D$23),AND($E196&lt;='07-Paper Priority'!$D$23,$F196&lt;='07-Paper Priority'!$C$23))),'07-Paper Priority'!$A$23,"")</f>
        <v>19</v>
      </c>
      <c r="AL196">
        <f>IF(AND('07-Paper Priority'!$A$24&gt;=MATCH($J196,'07-Paper Priority'!$B$5:$B$26,0),OR(AND($E196&lt;='07-Paper Priority'!$C$24,$F196&lt;='07-Paper Priority'!$D$24),AND($E196&lt;='07-Paper Priority'!$D$24,$F196&lt;='07-Paper Priority'!$C$24))),'07-Paper Priority'!$A$24,"")</f>
        <v>20</v>
      </c>
      <c r="AM196">
        <f>IF(AND('07-Paper Priority'!$A$25&gt;=MATCH($J196,'07-Paper Priority'!$B$5:$B$26,0),OR(AND($E196&lt;='07-Paper Priority'!$C$25,$F196&lt;='07-Paper Priority'!$D$25),AND($E196&lt;='07-Paper Priority'!$D$25,$F196&lt;='07-Paper Priority'!$C$25))),'07-Paper Priority'!$A$25,"")</f>
        <v>21</v>
      </c>
      <c r="AN196">
        <f>IF(AND('07-Paper Priority'!$A$26&gt;=MATCH($J196,'07-Paper Priority'!$B$5:$B$26,0),OR(AND($E196&lt;='07-Paper Priority'!$C$26,$F196&lt;='07-Paper Priority'!$D$26),AND($E196&lt;='07-Paper Priority'!$D$26,$F196&lt;='07-Paper Priority'!$C$26))),'07-Paper Priority'!$A$26,"")</f>
        <v>22</v>
      </c>
    </row>
    <row r="197" spans="1:40" ht="33.950000000000003" customHeight="1">
      <c r="A197" s="30" t="s">
        <v>2727</v>
      </c>
      <c r="B197" s="30" t="s">
        <v>2700</v>
      </c>
      <c r="C197" s="30" t="s">
        <v>2549</v>
      </c>
      <c r="D197" s="30" t="s">
        <v>2611</v>
      </c>
      <c r="E197" s="23">
        <v>250</v>
      </c>
      <c r="F197" s="23">
        <v>120</v>
      </c>
      <c r="G197" s="30" t="s">
        <v>2728</v>
      </c>
      <c r="H197" s="30" t="s">
        <v>2729</v>
      </c>
      <c r="I197" s="24" t="s">
        <v>2558</v>
      </c>
      <c r="J197" s="25" t="s">
        <v>504</v>
      </c>
      <c r="K197" s="26" t="str">
        <f>IF(COUNT(S197:AN197)=0,"NO FIT",INDEX('07-Paper Priority'!$B$5:$B$26,MIN(S197:AN197)))</f>
        <v>A4</v>
      </c>
      <c r="L197" s="26" t="str">
        <f>IF($K197="NO FIT","",IF(AND($E197&lt;=INDEX('07-Paper Priority'!$C$5:$C$26,MATCH($K197,'07-Paper Priority'!$B$5:$B$26,0)),$F197&lt;=INDEX('07-Paper Priority'!$D$5:$D$26,MATCH($K197,'07-Paper Priority'!$B$5:$B$26,0))),"PORTRAIT","ROTATED"))</f>
        <v>ROTATED</v>
      </c>
      <c r="M197" s="27">
        <f>IF($K197="NO FIT","",IF($L197="PORTRAIT",INDEX('07-Paper Priority'!$C$5:$C$26,MATCH($K197,'07-Paper Priority'!$B$5:$B$26,0)),INDEX('07-Paper Priority'!$D$5:$D$26,MATCH($K197,'07-Paper Priority'!$B$5:$B$26,0))))</f>
        <v>297</v>
      </c>
      <c r="N197" s="27">
        <f>IF($K197="NO FIT","",IF($L197="PORTRAIT",INDEX('07-Paper Priority'!$D$5:$D$26,MATCH($K197,'07-Paper Priority'!$B$5:$B$26,0)),INDEX('07-Paper Priority'!$C$5:$C$26,MATCH($K197,'07-Paper Priority'!$B$5:$B$26,0))))</f>
        <v>210</v>
      </c>
      <c r="O197" s="27">
        <f>IF($K197="NO FIT","",$M197-$E197)</f>
        <v>47</v>
      </c>
      <c r="P197" s="27">
        <f>IF($K197="NO FIT","",$N197-$F197)</f>
        <v>90</v>
      </c>
      <c r="Q197" s="28" t="str">
        <f>IF($K197="NO FIT","REVIEW - NO PAPER FIT",IF(OR($O197&lt;0,$P197&lt;0),"ERROR - FIT",IF(COUNTIF('02-Printing Size'!$A$2:$A$2169,$K197)=0,"ERROR - CODE MISSING","VALID - LOWEST PAPER")))</f>
        <v>VALID - LOWEST PAPER</v>
      </c>
      <c r="R197" s="30" t="s">
        <v>2730</v>
      </c>
      <c r="S197" t="str">
        <f>IF(AND('07-Paper Priority'!$A$5&gt;=MATCH($J197,'07-Paper Priority'!$B$5:$B$26,0),OR(AND($E197&lt;='07-Paper Priority'!$C$5,$F197&lt;='07-Paper Priority'!$D$5),AND($E197&lt;='07-Paper Priority'!$D$5,$F197&lt;='07-Paper Priority'!$C$5))),'07-Paper Priority'!$A$5,"")</f>
        <v/>
      </c>
      <c r="T197" t="str">
        <f>IF(AND('07-Paper Priority'!$A$6&gt;=MATCH($J197,'07-Paper Priority'!$B$5:$B$26,0),OR(AND($E197&lt;='07-Paper Priority'!$C$6,$F197&lt;='07-Paper Priority'!$D$6),AND($E197&lt;='07-Paper Priority'!$D$6,$F197&lt;='07-Paper Priority'!$C$6))),'07-Paper Priority'!$A$6,"")</f>
        <v/>
      </c>
      <c r="U197" t="str">
        <f>IF(AND('07-Paper Priority'!$A$7&gt;=MATCH($J197,'07-Paper Priority'!$B$5:$B$26,0),OR(AND($E197&lt;='07-Paper Priority'!$C$7,$F197&lt;='07-Paper Priority'!$D$7),AND($E197&lt;='07-Paper Priority'!$D$7,$F197&lt;='07-Paper Priority'!$C$7))),'07-Paper Priority'!$A$7,"")</f>
        <v/>
      </c>
      <c r="V197" t="str">
        <f>IF(AND('07-Paper Priority'!$A$8&gt;=MATCH($J197,'07-Paper Priority'!$B$5:$B$26,0),OR(AND($E197&lt;='07-Paper Priority'!$C$8,$F197&lt;='07-Paper Priority'!$D$8),AND($E197&lt;='07-Paper Priority'!$D$8,$F197&lt;='07-Paper Priority'!$C$8))),'07-Paper Priority'!$A$8,"")</f>
        <v/>
      </c>
      <c r="W197" t="str">
        <f>IF(AND('07-Paper Priority'!$A$9&gt;=MATCH($J197,'07-Paper Priority'!$B$5:$B$26,0),OR(AND($E197&lt;='07-Paper Priority'!$C$9,$F197&lt;='07-Paper Priority'!$D$9),AND($E197&lt;='07-Paper Priority'!$D$9,$F197&lt;='07-Paper Priority'!$C$9))),'07-Paper Priority'!$A$9,"")</f>
        <v/>
      </c>
      <c r="X197" t="str">
        <f>IF(AND('07-Paper Priority'!$A$10&gt;=MATCH($J197,'07-Paper Priority'!$B$5:$B$26,0),OR(AND($E197&lt;='07-Paper Priority'!$C$10,$F197&lt;='07-Paper Priority'!$D$10),AND($E197&lt;='07-Paper Priority'!$D$10,$F197&lt;='07-Paper Priority'!$C$10))),'07-Paper Priority'!$A$10,"")</f>
        <v/>
      </c>
      <c r="Y197" t="str">
        <f>IF(AND('07-Paper Priority'!$A$11&gt;=MATCH($J197,'07-Paper Priority'!$B$5:$B$26,0),OR(AND($E197&lt;='07-Paper Priority'!$C$11,$F197&lt;='07-Paper Priority'!$D$11),AND($E197&lt;='07-Paper Priority'!$D$11,$F197&lt;='07-Paper Priority'!$C$11))),'07-Paper Priority'!$A$11,"")</f>
        <v/>
      </c>
      <c r="Z197" t="str">
        <f>IF(AND('07-Paper Priority'!$A$12&gt;=MATCH($J197,'07-Paper Priority'!$B$5:$B$26,0),OR(AND($E197&lt;='07-Paper Priority'!$C$12,$F197&lt;='07-Paper Priority'!$D$12),AND($E197&lt;='07-Paper Priority'!$D$12,$F197&lt;='07-Paper Priority'!$C$12))),'07-Paper Priority'!$A$12,"")</f>
        <v/>
      </c>
      <c r="AA197" t="str">
        <f>IF(AND('07-Paper Priority'!$A$13&gt;=MATCH($J197,'07-Paper Priority'!$B$5:$B$26,0),OR(AND($E197&lt;='07-Paper Priority'!$C$13,$F197&lt;='07-Paper Priority'!$D$13),AND($E197&lt;='07-Paper Priority'!$D$13,$F197&lt;='07-Paper Priority'!$C$13))),'07-Paper Priority'!$A$13,"")</f>
        <v/>
      </c>
      <c r="AB197" t="str">
        <f>IF(AND('07-Paper Priority'!$A$14&gt;=MATCH($J197,'07-Paper Priority'!$B$5:$B$26,0),OR(AND($E197&lt;='07-Paper Priority'!$C$14,$F197&lt;='07-Paper Priority'!$D$14),AND($E197&lt;='07-Paper Priority'!$D$14,$F197&lt;='07-Paper Priority'!$C$14))),'07-Paper Priority'!$A$14,"")</f>
        <v/>
      </c>
      <c r="AC197" t="str">
        <f>IF(AND('07-Paper Priority'!$A$15&gt;=MATCH($J197,'07-Paper Priority'!$B$5:$B$26,0),OR(AND($E197&lt;='07-Paper Priority'!$C$15,$F197&lt;='07-Paper Priority'!$D$15),AND($E197&lt;='07-Paper Priority'!$D$15,$F197&lt;='07-Paper Priority'!$C$15))),'07-Paper Priority'!$A$15,"")</f>
        <v/>
      </c>
      <c r="AD197" t="str">
        <f>IF(AND('07-Paper Priority'!$A$16&gt;=MATCH($J197,'07-Paper Priority'!$B$5:$B$26,0),OR(AND($E197&lt;='07-Paper Priority'!$C$16,$F197&lt;='07-Paper Priority'!$D$16),AND($E197&lt;='07-Paper Priority'!$D$16,$F197&lt;='07-Paper Priority'!$C$16))),'07-Paper Priority'!$A$16,"")</f>
        <v/>
      </c>
      <c r="AE197">
        <f>IF(AND('07-Paper Priority'!$A$17&gt;=MATCH($J197,'07-Paper Priority'!$B$5:$B$26,0),OR(AND($E197&lt;='07-Paper Priority'!$C$17,$F197&lt;='07-Paper Priority'!$D$17),AND($E197&lt;='07-Paper Priority'!$D$17,$F197&lt;='07-Paper Priority'!$C$17))),'07-Paper Priority'!$A$17,"")</f>
        <v>13</v>
      </c>
      <c r="AF197">
        <f>IF(AND('07-Paper Priority'!$A$18&gt;=MATCH($J197,'07-Paper Priority'!$B$5:$B$26,0),OR(AND($E197&lt;='07-Paper Priority'!$C$18,$F197&lt;='07-Paper Priority'!$D$18),AND($E197&lt;='07-Paper Priority'!$D$18,$F197&lt;='07-Paper Priority'!$C$18))),'07-Paper Priority'!$A$18,"")</f>
        <v>14</v>
      </c>
      <c r="AG197">
        <f>IF(AND('07-Paper Priority'!$A$19&gt;=MATCH($J197,'07-Paper Priority'!$B$5:$B$26,0),OR(AND($E197&lt;='07-Paper Priority'!$C$19,$F197&lt;='07-Paper Priority'!$D$19),AND($E197&lt;='07-Paper Priority'!$D$19,$F197&lt;='07-Paper Priority'!$C$19))),'07-Paper Priority'!$A$19,"")</f>
        <v>15</v>
      </c>
      <c r="AH197">
        <f>IF(AND('07-Paper Priority'!$A$20&gt;=MATCH($J197,'07-Paper Priority'!$B$5:$B$26,0),OR(AND($E197&lt;='07-Paper Priority'!$C$20,$F197&lt;='07-Paper Priority'!$D$20),AND($E197&lt;='07-Paper Priority'!$D$20,$F197&lt;='07-Paper Priority'!$C$20))),'07-Paper Priority'!$A$20,"")</f>
        <v>16</v>
      </c>
      <c r="AI197">
        <f>IF(AND('07-Paper Priority'!$A$21&gt;=MATCH($J197,'07-Paper Priority'!$B$5:$B$26,0),OR(AND($E197&lt;='07-Paper Priority'!$C$21,$F197&lt;='07-Paper Priority'!$D$21),AND($E197&lt;='07-Paper Priority'!$D$21,$F197&lt;='07-Paper Priority'!$C$21))),'07-Paper Priority'!$A$21,"")</f>
        <v>17</v>
      </c>
      <c r="AJ197">
        <f>IF(AND('07-Paper Priority'!$A$22&gt;=MATCH($J197,'07-Paper Priority'!$B$5:$B$26,0),OR(AND($E197&lt;='07-Paper Priority'!$C$22,$F197&lt;='07-Paper Priority'!$D$22),AND($E197&lt;='07-Paper Priority'!$D$22,$F197&lt;='07-Paper Priority'!$C$22))),'07-Paper Priority'!$A$22,"")</f>
        <v>18</v>
      </c>
      <c r="AK197">
        <f>IF(AND('07-Paper Priority'!$A$23&gt;=MATCH($J197,'07-Paper Priority'!$B$5:$B$26,0),OR(AND($E197&lt;='07-Paper Priority'!$C$23,$F197&lt;='07-Paper Priority'!$D$23),AND($E197&lt;='07-Paper Priority'!$D$23,$F197&lt;='07-Paper Priority'!$C$23))),'07-Paper Priority'!$A$23,"")</f>
        <v>19</v>
      </c>
      <c r="AL197">
        <f>IF(AND('07-Paper Priority'!$A$24&gt;=MATCH($J197,'07-Paper Priority'!$B$5:$B$26,0),OR(AND($E197&lt;='07-Paper Priority'!$C$24,$F197&lt;='07-Paper Priority'!$D$24),AND($E197&lt;='07-Paper Priority'!$D$24,$F197&lt;='07-Paper Priority'!$C$24))),'07-Paper Priority'!$A$24,"")</f>
        <v>20</v>
      </c>
      <c r="AM197">
        <f>IF(AND('07-Paper Priority'!$A$25&gt;=MATCH($J197,'07-Paper Priority'!$B$5:$B$26,0),OR(AND($E197&lt;='07-Paper Priority'!$C$25,$F197&lt;='07-Paper Priority'!$D$25),AND($E197&lt;='07-Paper Priority'!$D$25,$F197&lt;='07-Paper Priority'!$C$25))),'07-Paper Priority'!$A$25,"")</f>
        <v>21</v>
      </c>
      <c r="AN197">
        <f>IF(AND('07-Paper Priority'!$A$26&gt;=MATCH($J197,'07-Paper Priority'!$B$5:$B$26,0),OR(AND($E197&lt;='07-Paper Priority'!$C$26,$F197&lt;='07-Paper Priority'!$D$26),AND($E197&lt;='07-Paper Priority'!$D$26,$F197&lt;='07-Paper Priority'!$C$26))),'07-Paper Priority'!$A$26,"")</f>
        <v>22</v>
      </c>
    </row>
    <row r="198" spans="1:40" ht="33.950000000000003" customHeight="1">
      <c r="A198" s="30" t="s">
        <v>2731</v>
      </c>
      <c r="B198" s="30" t="s">
        <v>2732</v>
      </c>
      <c r="C198" s="30" t="s">
        <v>2549</v>
      </c>
      <c r="D198" s="30" t="s">
        <v>2611</v>
      </c>
      <c r="E198" s="23">
        <v>100</v>
      </c>
      <c r="F198" s="23">
        <v>80</v>
      </c>
      <c r="G198" s="30" t="s">
        <v>2733</v>
      </c>
      <c r="H198" s="30" t="s">
        <v>2734</v>
      </c>
      <c r="I198" s="24" t="s">
        <v>64</v>
      </c>
      <c r="J198" s="25" t="s">
        <v>2202</v>
      </c>
      <c r="K198" s="26" t="str">
        <f>IF(COUNT(S198:AN198)=0,"NO FIT",INDEX('07-Paper Priority'!$B$5:$B$26,MIN(S198:AN198)))</f>
        <v>B7</v>
      </c>
      <c r="L198" s="26" t="str">
        <f>IF($K198="NO FIT","",IF(AND($E198&lt;=INDEX('07-Paper Priority'!$C$5:$C$26,MATCH($K198,'07-Paper Priority'!$B$5:$B$26,0)),$F198&lt;=INDEX('07-Paper Priority'!$D$5:$D$26,MATCH($K198,'07-Paper Priority'!$B$5:$B$26,0))),"PORTRAIT","ROTATED"))</f>
        <v>ROTATED</v>
      </c>
      <c r="M198" s="27">
        <f>IF($K198="NO FIT","",IF($L198="PORTRAIT",INDEX('07-Paper Priority'!$C$5:$C$26,MATCH($K198,'07-Paper Priority'!$B$5:$B$26,0)),INDEX('07-Paper Priority'!$D$5:$D$26,MATCH($K198,'07-Paper Priority'!$B$5:$B$26,0))))</f>
        <v>125</v>
      </c>
      <c r="N198" s="27">
        <f>IF($K198="NO FIT","",IF($L198="PORTRAIT",INDEX('07-Paper Priority'!$D$5:$D$26,MATCH($K198,'07-Paper Priority'!$B$5:$B$26,0)),INDEX('07-Paper Priority'!$C$5:$C$26,MATCH($K198,'07-Paper Priority'!$B$5:$B$26,0))))</f>
        <v>88</v>
      </c>
      <c r="O198" s="27">
        <f>IF($K198="NO FIT","",$M198-$E198)</f>
        <v>25</v>
      </c>
      <c r="P198" s="27">
        <f>IF($K198="NO FIT","",$N198-$F198)</f>
        <v>8</v>
      </c>
      <c r="Q198" s="28" t="str">
        <f>IF($K198="NO FIT","REVIEW - NO PAPER FIT",IF(OR($O198&lt;0,$P198&lt;0),"ERROR - FIT",IF(COUNTIF('02-Printing Size'!$A$2:$A$2169,$K198)=0,"ERROR - CODE MISSING","VALID - LOWEST PAPER")))</f>
        <v>VALID - LOWEST PAPER</v>
      </c>
      <c r="R198" s="30" t="s">
        <v>2735</v>
      </c>
      <c r="S198" t="str">
        <f>IF(AND('07-Paper Priority'!$A$5&gt;=MATCH($J198,'07-Paper Priority'!$B$5:$B$26,0),OR(AND($E198&lt;='07-Paper Priority'!$C$5,$F198&lt;='07-Paper Priority'!$D$5),AND($E198&lt;='07-Paper Priority'!$D$5,$F198&lt;='07-Paper Priority'!$C$5))),'07-Paper Priority'!$A$5,"")</f>
        <v/>
      </c>
      <c r="T198" t="str">
        <f>IF(AND('07-Paper Priority'!$A$6&gt;=MATCH($J198,'07-Paper Priority'!$B$5:$B$26,0),OR(AND($E198&lt;='07-Paper Priority'!$C$6,$F198&lt;='07-Paper Priority'!$D$6),AND($E198&lt;='07-Paper Priority'!$D$6,$F198&lt;='07-Paper Priority'!$C$6))),'07-Paper Priority'!$A$6,"")</f>
        <v/>
      </c>
      <c r="U198" t="str">
        <f>IF(AND('07-Paper Priority'!$A$7&gt;=MATCH($J198,'07-Paper Priority'!$B$5:$B$26,0),OR(AND($E198&lt;='07-Paper Priority'!$C$7,$F198&lt;='07-Paper Priority'!$D$7),AND($E198&lt;='07-Paper Priority'!$D$7,$F198&lt;='07-Paper Priority'!$C$7))),'07-Paper Priority'!$A$7,"")</f>
        <v/>
      </c>
      <c r="V198" t="str">
        <f>IF(AND('07-Paper Priority'!$A$8&gt;=MATCH($J198,'07-Paper Priority'!$B$5:$B$26,0),OR(AND($E198&lt;='07-Paper Priority'!$C$8,$F198&lt;='07-Paper Priority'!$D$8),AND($E198&lt;='07-Paper Priority'!$D$8,$F198&lt;='07-Paper Priority'!$C$8))),'07-Paper Priority'!$A$8,"")</f>
        <v/>
      </c>
      <c r="W198" t="str">
        <f>IF(AND('07-Paper Priority'!$A$9&gt;=MATCH($J198,'07-Paper Priority'!$B$5:$B$26,0),OR(AND($E198&lt;='07-Paper Priority'!$C$9,$F198&lt;='07-Paper Priority'!$D$9),AND($E198&lt;='07-Paper Priority'!$D$9,$F198&lt;='07-Paper Priority'!$C$9))),'07-Paper Priority'!$A$9,"")</f>
        <v/>
      </c>
      <c r="X198" t="str">
        <f>IF(AND('07-Paper Priority'!$A$10&gt;=MATCH($J198,'07-Paper Priority'!$B$5:$B$26,0),OR(AND($E198&lt;='07-Paper Priority'!$C$10,$F198&lt;='07-Paper Priority'!$D$10),AND($E198&lt;='07-Paper Priority'!$D$10,$F198&lt;='07-Paper Priority'!$C$10))),'07-Paper Priority'!$A$10,"")</f>
        <v/>
      </c>
      <c r="Y198" t="str">
        <f>IF(AND('07-Paper Priority'!$A$11&gt;=MATCH($J198,'07-Paper Priority'!$B$5:$B$26,0),OR(AND($E198&lt;='07-Paper Priority'!$C$11,$F198&lt;='07-Paper Priority'!$D$11),AND($E198&lt;='07-Paper Priority'!$D$11,$F198&lt;='07-Paper Priority'!$C$11))),'07-Paper Priority'!$A$11,"")</f>
        <v/>
      </c>
      <c r="Z198">
        <f>IF(AND('07-Paper Priority'!$A$12&gt;=MATCH($J198,'07-Paper Priority'!$B$5:$B$26,0),OR(AND($E198&lt;='07-Paper Priority'!$C$12,$F198&lt;='07-Paper Priority'!$D$12),AND($E198&lt;='07-Paper Priority'!$D$12,$F198&lt;='07-Paper Priority'!$C$12))),'07-Paper Priority'!$A$12,"")</f>
        <v>8</v>
      </c>
      <c r="AA198">
        <f>IF(AND('07-Paper Priority'!$A$13&gt;=MATCH($J198,'07-Paper Priority'!$B$5:$B$26,0),OR(AND($E198&lt;='07-Paper Priority'!$C$13,$F198&lt;='07-Paper Priority'!$D$13),AND($E198&lt;='07-Paper Priority'!$D$13,$F198&lt;='07-Paper Priority'!$C$13))),'07-Paper Priority'!$A$13,"")</f>
        <v>9</v>
      </c>
      <c r="AB198">
        <f>IF(AND('07-Paper Priority'!$A$14&gt;=MATCH($J198,'07-Paper Priority'!$B$5:$B$26,0),OR(AND($E198&lt;='07-Paper Priority'!$C$14,$F198&lt;='07-Paper Priority'!$D$14),AND($E198&lt;='07-Paper Priority'!$D$14,$F198&lt;='07-Paper Priority'!$C$14))),'07-Paper Priority'!$A$14,"")</f>
        <v>10</v>
      </c>
      <c r="AC198">
        <f>IF(AND('07-Paper Priority'!$A$15&gt;=MATCH($J198,'07-Paper Priority'!$B$5:$B$26,0),OR(AND($E198&lt;='07-Paper Priority'!$C$15,$F198&lt;='07-Paper Priority'!$D$15),AND($E198&lt;='07-Paper Priority'!$D$15,$F198&lt;='07-Paper Priority'!$C$15))),'07-Paper Priority'!$A$15,"")</f>
        <v>11</v>
      </c>
      <c r="AD198">
        <f>IF(AND('07-Paper Priority'!$A$16&gt;=MATCH($J198,'07-Paper Priority'!$B$5:$B$26,0),OR(AND($E198&lt;='07-Paper Priority'!$C$16,$F198&lt;='07-Paper Priority'!$D$16),AND($E198&lt;='07-Paper Priority'!$D$16,$F198&lt;='07-Paper Priority'!$C$16))),'07-Paper Priority'!$A$16,"")</f>
        <v>12</v>
      </c>
      <c r="AE198">
        <f>IF(AND('07-Paper Priority'!$A$17&gt;=MATCH($J198,'07-Paper Priority'!$B$5:$B$26,0),OR(AND($E198&lt;='07-Paper Priority'!$C$17,$F198&lt;='07-Paper Priority'!$D$17),AND($E198&lt;='07-Paper Priority'!$D$17,$F198&lt;='07-Paper Priority'!$C$17))),'07-Paper Priority'!$A$17,"")</f>
        <v>13</v>
      </c>
      <c r="AF198">
        <f>IF(AND('07-Paper Priority'!$A$18&gt;=MATCH($J198,'07-Paper Priority'!$B$5:$B$26,0),OR(AND($E198&lt;='07-Paper Priority'!$C$18,$F198&lt;='07-Paper Priority'!$D$18),AND($E198&lt;='07-Paper Priority'!$D$18,$F198&lt;='07-Paper Priority'!$C$18))),'07-Paper Priority'!$A$18,"")</f>
        <v>14</v>
      </c>
      <c r="AG198">
        <f>IF(AND('07-Paper Priority'!$A$19&gt;=MATCH($J198,'07-Paper Priority'!$B$5:$B$26,0),OR(AND($E198&lt;='07-Paper Priority'!$C$19,$F198&lt;='07-Paper Priority'!$D$19),AND($E198&lt;='07-Paper Priority'!$D$19,$F198&lt;='07-Paper Priority'!$C$19))),'07-Paper Priority'!$A$19,"")</f>
        <v>15</v>
      </c>
      <c r="AH198">
        <f>IF(AND('07-Paper Priority'!$A$20&gt;=MATCH($J198,'07-Paper Priority'!$B$5:$B$26,0),OR(AND($E198&lt;='07-Paper Priority'!$C$20,$F198&lt;='07-Paper Priority'!$D$20),AND($E198&lt;='07-Paper Priority'!$D$20,$F198&lt;='07-Paper Priority'!$C$20))),'07-Paper Priority'!$A$20,"")</f>
        <v>16</v>
      </c>
      <c r="AI198">
        <f>IF(AND('07-Paper Priority'!$A$21&gt;=MATCH($J198,'07-Paper Priority'!$B$5:$B$26,0),OR(AND($E198&lt;='07-Paper Priority'!$C$21,$F198&lt;='07-Paper Priority'!$D$21),AND($E198&lt;='07-Paper Priority'!$D$21,$F198&lt;='07-Paper Priority'!$C$21))),'07-Paper Priority'!$A$21,"")</f>
        <v>17</v>
      </c>
      <c r="AJ198">
        <f>IF(AND('07-Paper Priority'!$A$22&gt;=MATCH($J198,'07-Paper Priority'!$B$5:$B$26,0),OR(AND($E198&lt;='07-Paper Priority'!$C$22,$F198&lt;='07-Paper Priority'!$D$22),AND($E198&lt;='07-Paper Priority'!$D$22,$F198&lt;='07-Paper Priority'!$C$22))),'07-Paper Priority'!$A$22,"")</f>
        <v>18</v>
      </c>
      <c r="AK198">
        <f>IF(AND('07-Paper Priority'!$A$23&gt;=MATCH($J198,'07-Paper Priority'!$B$5:$B$26,0),OR(AND($E198&lt;='07-Paper Priority'!$C$23,$F198&lt;='07-Paper Priority'!$D$23),AND($E198&lt;='07-Paper Priority'!$D$23,$F198&lt;='07-Paper Priority'!$C$23))),'07-Paper Priority'!$A$23,"")</f>
        <v>19</v>
      </c>
      <c r="AL198">
        <f>IF(AND('07-Paper Priority'!$A$24&gt;=MATCH($J198,'07-Paper Priority'!$B$5:$B$26,0),OR(AND($E198&lt;='07-Paper Priority'!$C$24,$F198&lt;='07-Paper Priority'!$D$24),AND($E198&lt;='07-Paper Priority'!$D$24,$F198&lt;='07-Paper Priority'!$C$24))),'07-Paper Priority'!$A$24,"")</f>
        <v>20</v>
      </c>
      <c r="AM198">
        <f>IF(AND('07-Paper Priority'!$A$25&gt;=MATCH($J198,'07-Paper Priority'!$B$5:$B$26,0),OR(AND($E198&lt;='07-Paper Priority'!$C$25,$F198&lt;='07-Paper Priority'!$D$25),AND($E198&lt;='07-Paper Priority'!$D$25,$F198&lt;='07-Paper Priority'!$C$25))),'07-Paper Priority'!$A$25,"")</f>
        <v>21</v>
      </c>
      <c r="AN198">
        <f>IF(AND('07-Paper Priority'!$A$26&gt;=MATCH($J198,'07-Paper Priority'!$B$5:$B$26,0),OR(AND($E198&lt;='07-Paper Priority'!$C$26,$F198&lt;='07-Paper Priority'!$D$26),AND($E198&lt;='07-Paper Priority'!$D$26,$F198&lt;='07-Paper Priority'!$C$26))),'07-Paper Priority'!$A$26,"")</f>
        <v>22</v>
      </c>
    </row>
    <row r="199" spans="1:40" ht="33.950000000000003" customHeight="1">
      <c r="A199" s="30" t="s">
        <v>2736</v>
      </c>
      <c r="B199" s="30" t="s">
        <v>2732</v>
      </c>
      <c r="C199" s="30" t="s">
        <v>2549</v>
      </c>
      <c r="D199" s="30" t="s">
        <v>2611</v>
      </c>
      <c r="E199" s="23">
        <v>120</v>
      </c>
      <c r="F199" s="23">
        <v>100</v>
      </c>
      <c r="G199" s="30" t="s">
        <v>2737</v>
      </c>
      <c r="H199" s="30" t="s">
        <v>2738</v>
      </c>
      <c r="I199" s="24" t="s">
        <v>64</v>
      </c>
      <c r="J199" s="25" t="s">
        <v>652</v>
      </c>
      <c r="K199" s="26" t="str">
        <f>IF(COUNT(S199:AN199)=0,"NO FIT",INDEX('07-Paper Priority'!$B$5:$B$26,MIN(S199:AN199)))</f>
        <v>A6</v>
      </c>
      <c r="L199" s="26" t="str">
        <f>IF($K199="NO FIT","",IF(AND($E199&lt;=INDEX('07-Paper Priority'!$C$5:$C$26,MATCH($K199,'07-Paper Priority'!$B$5:$B$26,0)),$F199&lt;=INDEX('07-Paper Priority'!$D$5:$D$26,MATCH($K199,'07-Paper Priority'!$B$5:$B$26,0))),"PORTRAIT","ROTATED"))</f>
        <v>ROTATED</v>
      </c>
      <c r="M199" s="27">
        <f>IF($K199="NO FIT","",IF($L199="PORTRAIT",INDEX('07-Paper Priority'!$C$5:$C$26,MATCH($K199,'07-Paper Priority'!$B$5:$B$26,0)),INDEX('07-Paper Priority'!$D$5:$D$26,MATCH($K199,'07-Paper Priority'!$B$5:$B$26,0))))</f>
        <v>148</v>
      </c>
      <c r="N199" s="27">
        <f>IF($K199="NO FIT","",IF($L199="PORTRAIT",INDEX('07-Paper Priority'!$D$5:$D$26,MATCH($K199,'07-Paper Priority'!$B$5:$B$26,0)),INDEX('07-Paper Priority'!$C$5:$C$26,MATCH($K199,'07-Paper Priority'!$B$5:$B$26,0))))</f>
        <v>105</v>
      </c>
      <c r="O199" s="27">
        <f>IF($K199="NO FIT","",$M199-$E199)</f>
        <v>28</v>
      </c>
      <c r="P199" s="27">
        <f>IF($K199="NO FIT","",$N199-$F199)</f>
        <v>5</v>
      </c>
      <c r="Q199" s="28" t="str">
        <f>IF($K199="NO FIT","REVIEW - NO PAPER FIT",IF(OR($O199&lt;0,$P199&lt;0),"ERROR - FIT",IF(COUNTIF('02-Printing Size'!$A$2:$A$2169,$K199)=0,"ERROR - CODE MISSING","VALID - LOWEST PAPER")))</f>
        <v>VALID - LOWEST PAPER</v>
      </c>
      <c r="R199" s="30" t="s">
        <v>2739</v>
      </c>
      <c r="S199" t="str">
        <f>IF(AND('07-Paper Priority'!$A$5&gt;=MATCH($J199,'07-Paper Priority'!$B$5:$B$26,0),OR(AND($E199&lt;='07-Paper Priority'!$C$5,$F199&lt;='07-Paper Priority'!$D$5),AND($E199&lt;='07-Paper Priority'!$D$5,$F199&lt;='07-Paper Priority'!$C$5))),'07-Paper Priority'!$A$5,"")</f>
        <v/>
      </c>
      <c r="T199" t="str">
        <f>IF(AND('07-Paper Priority'!$A$6&gt;=MATCH($J199,'07-Paper Priority'!$B$5:$B$26,0),OR(AND($E199&lt;='07-Paper Priority'!$C$6,$F199&lt;='07-Paper Priority'!$D$6),AND($E199&lt;='07-Paper Priority'!$D$6,$F199&lt;='07-Paper Priority'!$C$6))),'07-Paper Priority'!$A$6,"")</f>
        <v/>
      </c>
      <c r="U199" t="str">
        <f>IF(AND('07-Paper Priority'!$A$7&gt;=MATCH($J199,'07-Paper Priority'!$B$5:$B$26,0),OR(AND($E199&lt;='07-Paper Priority'!$C$7,$F199&lt;='07-Paper Priority'!$D$7),AND($E199&lt;='07-Paper Priority'!$D$7,$F199&lt;='07-Paper Priority'!$C$7))),'07-Paper Priority'!$A$7,"")</f>
        <v/>
      </c>
      <c r="V199" t="str">
        <f>IF(AND('07-Paper Priority'!$A$8&gt;=MATCH($J199,'07-Paper Priority'!$B$5:$B$26,0),OR(AND($E199&lt;='07-Paper Priority'!$C$8,$F199&lt;='07-Paper Priority'!$D$8),AND($E199&lt;='07-Paper Priority'!$D$8,$F199&lt;='07-Paper Priority'!$C$8))),'07-Paper Priority'!$A$8,"")</f>
        <v/>
      </c>
      <c r="W199" t="str">
        <f>IF(AND('07-Paper Priority'!$A$9&gt;=MATCH($J199,'07-Paper Priority'!$B$5:$B$26,0),OR(AND($E199&lt;='07-Paper Priority'!$C$9,$F199&lt;='07-Paper Priority'!$D$9),AND($E199&lt;='07-Paper Priority'!$D$9,$F199&lt;='07-Paper Priority'!$C$9))),'07-Paper Priority'!$A$9,"")</f>
        <v/>
      </c>
      <c r="X199" t="str">
        <f>IF(AND('07-Paper Priority'!$A$10&gt;=MATCH($J199,'07-Paper Priority'!$B$5:$B$26,0),OR(AND($E199&lt;='07-Paper Priority'!$C$10,$F199&lt;='07-Paper Priority'!$D$10),AND($E199&lt;='07-Paper Priority'!$D$10,$F199&lt;='07-Paper Priority'!$C$10))),'07-Paper Priority'!$A$10,"")</f>
        <v/>
      </c>
      <c r="Y199" t="str">
        <f>IF(AND('07-Paper Priority'!$A$11&gt;=MATCH($J199,'07-Paper Priority'!$B$5:$B$26,0),OR(AND($E199&lt;='07-Paper Priority'!$C$11,$F199&lt;='07-Paper Priority'!$D$11),AND($E199&lt;='07-Paper Priority'!$D$11,$F199&lt;='07-Paper Priority'!$C$11))),'07-Paper Priority'!$A$11,"")</f>
        <v/>
      </c>
      <c r="Z199" t="str">
        <f>IF(AND('07-Paper Priority'!$A$12&gt;=MATCH($J199,'07-Paper Priority'!$B$5:$B$26,0),OR(AND($E199&lt;='07-Paper Priority'!$C$12,$F199&lt;='07-Paper Priority'!$D$12),AND($E199&lt;='07-Paper Priority'!$D$12,$F199&lt;='07-Paper Priority'!$C$12))),'07-Paper Priority'!$A$12,"")</f>
        <v/>
      </c>
      <c r="AA199">
        <f>IF(AND('07-Paper Priority'!$A$13&gt;=MATCH($J199,'07-Paper Priority'!$B$5:$B$26,0),OR(AND($E199&lt;='07-Paper Priority'!$C$13,$F199&lt;='07-Paper Priority'!$D$13),AND($E199&lt;='07-Paper Priority'!$D$13,$F199&lt;='07-Paper Priority'!$C$13))),'07-Paper Priority'!$A$13,"")</f>
        <v>9</v>
      </c>
      <c r="AB199">
        <f>IF(AND('07-Paper Priority'!$A$14&gt;=MATCH($J199,'07-Paper Priority'!$B$5:$B$26,0),OR(AND($E199&lt;='07-Paper Priority'!$C$14,$F199&lt;='07-Paper Priority'!$D$14),AND($E199&lt;='07-Paper Priority'!$D$14,$F199&lt;='07-Paper Priority'!$C$14))),'07-Paper Priority'!$A$14,"")</f>
        <v>10</v>
      </c>
      <c r="AC199">
        <f>IF(AND('07-Paper Priority'!$A$15&gt;=MATCH($J199,'07-Paper Priority'!$B$5:$B$26,0),OR(AND($E199&lt;='07-Paper Priority'!$C$15,$F199&lt;='07-Paper Priority'!$D$15),AND($E199&lt;='07-Paper Priority'!$D$15,$F199&lt;='07-Paper Priority'!$C$15))),'07-Paper Priority'!$A$15,"")</f>
        <v>11</v>
      </c>
      <c r="AD199">
        <f>IF(AND('07-Paper Priority'!$A$16&gt;=MATCH($J199,'07-Paper Priority'!$B$5:$B$26,0),OR(AND($E199&lt;='07-Paper Priority'!$C$16,$F199&lt;='07-Paper Priority'!$D$16),AND($E199&lt;='07-Paper Priority'!$D$16,$F199&lt;='07-Paper Priority'!$C$16))),'07-Paper Priority'!$A$16,"")</f>
        <v>12</v>
      </c>
      <c r="AE199">
        <f>IF(AND('07-Paper Priority'!$A$17&gt;=MATCH($J199,'07-Paper Priority'!$B$5:$B$26,0),OR(AND($E199&lt;='07-Paper Priority'!$C$17,$F199&lt;='07-Paper Priority'!$D$17),AND($E199&lt;='07-Paper Priority'!$D$17,$F199&lt;='07-Paper Priority'!$C$17))),'07-Paper Priority'!$A$17,"")</f>
        <v>13</v>
      </c>
      <c r="AF199">
        <f>IF(AND('07-Paper Priority'!$A$18&gt;=MATCH($J199,'07-Paper Priority'!$B$5:$B$26,0),OR(AND($E199&lt;='07-Paper Priority'!$C$18,$F199&lt;='07-Paper Priority'!$D$18),AND($E199&lt;='07-Paper Priority'!$D$18,$F199&lt;='07-Paper Priority'!$C$18))),'07-Paper Priority'!$A$18,"")</f>
        <v>14</v>
      </c>
      <c r="AG199">
        <f>IF(AND('07-Paper Priority'!$A$19&gt;=MATCH($J199,'07-Paper Priority'!$B$5:$B$26,0),OR(AND($E199&lt;='07-Paper Priority'!$C$19,$F199&lt;='07-Paper Priority'!$D$19),AND($E199&lt;='07-Paper Priority'!$D$19,$F199&lt;='07-Paper Priority'!$C$19))),'07-Paper Priority'!$A$19,"")</f>
        <v>15</v>
      </c>
      <c r="AH199">
        <f>IF(AND('07-Paper Priority'!$A$20&gt;=MATCH($J199,'07-Paper Priority'!$B$5:$B$26,0),OR(AND($E199&lt;='07-Paper Priority'!$C$20,$F199&lt;='07-Paper Priority'!$D$20),AND($E199&lt;='07-Paper Priority'!$D$20,$F199&lt;='07-Paper Priority'!$C$20))),'07-Paper Priority'!$A$20,"")</f>
        <v>16</v>
      </c>
      <c r="AI199">
        <f>IF(AND('07-Paper Priority'!$A$21&gt;=MATCH($J199,'07-Paper Priority'!$B$5:$B$26,0),OR(AND($E199&lt;='07-Paper Priority'!$C$21,$F199&lt;='07-Paper Priority'!$D$21),AND($E199&lt;='07-Paper Priority'!$D$21,$F199&lt;='07-Paper Priority'!$C$21))),'07-Paper Priority'!$A$21,"")</f>
        <v>17</v>
      </c>
      <c r="AJ199">
        <f>IF(AND('07-Paper Priority'!$A$22&gt;=MATCH($J199,'07-Paper Priority'!$B$5:$B$26,0),OR(AND($E199&lt;='07-Paper Priority'!$C$22,$F199&lt;='07-Paper Priority'!$D$22),AND($E199&lt;='07-Paper Priority'!$D$22,$F199&lt;='07-Paper Priority'!$C$22))),'07-Paper Priority'!$A$22,"")</f>
        <v>18</v>
      </c>
      <c r="AK199">
        <f>IF(AND('07-Paper Priority'!$A$23&gt;=MATCH($J199,'07-Paper Priority'!$B$5:$B$26,0),OR(AND($E199&lt;='07-Paper Priority'!$C$23,$F199&lt;='07-Paper Priority'!$D$23),AND($E199&lt;='07-Paper Priority'!$D$23,$F199&lt;='07-Paper Priority'!$C$23))),'07-Paper Priority'!$A$23,"")</f>
        <v>19</v>
      </c>
      <c r="AL199">
        <f>IF(AND('07-Paper Priority'!$A$24&gt;=MATCH($J199,'07-Paper Priority'!$B$5:$B$26,0),OR(AND($E199&lt;='07-Paper Priority'!$C$24,$F199&lt;='07-Paper Priority'!$D$24),AND($E199&lt;='07-Paper Priority'!$D$24,$F199&lt;='07-Paper Priority'!$C$24))),'07-Paper Priority'!$A$24,"")</f>
        <v>20</v>
      </c>
      <c r="AM199">
        <f>IF(AND('07-Paper Priority'!$A$25&gt;=MATCH($J199,'07-Paper Priority'!$B$5:$B$26,0),OR(AND($E199&lt;='07-Paper Priority'!$C$25,$F199&lt;='07-Paper Priority'!$D$25),AND($E199&lt;='07-Paper Priority'!$D$25,$F199&lt;='07-Paper Priority'!$C$25))),'07-Paper Priority'!$A$25,"")</f>
        <v>21</v>
      </c>
      <c r="AN199">
        <f>IF(AND('07-Paper Priority'!$A$26&gt;=MATCH($J199,'07-Paper Priority'!$B$5:$B$26,0),OR(AND($E199&lt;='07-Paper Priority'!$C$26,$F199&lt;='07-Paper Priority'!$D$26),AND($E199&lt;='07-Paper Priority'!$D$26,$F199&lt;='07-Paper Priority'!$C$26))),'07-Paper Priority'!$A$26,"")</f>
        <v>22</v>
      </c>
    </row>
    <row r="200" spans="1:40" ht="33.950000000000003" customHeight="1">
      <c r="A200" s="30" t="s">
        <v>2740</v>
      </c>
      <c r="B200" s="30" t="s">
        <v>2700</v>
      </c>
      <c r="C200" s="30" t="s">
        <v>2549</v>
      </c>
      <c r="D200" s="30" t="s">
        <v>2611</v>
      </c>
      <c r="E200" s="23">
        <v>200</v>
      </c>
      <c r="F200" s="23">
        <v>100</v>
      </c>
      <c r="G200" s="30" t="s">
        <v>2741</v>
      </c>
      <c r="H200" s="30" t="s">
        <v>2742</v>
      </c>
      <c r="I200" s="24" t="s">
        <v>64</v>
      </c>
      <c r="J200" s="25" t="s">
        <v>578</v>
      </c>
      <c r="K200" s="26" t="str">
        <f>IF(COUNT(S200:AN200)=0,"NO FIT",INDEX('07-Paper Priority'!$B$5:$B$26,MIN(S200:AN200)))</f>
        <v>A5</v>
      </c>
      <c r="L200" s="26" t="str">
        <f>IF($K200="NO FIT","",IF(AND($E200&lt;=INDEX('07-Paper Priority'!$C$5:$C$26,MATCH($K200,'07-Paper Priority'!$B$5:$B$26,0)),$F200&lt;=INDEX('07-Paper Priority'!$D$5:$D$26,MATCH($K200,'07-Paper Priority'!$B$5:$B$26,0))),"PORTRAIT","ROTATED"))</f>
        <v>ROTATED</v>
      </c>
      <c r="M200" s="27">
        <f>IF($K200="NO FIT","",IF($L200="PORTRAIT",INDEX('07-Paper Priority'!$C$5:$C$26,MATCH($K200,'07-Paper Priority'!$B$5:$B$26,0)),INDEX('07-Paper Priority'!$D$5:$D$26,MATCH($K200,'07-Paper Priority'!$B$5:$B$26,0))))</f>
        <v>210</v>
      </c>
      <c r="N200" s="27">
        <f>IF($K200="NO FIT","",IF($L200="PORTRAIT",INDEX('07-Paper Priority'!$D$5:$D$26,MATCH($K200,'07-Paper Priority'!$B$5:$B$26,0)),INDEX('07-Paper Priority'!$C$5:$C$26,MATCH($K200,'07-Paper Priority'!$B$5:$B$26,0))))</f>
        <v>148</v>
      </c>
      <c r="O200" s="27">
        <f>IF($K200="NO FIT","",$M200-$E200)</f>
        <v>10</v>
      </c>
      <c r="P200" s="27">
        <f>IF($K200="NO FIT","",$N200-$F200)</f>
        <v>48</v>
      </c>
      <c r="Q200" s="28" t="str">
        <f>IF($K200="NO FIT","REVIEW - NO PAPER FIT",IF(OR($O200&lt;0,$P200&lt;0),"ERROR - FIT",IF(COUNTIF('02-Printing Size'!$A$2:$A$2169,$K200)=0,"ERROR - CODE MISSING","VALID - LOWEST PAPER")))</f>
        <v>VALID - LOWEST PAPER</v>
      </c>
      <c r="R200" s="30" t="s">
        <v>2743</v>
      </c>
      <c r="S200" t="str">
        <f>IF(AND('07-Paper Priority'!$A$5&gt;=MATCH($J200,'07-Paper Priority'!$B$5:$B$26,0),OR(AND($E200&lt;='07-Paper Priority'!$C$5,$F200&lt;='07-Paper Priority'!$D$5),AND($E200&lt;='07-Paper Priority'!$D$5,$F200&lt;='07-Paper Priority'!$C$5))),'07-Paper Priority'!$A$5,"")</f>
        <v/>
      </c>
      <c r="T200" t="str">
        <f>IF(AND('07-Paper Priority'!$A$6&gt;=MATCH($J200,'07-Paper Priority'!$B$5:$B$26,0),OR(AND($E200&lt;='07-Paper Priority'!$C$6,$F200&lt;='07-Paper Priority'!$D$6),AND($E200&lt;='07-Paper Priority'!$D$6,$F200&lt;='07-Paper Priority'!$C$6))),'07-Paper Priority'!$A$6,"")</f>
        <v/>
      </c>
      <c r="U200" t="str">
        <f>IF(AND('07-Paper Priority'!$A$7&gt;=MATCH($J200,'07-Paper Priority'!$B$5:$B$26,0),OR(AND($E200&lt;='07-Paper Priority'!$C$7,$F200&lt;='07-Paper Priority'!$D$7),AND($E200&lt;='07-Paper Priority'!$D$7,$F200&lt;='07-Paper Priority'!$C$7))),'07-Paper Priority'!$A$7,"")</f>
        <v/>
      </c>
      <c r="V200" t="str">
        <f>IF(AND('07-Paper Priority'!$A$8&gt;=MATCH($J200,'07-Paper Priority'!$B$5:$B$26,0),OR(AND($E200&lt;='07-Paper Priority'!$C$8,$F200&lt;='07-Paper Priority'!$D$8),AND($E200&lt;='07-Paper Priority'!$D$8,$F200&lt;='07-Paper Priority'!$C$8))),'07-Paper Priority'!$A$8,"")</f>
        <v/>
      </c>
      <c r="W200" t="str">
        <f>IF(AND('07-Paper Priority'!$A$9&gt;=MATCH($J200,'07-Paper Priority'!$B$5:$B$26,0),OR(AND($E200&lt;='07-Paper Priority'!$C$9,$F200&lt;='07-Paper Priority'!$D$9),AND($E200&lt;='07-Paper Priority'!$D$9,$F200&lt;='07-Paper Priority'!$C$9))),'07-Paper Priority'!$A$9,"")</f>
        <v/>
      </c>
      <c r="X200" t="str">
        <f>IF(AND('07-Paper Priority'!$A$10&gt;=MATCH($J200,'07-Paper Priority'!$B$5:$B$26,0),OR(AND($E200&lt;='07-Paper Priority'!$C$10,$F200&lt;='07-Paper Priority'!$D$10),AND($E200&lt;='07-Paper Priority'!$D$10,$F200&lt;='07-Paper Priority'!$C$10))),'07-Paper Priority'!$A$10,"")</f>
        <v/>
      </c>
      <c r="Y200" t="str">
        <f>IF(AND('07-Paper Priority'!$A$11&gt;=MATCH($J200,'07-Paper Priority'!$B$5:$B$26,0),OR(AND($E200&lt;='07-Paper Priority'!$C$11,$F200&lt;='07-Paper Priority'!$D$11),AND($E200&lt;='07-Paper Priority'!$D$11,$F200&lt;='07-Paper Priority'!$C$11))),'07-Paper Priority'!$A$11,"")</f>
        <v/>
      </c>
      <c r="Z200" t="str">
        <f>IF(AND('07-Paper Priority'!$A$12&gt;=MATCH($J200,'07-Paper Priority'!$B$5:$B$26,0),OR(AND($E200&lt;='07-Paper Priority'!$C$12,$F200&lt;='07-Paper Priority'!$D$12),AND($E200&lt;='07-Paper Priority'!$D$12,$F200&lt;='07-Paper Priority'!$C$12))),'07-Paper Priority'!$A$12,"")</f>
        <v/>
      </c>
      <c r="AA200" t="str">
        <f>IF(AND('07-Paper Priority'!$A$13&gt;=MATCH($J200,'07-Paper Priority'!$B$5:$B$26,0),OR(AND($E200&lt;='07-Paper Priority'!$C$13,$F200&lt;='07-Paper Priority'!$D$13),AND($E200&lt;='07-Paper Priority'!$D$13,$F200&lt;='07-Paper Priority'!$C$13))),'07-Paper Priority'!$A$13,"")</f>
        <v/>
      </c>
      <c r="AB200" t="str">
        <f>IF(AND('07-Paper Priority'!$A$14&gt;=MATCH($J200,'07-Paper Priority'!$B$5:$B$26,0),OR(AND($E200&lt;='07-Paper Priority'!$C$14,$F200&lt;='07-Paper Priority'!$D$14),AND($E200&lt;='07-Paper Priority'!$D$14,$F200&lt;='07-Paper Priority'!$C$14))),'07-Paper Priority'!$A$14,"")</f>
        <v/>
      </c>
      <c r="AC200">
        <f>IF(AND('07-Paper Priority'!$A$15&gt;=MATCH($J200,'07-Paper Priority'!$B$5:$B$26,0),OR(AND($E200&lt;='07-Paper Priority'!$C$15,$F200&lt;='07-Paper Priority'!$D$15),AND($E200&lt;='07-Paper Priority'!$D$15,$F200&lt;='07-Paper Priority'!$C$15))),'07-Paper Priority'!$A$15,"")</f>
        <v>11</v>
      </c>
      <c r="AD200">
        <f>IF(AND('07-Paper Priority'!$A$16&gt;=MATCH($J200,'07-Paper Priority'!$B$5:$B$26,0),OR(AND($E200&lt;='07-Paper Priority'!$C$16,$F200&lt;='07-Paper Priority'!$D$16),AND($E200&lt;='07-Paper Priority'!$D$16,$F200&lt;='07-Paper Priority'!$C$16))),'07-Paper Priority'!$A$16,"")</f>
        <v>12</v>
      </c>
      <c r="AE200">
        <f>IF(AND('07-Paper Priority'!$A$17&gt;=MATCH($J200,'07-Paper Priority'!$B$5:$B$26,0),OR(AND($E200&lt;='07-Paper Priority'!$C$17,$F200&lt;='07-Paper Priority'!$D$17),AND($E200&lt;='07-Paper Priority'!$D$17,$F200&lt;='07-Paper Priority'!$C$17))),'07-Paper Priority'!$A$17,"")</f>
        <v>13</v>
      </c>
      <c r="AF200">
        <f>IF(AND('07-Paper Priority'!$A$18&gt;=MATCH($J200,'07-Paper Priority'!$B$5:$B$26,0),OR(AND($E200&lt;='07-Paper Priority'!$C$18,$F200&lt;='07-Paper Priority'!$D$18),AND($E200&lt;='07-Paper Priority'!$D$18,$F200&lt;='07-Paper Priority'!$C$18))),'07-Paper Priority'!$A$18,"")</f>
        <v>14</v>
      </c>
      <c r="AG200">
        <f>IF(AND('07-Paper Priority'!$A$19&gt;=MATCH($J200,'07-Paper Priority'!$B$5:$B$26,0),OR(AND($E200&lt;='07-Paper Priority'!$C$19,$F200&lt;='07-Paper Priority'!$D$19),AND($E200&lt;='07-Paper Priority'!$D$19,$F200&lt;='07-Paper Priority'!$C$19))),'07-Paper Priority'!$A$19,"")</f>
        <v>15</v>
      </c>
      <c r="AH200">
        <f>IF(AND('07-Paper Priority'!$A$20&gt;=MATCH($J200,'07-Paper Priority'!$B$5:$B$26,0),OR(AND($E200&lt;='07-Paper Priority'!$C$20,$F200&lt;='07-Paper Priority'!$D$20),AND($E200&lt;='07-Paper Priority'!$D$20,$F200&lt;='07-Paper Priority'!$C$20))),'07-Paper Priority'!$A$20,"")</f>
        <v>16</v>
      </c>
      <c r="AI200">
        <f>IF(AND('07-Paper Priority'!$A$21&gt;=MATCH($J200,'07-Paper Priority'!$B$5:$B$26,0),OR(AND($E200&lt;='07-Paper Priority'!$C$21,$F200&lt;='07-Paper Priority'!$D$21),AND($E200&lt;='07-Paper Priority'!$D$21,$F200&lt;='07-Paper Priority'!$C$21))),'07-Paper Priority'!$A$21,"")</f>
        <v>17</v>
      </c>
      <c r="AJ200">
        <f>IF(AND('07-Paper Priority'!$A$22&gt;=MATCH($J200,'07-Paper Priority'!$B$5:$B$26,0),OR(AND($E200&lt;='07-Paper Priority'!$C$22,$F200&lt;='07-Paper Priority'!$D$22),AND($E200&lt;='07-Paper Priority'!$D$22,$F200&lt;='07-Paper Priority'!$C$22))),'07-Paper Priority'!$A$22,"")</f>
        <v>18</v>
      </c>
      <c r="AK200">
        <f>IF(AND('07-Paper Priority'!$A$23&gt;=MATCH($J200,'07-Paper Priority'!$B$5:$B$26,0),OR(AND($E200&lt;='07-Paper Priority'!$C$23,$F200&lt;='07-Paper Priority'!$D$23),AND($E200&lt;='07-Paper Priority'!$D$23,$F200&lt;='07-Paper Priority'!$C$23))),'07-Paper Priority'!$A$23,"")</f>
        <v>19</v>
      </c>
      <c r="AL200">
        <f>IF(AND('07-Paper Priority'!$A$24&gt;=MATCH($J200,'07-Paper Priority'!$B$5:$B$26,0),OR(AND($E200&lt;='07-Paper Priority'!$C$24,$F200&lt;='07-Paper Priority'!$D$24),AND($E200&lt;='07-Paper Priority'!$D$24,$F200&lt;='07-Paper Priority'!$C$24))),'07-Paper Priority'!$A$24,"")</f>
        <v>20</v>
      </c>
      <c r="AM200">
        <f>IF(AND('07-Paper Priority'!$A$25&gt;=MATCH($J200,'07-Paper Priority'!$B$5:$B$26,0),OR(AND($E200&lt;='07-Paper Priority'!$C$25,$F200&lt;='07-Paper Priority'!$D$25),AND($E200&lt;='07-Paper Priority'!$D$25,$F200&lt;='07-Paper Priority'!$C$25))),'07-Paper Priority'!$A$25,"")</f>
        <v>21</v>
      </c>
      <c r="AN200">
        <f>IF(AND('07-Paper Priority'!$A$26&gt;=MATCH($J200,'07-Paper Priority'!$B$5:$B$26,0),OR(AND($E200&lt;='07-Paper Priority'!$C$26,$F200&lt;='07-Paper Priority'!$D$26),AND($E200&lt;='07-Paper Priority'!$D$26,$F200&lt;='07-Paper Priority'!$C$26))),'07-Paper Priority'!$A$26,"")</f>
        <v>22</v>
      </c>
    </row>
    <row r="201" spans="1:40" ht="33.950000000000003" customHeight="1">
      <c r="A201" s="30" t="s">
        <v>2744</v>
      </c>
      <c r="B201" s="30" t="s">
        <v>2732</v>
      </c>
      <c r="C201" s="30" t="s">
        <v>2549</v>
      </c>
      <c r="D201" s="30" t="s">
        <v>2611</v>
      </c>
      <c r="E201" s="23">
        <v>70</v>
      </c>
      <c r="F201" s="23">
        <v>280</v>
      </c>
      <c r="G201" s="30" t="s">
        <v>2612</v>
      </c>
      <c r="H201" s="30" t="s">
        <v>2745</v>
      </c>
      <c r="I201" s="24" t="s">
        <v>2568</v>
      </c>
      <c r="J201" s="25" t="s">
        <v>504</v>
      </c>
      <c r="K201" s="26" t="str">
        <f>IF(COUNT(S201:AN201)=0,"NO FIT",INDEX('07-Paper Priority'!$B$5:$B$26,MIN(S201:AN201)))</f>
        <v>A4</v>
      </c>
      <c r="L201" s="26" t="str">
        <f>IF($K201="NO FIT","",IF(AND($E201&lt;=INDEX('07-Paper Priority'!$C$5:$C$26,MATCH($K201,'07-Paper Priority'!$B$5:$B$26,0)),$F201&lt;=INDEX('07-Paper Priority'!$D$5:$D$26,MATCH($K201,'07-Paper Priority'!$B$5:$B$26,0))),"PORTRAIT","ROTATED"))</f>
        <v>PORTRAIT</v>
      </c>
      <c r="M201" s="27">
        <f>IF($K201="NO FIT","",IF($L201="PORTRAIT",INDEX('07-Paper Priority'!$C$5:$C$26,MATCH($K201,'07-Paper Priority'!$B$5:$B$26,0)),INDEX('07-Paper Priority'!$D$5:$D$26,MATCH($K201,'07-Paper Priority'!$B$5:$B$26,0))))</f>
        <v>210</v>
      </c>
      <c r="N201" s="27">
        <f>IF($K201="NO FIT","",IF($L201="PORTRAIT",INDEX('07-Paper Priority'!$D$5:$D$26,MATCH($K201,'07-Paper Priority'!$B$5:$B$26,0)),INDEX('07-Paper Priority'!$C$5:$C$26,MATCH($K201,'07-Paper Priority'!$B$5:$B$26,0))))</f>
        <v>297</v>
      </c>
      <c r="O201" s="27">
        <f>IF($K201="NO FIT","",$M201-$E201)</f>
        <v>140</v>
      </c>
      <c r="P201" s="27">
        <f>IF($K201="NO FIT","",$N201-$F201)</f>
        <v>17</v>
      </c>
      <c r="Q201" s="28" t="str">
        <f>IF($K201="NO FIT","REVIEW - NO PAPER FIT",IF(OR($O201&lt;0,$P201&lt;0),"ERROR - FIT",IF(COUNTIF('02-Printing Size'!$A$2:$A$2169,$K201)=0,"ERROR - CODE MISSING","VALID - LOWEST PAPER")))</f>
        <v>VALID - LOWEST PAPER</v>
      </c>
      <c r="R201" s="30" t="s">
        <v>2746</v>
      </c>
      <c r="S201" t="str">
        <f>IF(AND('07-Paper Priority'!$A$5&gt;=MATCH($J201,'07-Paper Priority'!$B$5:$B$26,0),OR(AND($E201&lt;='07-Paper Priority'!$C$5,$F201&lt;='07-Paper Priority'!$D$5),AND($E201&lt;='07-Paper Priority'!$D$5,$F201&lt;='07-Paper Priority'!$C$5))),'07-Paper Priority'!$A$5,"")</f>
        <v/>
      </c>
      <c r="T201" t="str">
        <f>IF(AND('07-Paper Priority'!$A$6&gt;=MATCH($J201,'07-Paper Priority'!$B$5:$B$26,0),OR(AND($E201&lt;='07-Paper Priority'!$C$6,$F201&lt;='07-Paper Priority'!$D$6),AND($E201&lt;='07-Paper Priority'!$D$6,$F201&lt;='07-Paper Priority'!$C$6))),'07-Paper Priority'!$A$6,"")</f>
        <v/>
      </c>
      <c r="U201" t="str">
        <f>IF(AND('07-Paper Priority'!$A$7&gt;=MATCH($J201,'07-Paper Priority'!$B$5:$B$26,0),OR(AND($E201&lt;='07-Paper Priority'!$C$7,$F201&lt;='07-Paper Priority'!$D$7),AND($E201&lt;='07-Paper Priority'!$D$7,$F201&lt;='07-Paper Priority'!$C$7))),'07-Paper Priority'!$A$7,"")</f>
        <v/>
      </c>
      <c r="V201" t="str">
        <f>IF(AND('07-Paper Priority'!$A$8&gt;=MATCH($J201,'07-Paper Priority'!$B$5:$B$26,0),OR(AND($E201&lt;='07-Paper Priority'!$C$8,$F201&lt;='07-Paper Priority'!$D$8),AND($E201&lt;='07-Paper Priority'!$D$8,$F201&lt;='07-Paper Priority'!$C$8))),'07-Paper Priority'!$A$8,"")</f>
        <v/>
      </c>
      <c r="W201" t="str">
        <f>IF(AND('07-Paper Priority'!$A$9&gt;=MATCH($J201,'07-Paper Priority'!$B$5:$B$26,0),OR(AND($E201&lt;='07-Paper Priority'!$C$9,$F201&lt;='07-Paper Priority'!$D$9),AND($E201&lt;='07-Paper Priority'!$D$9,$F201&lt;='07-Paper Priority'!$C$9))),'07-Paper Priority'!$A$9,"")</f>
        <v/>
      </c>
      <c r="X201" t="str">
        <f>IF(AND('07-Paper Priority'!$A$10&gt;=MATCH($J201,'07-Paper Priority'!$B$5:$B$26,0),OR(AND($E201&lt;='07-Paper Priority'!$C$10,$F201&lt;='07-Paper Priority'!$D$10),AND($E201&lt;='07-Paper Priority'!$D$10,$F201&lt;='07-Paper Priority'!$C$10))),'07-Paper Priority'!$A$10,"")</f>
        <v/>
      </c>
      <c r="Y201" t="str">
        <f>IF(AND('07-Paper Priority'!$A$11&gt;=MATCH($J201,'07-Paper Priority'!$B$5:$B$26,0),OR(AND($E201&lt;='07-Paper Priority'!$C$11,$F201&lt;='07-Paper Priority'!$D$11),AND($E201&lt;='07-Paper Priority'!$D$11,$F201&lt;='07-Paper Priority'!$C$11))),'07-Paper Priority'!$A$11,"")</f>
        <v/>
      </c>
      <c r="Z201" t="str">
        <f>IF(AND('07-Paper Priority'!$A$12&gt;=MATCH($J201,'07-Paper Priority'!$B$5:$B$26,0),OR(AND($E201&lt;='07-Paper Priority'!$C$12,$F201&lt;='07-Paper Priority'!$D$12),AND($E201&lt;='07-Paper Priority'!$D$12,$F201&lt;='07-Paper Priority'!$C$12))),'07-Paper Priority'!$A$12,"")</f>
        <v/>
      </c>
      <c r="AA201" t="str">
        <f>IF(AND('07-Paper Priority'!$A$13&gt;=MATCH($J201,'07-Paper Priority'!$B$5:$B$26,0),OR(AND($E201&lt;='07-Paper Priority'!$C$13,$F201&lt;='07-Paper Priority'!$D$13),AND($E201&lt;='07-Paper Priority'!$D$13,$F201&lt;='07-Paper Priority'!$C$13))),'07-Paper Priority'!$A$13,"")</f>
        <v/>
      </c>
      <c r="AB201" t="str">
        <f>IF(AND('07-Paper Priority'!$A$14&gt;=MATCH($J201,'07-Paper Priority'!$B$5:$B$26,0),OR(AND($E201&lt;='07-Paper Priority'!$C$14,$F201&lt;='07-Paper Priority'!$D$14),AND($E201&lt;='07-Paper Priority'!$D$14,$F201&lt;='07-Paper Priority'!$C$14))),'07-Paper Priority'!$A$14,"")</f>
        <v/>
      </c>
      <c r="AC201" t="str">
        <f>IF(AND('07-Paper Priority'!$A$15&gt;=MATCH($J201,'07-Paper Priority'!$B$5:$B$26,0),OR(AND($E201&lt;='07-Paper Priority'!$C$15,$F201&lt;='07-Paper Priority'!$D$15),AND($E201&lt;='07-Paper Priority'!$D$15,$F201&lt;='07-Paper Priority'!$C$15))),'07-Paper Priority'!$A$15,"")</f>
        <v/>
      </c>
      <c r="AD201" t="str">
        <f>IF(AND('07-Paper Priority'!$A$16&gt;=MATCH($J201,'07-Paper Priority'!$B$5:$B$26,0),OR(AND($E201&lt;='07-Paper Priority'!$C$16,$F201&lt;='07-Paper Priority'!$D$16),AND($E201&lt;='07-Paper Priority'!$D$16,$F201&lt;='07-Paper Priority'!$C$16))),'07-Paper Priority'!$A$16,"")</f>
        <v/>
      </c>
      <c r="AE201">
        <f>IF(AND('07-Paper Priority'!$A$17&gt;=MATCH($J201,'07-Paper Priority'!$B$5:$B$26,0),OR(AND($E201&lt;='07-Paper Priority'!$C$17,$F201&lt;='07-Paper Priority'!$D$17),AND($E201&lt;='07-Paper Priority'!$D$17,$F201&lt;='07-Paper Priority'!$C$17))),'07-Paper Priority'!$A$17,"")</f>
        <v>13</v>
      </c>
      <c r="AF201">
        <f>IF(AND('07-Paper Priority'!$A$18&gt;=MATCH($J201,'07-Paper Priority'!$B$5:$B$26,0),OR(AND($E201&lt;='07-Paper Priority'!$C$18,$F201&lt;='07-Paper Priority'!$D$18),AND($E201&lt;='07-Paper Priority'!$D$18,$F201&lt;='07-Paper Priority'!$C$18))),'07-Paper Priority'!$A$18,"")</f>
        <v>14</v>
      </c>
      <c r="AG201">
        <f>IF(AND('07-Paper Priority'!$A$19&gt;=MATCH($J201,'07-Paper Priority'!$B$5:$B$26,0),OR(AND($E201&lt;='07-Paper Priority'!$C$19,$F201&lt;='07-Paper Priority'!$D$19),AND($E201&lt;='07-Paper Priority'!$D$19,$F201&lt;='07-Paper Priority'!$C$19))),'07-Paper Priority'!$A$19,"")</f>
        <v>15</v>
      </c>
      <c r="AH201">
        <f>IF(AND('07-Paper Priority'!$A$20&gt;=MATCH($J201,'07-Paper Priority'!$B$5:$B$26,0),OR(AND($E201&lt;='07-Paper Priority'!$C$20,$F201&lt;='07-Paper Priority'!$D$20),AND($E201&lt;='07-Paper Priority'!$D$20,$F201&lt;='07-Paper Priority'!$C$20))),'07-Paper Priority'!$A$20,"")</f>
        <v>16</v>
      </c>
      <c r="AI201">
        <f>IF(AND('07-Paper Priority'!$A$21&gt;=MATCH($J201,'07-Paper Priority'!$B$5:$B$26,0),OR(AND($E201&lt;='07-Paper Priority'!$C$21,$F201&lt;='07-Paper Priority'!$D$21),AND($E201&lt;='07-Paper Priority'!$D$21,$F201&lt;='07-Paper Priority'!$C$21))),'07-Paper Priority'!$A$21,"")</f>
        <v>17</v>
      </c>
      <c r="AJ201">
        <f>IF(AND('07-Paper Priority'!$A$22&gt;=MATCH($J201,'07-Paper Priority'!$B$5:$B$26,0),OR(AND($E201&lt;='07-Paper Priority'!$C$22,$F201&lt;='07-Paper Priority'!$D$22),AND($E201&lt;='07-Paper Priority'!$D$22,$F201&lt;='07-Paper Priority'!$C$22))),'07-Paper Priority'!$A$22,"")</f>
        <v>18</v>
      </c>
      <c r="AK201">
        <f>IF(AND('07-Paper Priority'!$A$23&gt;=MATCH($J201,'07-Paper Priority'!$B$5:$B$26,0),OR(AND($E201&lt;='07-Paper Priority'!$C$23,$F201&lt;='07-Paper Priority'!$D$23),AND($E201&lt;='07-Paper Priority'!$D$23,$F201&lt;='07-Paper Priority'!$C$23))),'07-Paper Priority'!$A$23,"")</f>
        <v>19</v>
      </c>
      <c r="AL201">
        <f>IF(AND('07-Paper Priority'!$A$24&gt;=MATCH($J201,'07-Paper Priority'!$B$5:$B$26,0),OR(AND($E201&lt;='07-Paper Priority'!$C$24,$F201&lt;='07-Paper Priority'!$D$24),AND($E201&lt;='07-Paper Priority'!$D$24,$F201&lt;='07-Paper Priority'!$C$24))),'07-Paper Priority'!$A$24,"")</f>
        <v>20</v>
      </c>
      <c r="AM201">
        <f>IF(AND('07-Paper Priority'!$A$25&gt;=MATCH($J201,'07-Paper Priority'!$B$5:$B$26,0),OR(AND($E201&lt;='07-Paper Priority'!$C$25,$F201&lt;='07-Paper Priority'!$D$25),AND($E201&lt;='07-Paper Priority'!$D$25,$F201&lt;='07-Paper Priority'!$C$25))),'07-Paper Priority'!$A$25,"")</f>
        <v>21</v>
      </c>
      <c r="AN201">
        <f>IF(AND('07-Paper Priority'!$A$26&gt;=MATCH($J201,'07-Paper Priority'!$B$5:$B$26,0),OR(AND($E201&lt;='07-Paper Priority'!$C$26,$F201&lt;='07-Paper Priority'!$D$26),AND($E201&lt;='07-Paper Priority'!$D$26,$F201&lt;='07-Paper Priority'!$C$26))),'07-Paper Priority'!$A$26,"")</f>
        <v>22</v>
      </c>
    </row>
    <row r="202" spans="1:40" ht="33.950000000000003" customHeight="1">
      <c r="A202" s="30" t="s">
        <v>2747</v>
      </c>
      <c r="B202" s="30" t="s">
        <v>2732</v>
      </c>
      <c r="C202" s="30" t="s">
        <v>2549</v>
      </c>
      <c r="D202" s="30" t="s">
        <v>2611</v>
      </c>
      <c r="E202" s="23">
        <v>80</v>
      </c>
      <c r="F202" s="23">
        <v>50</v>
      </c>
      <c r="G202" s="30" t="s">
        <v>2616</v>
      </c>
      <c r="H202" s="30" t="s">
        <v>2748</v>
      </c>
      <c r="I202" s="24" t="s">
        <v>2553</v>
      </c>
      <c r="J202" s="25" t="s">
        <v>800</v>
      </c>
      <c r="K202" s="26" t="str">
        <f>IF(COUNT(S202:AN202)=0,"NO FIT",INDEX('07-Paper Priority'!$B$5:$B$26,MIN(S202:AN202)))</f>
        <v>B8</v>
      </c>
      <c r="L202" s="26" t="str">
        <f>IF($K202="NO FIT","",IF(AND($E202&lt;=INDEX('07-Paper Priority'!$C$5:$C$26,MATCH($K202,'07-Paper Priority'!$B$5:$B$26,0)),$F202&lt;=INDEX('07-Paper Priority'!$D$5:$D$26,MATCH($K202,'07-Paper Priority'!$B$5:$B$26,0))),"PORTRAIT","ROTATED"))</f>
        <v>ROTATED</v>
      </c>
      <c r="M202" s="27">
        <f>IF($K202="NO FIT","",IF($L202="PORTRAIT",INDEX('07-Paper Priority'!$C$5:$C$26,MATCH($K202,'07-Paper Priority'!$B$5:$B$26,0)),INDEX('07-Paper Priority'!$D$5:$D$26,MATCH($K202,'07-Paper Priority'!$B$5:$B$26,0))))</f>
        <v>88</v>
      </c>
      <c r="N202" s="27">
        <f>IF($K202="NO FIT","",IF($L202="PORTRAIT",INDEX('07-Paper Priority'!$D$5:$D$26,MATCH($K202,'07-Paper Priority'!$B$5:$B$26,0)),INDEX('07-Paper Priority'!$C$5:$C$26,MATCH($K202,'07-Paper Priority'!$B$5:$B$26,0))))</f>
        <v>62</v>
      </c>
      <c r="O202" s="27">
        <f>IF($K202="NO FIT","",$M202-$E202)</f>
        <v>8</v>
      </c>
      <c r="P202" s="27">
        <f>IF($K202="NO FIT","",$N202-$F202)</f>
        <v>12</v>
      </c>
      <c r="Q202" s="28" t="str">
        <f>IF($K202="NO FIT","REVIEW - NO PAPER FIT",IF(OR($O202&lt;0,$P202&lt;0),"ERROR - FIT",IF(COUNTIF('02-Printing Size'!$A$2:$A$2169,$K202)=0,"ERROR - CODE MISSING","VALID - LOWEST PAPER")))</f>
        <v>VALID - LOWEST PAPER</v>
      </c>
      <c r="R202" s="30" t="s">
        <v>2749</v>
      </c>
      <c r="S202" t="str">
        <f>IF(AND('07-Paper Priority'!$A$5&gt;=MATCH($J202,'07-Paper Priority'!$B$5:$B$26,0),OR(AND($E202&lt;='07-Paper Priority'!$C$5,$F202&lt;='07-Paper Priority'!$D$5),AND($E202&lt;='07-Paper Priority'!$D$5,$F202&lt;='07-Paper Priority'!$C$5))),'07-Paper Priority'!$A$5,"")</f>
        <v/>
      </c>
      <c r="T202" t="str">
        <f>IF(AND('07-Paper Priority'!$A$6&gt;=MATCH($J202,'07-Paper Priority'!$B$5:$B$26,0),OR(AND($E202&lt;='07-Paper Priority'!$C$6,$F202&lt;='07-Paper Priority'!$D$6),AND($E202&lt;='07-Paper Priority'!$D$6,$F202&lt;='07-Paper Priority'!$C$6))),'07-Paper Priority'!$A$6,"")</f>
        <v/>
      </c>
      <c r="U202" t="str">
        <f>IF(AND('07-Paper Priority'!$A$7&gt;=MATCH($J202,'07-Paper Priority'!$B$5:$B$26,0),OR(AND($E202&lt;='07-Paper Priority'!$C$7,$F202&lt;='07-Paper Priority'!$D$7),AND($E202&lt;='07-Paper Priority'!$D$7,$F202&lt;='07-Paper Priority'!$C$7))),'07-Paper Priority'!$A$7,"")</f>
        <v/>
      </c>
      <c r="V202" t="str">
        <f>IF(AND('07-Paper Priority'!$A$8&gt;=MATCH($J202,'07-Paper Priority'!$B$5:$B$26,0),OR(AND($E202&lt;='07-Paper Priority'!$C$8,$F202&lt;='07-Paper Priority'!$D$8),AND($E202&lt;='07-Paper Priority'!$D$8,$F202&lt;='07-Paper Priority'!$C$8))),'07-Paper Priority'!$A$8,"")</f>
        <v/>
      </c>
      <c r="W202" t="str">
        <f>IF(AND('07-Paper Priority'!$A$9&gt;=MATCH($J202,'07-Paper Priority'!$B$5:$B$26,0),OR(AND($E202&lt;='07-Paper Priority'!$C$9,$F202&lt;='07-Paper Priority'!$D$9),AND($E202&lt;='07-Paper Priority'!$D$9,$F202&lt;='07-Paper Priority'!$C$9))),'07-Paper Priority'!$A$9,"")</f>
        <v/>
      </c>
      <c r="X202">
        <f>IF(AND('07-Paper Priority'!$A$10&gt;=MATCH($J202,'07-Paper Priority'!$B$5:$B$26,0),OR(AND($E202&lt;='07-Paper Priority'!$C$10,$F202&lt;='07-Paper Priority'!$D$10),AND($E202&lt;='07-Paper Priority'!$D$10,$F202&lt;='07-Paper Priority'!$C$10))),'07-Paper Priority'!$A$10,"")</f>
        <v>6</v>
      </c>
      <c r="Y202">
        <f>IF(AND('07-Paper Priority'!$A$11&gt;=MATCH($J202,'07-Paper Priority'!$B$5:$B$26,0),OR(AND($E202&lt;='07-Paper Priority'!$C$11,$F202&lt;='07-Paper Priority'!$D$11),AND($E202&lt;='07-Paper Priority'!$D$11,$F202&lt;='07-Paper Priority'!$C$11))),'07-Paper Priority'!$A$11,"")</f>
        <v>7</v>
      </c>
      <c r="Z202">
        <f>IF(AND('07-Paper Priority'!$A$12&gt;=MATCH($J202,'07-Paper Priority'!$B$5:$B$26,0),OR(AND($E202&lt;='07-Paper Priority'!$C$12,$F202&lt;='07-Paper Priority'!$D$12),AND($E202&lt;='07-Paper Priority'!$D$12,$F202&lt;='07-Paper Priority'!$C$12))),'07-Paper Priority'!$A$12,"")</f>
        <v>8</v>
      </c>
      <c r="AA202">
        <f>IF(AND('07-Paper Priority'!$A$13&gt;=MATCH($J202,'07-Paper Priority'!$B$5:$B$26,0),OR(AND($E202&lt;='07-Paper Priority'!$C$13,$F202&lt;='07-Paper Priority'!$D$13),AND($E202&lt;='07-Paper Priority'!$D$13,$F202&lt;='07-Paper Priority'!$C$13))),'07-Paper Priority'!$A$13,"")</f>
        <v>9</v>
      </c>
      <c r="AB202">
        <f>IF(AND('07-Paper Priority'!$A$14&gt;=MATCH($J202,'07-Paper Priority'!$B$5:$B$26,0),OR(AND($E202&lt;='07-Paper Priority'!$C$14,$F202&lt;='07-Paper Priority'!$D$14),AND($E202&lt;='07-Paper Priority'!$D$14,$F202&lt;='07-Paper Priority'!$C$14))),'07-Paper Priority'!$A$14,"")</f>
        <v>10</v>
      </c>
      <c r="AC202">
        <f>IF(AND('07-Paper Priority'!$A$15&gt;=MATCH($J202,'07-Paper Priority'!$B$5:$B$26,0),OR(AND($E202&lt;='07-Paper Priority'!$C$15,$F202&lt;='07-Paper Priority'!$D$15),AND($E202&lt;='07-Paper Priority'!$D$15,$F202&lt;='07-Paper Priority'!$C$15))),'07-Paper Priority'!$A$15,"")</f>
        <v>11</v>
      </c>
      <c r="AD202">
        <f>IF(AND('07-Paper Priority'!$A$16&gt;=MATCH($J202,'07-Paper Priority'!$B$5:$B$26,0),OR(AND($E202&lt;='07-Paper Priority'!$C$16,$F202&lt;='07-Paper Priority'!$D$16),AND($E202&lt;='07-Paper Priority'!$D$16,$F202&lt;='07-Paper Priority'!$C$16))),'07-Paper Priority'!$A$16,"")</f>
        <v>12</v>
      </c>
      <c r="AE202">
        <f>IF(AND('07-Paper Priority'!$A$17&gt;=MATCH($J202,'07-Paper Priority'!$B$5:$B$26,0),OR(AND($E202&lt;='07-Paper Priority'!$C$17,$F202&lt;='07-Paper Priority'!$D$17),AND($E202&lt;='07-Paper Priority'!$D$17,$F202&lt;='07-Paper Priority'!$C$17))),'07-Paper Priority'!$A$17,"")</f>
        <v>13</v>
      </c>
      <c r="AF202">
        <f>IF(AND('07-Paper Priority'!$A$18&gt;=MATCH($J202,'07-Paper Priority'!$B$5:$B$26,0),OR(AND($E202&lt;='07-Paper Priority'!$C$18,$F202&lt;='07-Paper Priority'!$D$18),AND($E202&lt;='07-Paper Priority'!$D$18,$F202&lt;='07-Paper Priority'!$C$18))),'07-Paper Priority'!$A$18,"")</f>
        <v>14</v>
      </c>
      <c r="AG202">
        <f>IF(AND('07-Paper Priority'!$A$19&gt;=MATCH($J202,'07-Paper Priority'!$B$5:$B$26,0),OR(AND($E202&lt;='07-Paper Priority'!$C$19,$F202&lt;='07-Paper Priority'!$D$19),AND($E202&lt;='07-Paper Priority'!$D$19,$F202&lt;='07-Paper Priority'!$C$19))),'07-Paper Priority'!$A$19,"")</f>
        <v>15</v>
      </c>
      <c r="AH202">
        <f>IF(AND('07-Paper Priority'!$A$20&gt;=MATCH($J202,'07-Paper Priority'!$B$5:$B$26,0),OR(AND($E202&lt;='07-Paper Priority'!$C$20,$F202&lt;='07-Paper Priority'!$D$20),AND($E202&lt;='07-Paper Priority'!$D$20,$F202&lt;='07-Paper Priority'!$C$20))),'07-Paper Priority'!$A$20,"")</f>
        <v>16</v>
      </c>
      <c r="AI202">
        <f>IF(AND('07-Paper Priority'!$A$21&gt;=MATCH($J202,'07-Paper Priority'!$B$5:$B$26,0),OR(AND($E202&lt;='07-Paper Priority'!$C$21,$F202&lt;='07-Paper Priority'!$D$21),AND($E202&lt;='07-Paper Priority'!$D$21,$F202&lt;='07-Paper Priority'!$C$21))),'07-Paper Priority'!$A$21,"")</f>
        <v>17</v>
      </c>
      <c r="AJ202">
        <f>IF(AND('07-Paper Priority'!$A$22&gt;=MATCH($J202,'07-Paper Priority'!$B$5:$B$26,0),OR(AND($E202&lt;='07-Paper Priority'!$C$22,$F202&lt;='07-Paper Priority'!$D$22),AND($E202&lt;='07-Paper Priority'!$D$22,$F202&lt;='07-Paper Priority'!$C$22))),'07-Paper Priority'!$A$22,"")</f>
        <v>18</v>
      </c>
      <c r="AK202">
        <f>IF(AND('07-Paper Priority'!$A$23&gt;=MATCH($J202,'07-Paper Priority'!$B$5:$B$26,0),OR(AND($E202&lt;='07-Paper Priority'!$C$23,$F202&lt;='07-Paper Priority'!$D$23),AND($E202&lt;='07-Paper Priority'!$D$23,$F202&lt;='07-Paper Priority'!$C$23))),'07-Paper Priority'!$A$23,"")</f>
        <v>19</v>
      </c>
      <c r="AL202">
        <f>IF(AND('07-Paper Priority'!$A$24&gt;=MATCH($J202,'07-Paper Priority'!$B$5:$B$26,0),OR(AND($E202&lt;='07-Paper Priority'!$C$24,$F202&lt;='07-Paper Priority'!$D$24),AND($E202&lt;='07-Paper Priority'!$D$24,$F202&lt;='07-Paper Priority'!$C$24))),'07-Paper Priority'!$A$24,"")</f>
        <v>20</v>
      </c>
      <c r="AM202">
        <f>IF(AND('07-Paper Priority'!$A$25&gt;=MATCH($J202,'07-Paper Priority'!$B$5:$B$26,0),OR(AND($E202&lt;='07-Paper Priority'!$C$25,$F202&lt;='07-Paper Priority'!$D$25),AND($E202&lt;='07-Paper Priority'!$D$25,$F202&lt;='07-Paper Priority'!$C$25))),'07-Paper Priority'!$A$25,"")</f>
        <v>21</v>
      </c>
      <c r="AN202">
        <f>IF(AND('07-Paper Priority'!$A$26&gt;=MATCH($J202,'07-Paper Priority'!$B$5:$B$26,0),OR(AND($E202&lt;='07-Paper Priority'!$C$26,$F202&lt;='07-Paper Priority'!$D$26),AND($E202&lt;='07-Paper Priority'!$D$26,$F202&lt;='07-Paper Priority'!$C$26))),'07-Paper Priority'!$A$26,"")</f>
        <v>22</v>
      </c>
    </row>
    <row r="203" spans="1:40" ht="33.950000000000003" customHeight="1">
      <c r="A203" s="30" t="s">
        <v>2750</v>
      </c>
      <c r="B203" s="30" t="s">
        <v>2732</v>
      </c>
      <c r="C203" s="30" t="s">
        <v>2596</v>
      </c>
      <c r="D203" s="30" t="s">
        <v>2611</v>
      </c>
      <c r="E203" s="23">
        <v>70</v>
      </c>
      <c r="F203" s="23">
        <v>70</v>
      </c>
      <c r="G203" s="30" t="s">
        <v>2597</v>
      </c>
      <c r="H203" s="30" t="s">
        <v>2751</v>
      </c>
      <c r="I203" s="24" t="s">
        <v>2599</v>
      </c>
      <c r="J203" s="25" t="s">
        <v>726</v>
      </c>
      <c r="K203" s="26" t="str">
        <f>IF(COUNT(S203:AN203)=0,"NO FIT",INDEX('07-Paper Priority'!$B$5:$B$26,MIN(S203:AN203)))</f>
        <v>A7</v>
      </c>
      <c r="L203" s="26" t="str">
        <f>IF($K203="NO FIT","",IF(AND($E203&lt;=INDEX('07-Paper Priority'!$C$5:$C$26,MATCH($K203,'07-Paper Priority'!$B$5:$B$26,0)),$F203&lt;=INDEX('07-Paper Priority'!$D$5:$D$26,MATCH($K203,'07-Paper Priority'!$B$5:$B$26,0))),"PORTRAIT","ROTATED"))</f>
        <v>PORTRAIT</v>
      </c>
      <c r="M203" s="27">
        <f>IF($K203="NO FIT","",IF($L203="PORTRAIT",INDEX('07-Paper Priority'!$C$5:$C$26,MATCH($K203,'07-Paper Priority'!$B$5:$B$26,0)),INDEX('07-Paper Priority'!$D$5:$D$26,MATCH($K203,'07-Paper Priority'!$B$5:$B$26,0))))</f>
        <v>74</v>
      </c>
      <c r="N203" s="27">
        <f>IF($K203="NO FIT","",IF($L203="PORTRAIT",INDEX('07-Paper Priority'!$D$5:$D$26,MATCH($K203,'07-Paper Priority'!$B$5:$B$26,0)),INDEX('07-Paper Priority'!$C$5:$C$26,MATCH($K203,'07-Paper Priority'!$B$5:$B$26,0))))</f>
        <v>105</v>
      </c>
      <c r="O203" s="27">
        <f>IF($K203="NO FIT","",$M203-$E203)</f>
        <v>4</v>
      </c>
      <c r="P203" s="27">
        <f>IF($K203="NO FIT","",$N203-$F203)</f>
        <v>35</v>
      </c>
      <c r="Q203" s="28" t="str">
        <f>IF($K203="NO FIT","REVIEW - NO PAPER FIT",IF(OR($O203&lt;0,$P203&lt;0),"ERROR - FIT",IF(COUNTIF('02-Printing Size'!$A$2:$A$2169,$K203)=0,"ERROR - CODE MISSING","VALID - LOWEST PAPER")))</f>
        <v>VALID - LOWEST PAPER</v>
      </c>
      <c r="R203" s="30" t="s">
        <v>2752</v>
      </c>
      <c r="S203" t="str">
        <f>IF(AND('07-Paper Priority'!$A$5&gt;=MATCH($J203,'07-Paper Priority'!$B$5:$B$26,0),OR(AND($E203&lt;='07-Paper Priority'!$C$5,$F203&lt;='07-Paper Priority'!$D$5),AND($E203&lt;='07-Paper Priority'!$D$5,$F203&lt;='07-Paper Priority'!$C$5))),'07-Paper Priority'!$A$5,"")</f>
        <v/>
      </c>
      <c r="T203" t="str">
        <f>IF(AND('07-Paper Priority'!$A$6&gt;=MATCH($J203,'07-Paper Priority'!$B$5:$B$26,0),OR(AND($E203&lt;='07-Paper Priority'!$C$6,$F203&lt;='07-Paper Priority'!$D$6),AND($E203&lt;='07-Paper Priority'!$D$6,$F203&lt;='07-Paper Priority'!$C$6))),'07-Paper Priority'!$A$6,"")</f>
        <v/>
      </c>
      <c r="U203" t="str">
        <f>IF(AND('07-Paper Priority'!$A$7&gt;=MATCH($J203,'07-Paper Priority'!$B$5:$B$26,0),OR(AND($E203&lt;='07-Paper Priority'!$C$7,$F203&lt;='07-Paper Priority'!$D$7),AND($E203&lt;='07-Paper Priority'!$D$7,$F203&lt;='07-Paper Priority'!$C$7))),'07-Paper Priority'!$A$7,"")</f>
        <v/>
      </c>
      <c r="V203" t="str">
        <f>IF(AND('07-Paper Priority'!$A$8&gt;=MATCH($J203,'07-Paper Priority'!$B$5:$B$26,0),OR(AND($E203&lt;='07-Paper Priority'!$C$8,$F203&lt;='07-Paper Priority'!$D$8),AND($E203&lt;='07-Paper Priority'!$D$8,$F203&lt;='07-Paper Priority'!$C$8))),'07-Paper Priority'!$A$8,"")</f>
        <v/>
      </c>
      <c r="W203" t="str">
        <f>IF(AND('07-Paper Priority'!$A$9&gt;=MATCH($J203,'07-Paper Priority'!$B$5:$B$26,0),OR(AND($E203&lt;='07-Paper Priority'!$C$9,$F203&lt;='07-Paper Priority'!$D$9),AND($E203&lt;='07-Paper Priority'!$D$9,$F203&lt;='07-Paper Priority'!$C$9))),'07-Paper Priority'!$A$9,"")</f>
        <v/>
      </c>
      <c r="X203" t="str">
        <f>IF(AND('07-Paper Priority'!$A$10&gt;=MATCH($J203,'07-Paper Priority'!$B$5:$B$26,0),OR(AND($E203&lt;='07-Paper Priority'!$C$10,$F203&lt;='07-Paper Priority'!$D$10),AND($E203&lt;='07-Paper Priority'!$D$10,$F203&lt;='07-Paper Priority'!$C$10))),'07-Paper Priority'!$A$10,"")</f>
        <v/>
      </c>
      <c r="Y203">
        <f>IF(AND('07-Paper Priority'!$A$11&gt;=MATCH($J203,'07-Paper Priority'!$B$5:$B$26,0),OR(AND($E203&lt;='07-Paper Priority'!$C$11,$F203&lt;='07-Paper Priority'!$D$11),AND($E203&lt;='07-Paper Priority'!$D$11,$F203&lt;='07-Paper Priority'!$C$11))),'07-Paper Priority'!$A$11,"")</f>
        <v>7</v>
      </c>
      <c r="Z203">
        <f>IF(AND('07-Paper Priority'!$A$12&gt;=MATCH($J203,'07-Paper Priority'!$B$5:$B$26,0),OR(AND($E203&lt;='07-Paper Priority'!$C$12,$F203&lt;='07-Paper Priority'!$D$12),AND($E203&lt;='07-Paper Priority'!$D$12,$F203&lt;='07-Paper Priority'!$C$12))),'07-Paper Priority'!$A$12,"")</f>
        <v>8</v>
      </c>
      <c r="AA203">
        <f>IF(AND('07-Paper Priority'!$A$13&gt;=MATCH($J203,'07-Paper Priority'!$B$5:$B$26,0),OR(AND($E203&lt;='07-Paper Priority'!$C$13,$F203&lt;='07-Paper Priority'!$D$13),AND($E203&lt;='07-Paper Priority'!$D$13,$F203&lt;='07-Paper Priority'!$C$13))),'07-Paper Priority'!$A$13,"")</f>
        <v>9</v>
      </c>
      <c r="AB203">
        <f>IF(AND('07-Paper Priority'!$A$14&gt;=MATCH($J203,'07-Paper Priority'!$B$5:$B$26,0),OR(AND($E203&lt;='07-Paper Priority'!$C$14,$F203&lt;='07-Paper Priority'!$D$14),AND($E203&lt;='07-Paper Priority'!$D$14,$F203&lt;='07-Paper Priority'!$C$14))),'07-Paper Priority'!$A$14,"")</f>
        <v>10</v>
      </c>
      <c r="AC203">
        <f>IF(AND('07-Paper Priority'!$A$15&gt;=MATCH($J203,'07-Paper Priority'!$B$5:$B$26,0),OR(AND($E203&lt;='07-Paper Priority'!$C$15,$F203&lt;='07-Paper Priority'!$D$15),AND($E203&lt;='07-Paper Priority'!$D$15,$F203&lt;='07-Paper Priority'!$C$15))),'07-Paper Priority'!$A$15,"")</f>
        <v>11</v>
      </c>
      <c r="AD203">
        <f>IF(AND('07-Paper Priority'!$A$16&gt;=MATCH($J203,'07-Paper Priority'!$B$5:$B$26,0),OR(AND($E203&lt;='07-Paper Priority'!$C$16,$F203&lt;='07-Paper Priority'!$D$16),AND($E203&lt;='07-Paper Priority'!$D$16,$F203&lt;='07-Paper Priority'!$C$16))),'07-Paper Priority'!$A$16,"")</f>
        <v>12</v>
      </c>
      <c r="AE203">
        <f>IF(AND('07-Paper Priority'!$A$17&gt;=MATCH($J203,'07-Paper Priority'!$B$5:$B$26,0),OR(AND($E203&lt;='07-Paper Priority'!$C$17,$F203&lt;='07-Paper Priority'!$D$17),AND($E203&lt;='07-Paper Priority'!$D$17,$F203&lt;='07-Paper Priority'!$C$17))),'07-Paper Priority'!$A$17,"")</f>
        <v>13</v>
      </c>
      <c r="AF203">
        <f>IF(AND('07-Paper Priority'!$A$18&gt;=MATCH($J203,'07-Paper Priority'!$B$5:$B$26,0),OR(AND($E203&lt;='07-Paper Priority'!$C$18,$F203&lt;='07-Paper Priority'!$D$18),AND($E203&lt;='07-Paper Priority'!$D$18,$F203&lt;='07-Paper Priority'!$C$18))),'07-Paper Priority'!$A$18,"")</f>
        <v>14</v>
      </c>
      <c r="AG203">
        <f>IF(AND('07-Paper Priority'!$A$19&gt;=MATCH($J203,'07-Paper Priority'!$B$5:$B$26,0),OR(AND($E203&lt;='07-Paper Priority'!$C$19,$F203&lt;='07-Paper Priority'!$D$19),AND($E203&lt;='07-Paper Priority'!$D$19,$F203&lt;='07-Paper Priority'!$C$19))),'07-Paper Priority'!$A$19,"")</f>
        <v>15</v>
      </c>
      <c r="AH203">
        <f>IF(AND('07-Paper Priority'!$A$20&gt;=MATCH($J203,'07-Paper Priority'!$B$5:$B$26,0),OR(AND($E203&lt;='07-Paper Priority'!$C$20,$F203&lt;='07-Paper Priority'!$D$20),AND($E203&lt;='07-Paper Priority'!$D$20,$F203&lt;='07-Paper Priority'!$C$20))),'07-Paper Priority'!$A$20,"")</f>
        <v>16</v>
      </c>
      <c r="AI203">
        <f>IF(AND('07-Paper Priority'!$A$21&gt;=MATCH($J203,'07-Paper Priority'!$B$5:$B$26,0),OR(AND($E203&lt;='07-Paper Priority'!$C$21,$F203&lt;='07-Paper Priority'!$D$21),AND($E203&lt;='07-Paper Priority'!$D$21,$F203&lt;='07-Paper Priority'!$C$21))),'07-Paper Priority'!$A$21,"")</f>
        <v>17</v>
      </c>
      <c r="AJ203">
        <f>IF(AND('07-Paper Priority'!$A$22&gt;=MATCH($J203,'07-Paper Priority'!$B$5:$B$26,0),OR(AND($E203&lt;='07-Paper Priority'!$C$22,$F203&lt;='07-Paper Priority'!$D$22),AND($E203&lt;='07-Paper Priority'!$D$22,$F203&lt;='07-Paper Priority'!$C$22))),'07-Paper Priority'!$A$22,"")</f>
        <v>18</v>
      </c>
      <c r="AK203">
        <f>IF(AND('07-Paper Priority'!$A$23&gt;=MATCH($J203,'07-Paper Priority'!$B$5:$B$26,0),OR(AND($E203&lt;='07-Paper Priority'!$C$23,$F203&lt;='07-Paper Priority'!$D$23),AND($E203&lt;='07-Paper Priority'!$D$23,$F203&lt;='07-Paper Priority'!$C$23))),'07-Paper Priority'!$A$23,"")</f>
        <v>19</v>
      </c>
      <c r="AL203">
        <f>IF(AND('07-Paper Priority'!$A$24&gt;=MATCH($J203,'07-Paper Priority'!$B$5:$B$26,0),OR(AND($E203&lt;='07-Paper Priority'!$C$24,$F203&lt;='07-Paper Priority'!$D$24),AND($E203&lt;='07-Paper Priority'!$D$24,$F203&lt;='07-Paper Priority'!$C$24))),'07-Paper Priority'!$A$24,"")</f>
        <v>20</v>
      </c>
      <c r="AM203">
        <f>IF(AND('07-Paper Priority'!$A$25&gt;=MATCH($J203,'07-Paper Priority'!$B$5:$B$26,0),OR(AND($E203&lt;='07-Paper Priority'!$C$25,$F203&lt;='07-Paper Priority'!$D$25),AND($E203&lt;='07-Paper Priority'!$D$25,$F203&lt;='07-Paper Priority'!$C$25))),'07-Paper Priority'!$A$25,"")</f>
        <v>21</v>
      </c>
      <c r="AN203">
        <f>IF(AND('07-Paper Priority'!$A$26&gt;=MATCH($J203,'07-Paper Priority'!$B$5:$B$26,0),OR(AND($E203&lt;='07-Paper Priority'!$C$26,$F203&lt;='07-Paper Priority'!$D$26),AND($E203&lt;='07-Paper Priority'!$D$26,$F203&lt;='07-Paper Priority'!$C$26))),'07-Paper Priority'!$A$26,"")</f>
        <v>22</v>
      </c>
    </row>
    <row r="204" spans="1:40" ht="33.950000000000003" customHeight="1">
      <c r="A204" s="30" t="s">
        <v>2753</v>
      </c>
      <c r="B204" s="30" t="s">
        <v>2732</v>
      </c>
      <c r="C204" s="30" t="s">
        <v>2549</v>
      </c>
      <c r="D204" s="30" t="s">
        <v>2611</v>
      </c>
      <c r="E204" s="23">
        <v>60</v>
      </c>
      <c r="F204" s="23">
        <v>60</v>
      </c>
      <c r="G204" s="30" t="s">
        <v>2592</v>
      </c>
      <c r="H204" s="30" t="s">
        <v>2754</v>
      </c>
      <c r="I204" s="24" t="s">
        <v>2553</v>
      </c>
      <c r="J204" s="25" t="s">
        <v>800</v>
      </c>
      <c r="K204" s="26" t="str">
        <f>IF(COUNT(S204:AN204)=0,"NO FIT",INDEX('07-Paper Priority'!$B$5:$B$26,MIN(S204:AN204)))</f>
        <v>B8</v>
      </c>
      <c r="L204" s="26" t="str">
        <f>IF($K204="NO FIT","",IF(AND($E204&lt;=INDEX('07-Paper Priority'!$C$5:$C$26,MATCH($K204,'07-Paper Priority'!$B$5:$B$26,0)),$F204&lt;=INDEX('07-Paper Priority'!$D$5:$D$26,MATCH($K204,'07-Paper Priority'!$B$5:$B$26,0))),"PORTRAIT","ROTATED"))</f>
        <v>PORTRAIT</v>
      </c>
      <c r="M204" s="27">
        <f>IF($K204="NO FIT","",IF($L204="PORTRAIT",INDEX('07-Paper Priority'!$C$5:$C$26,MATCH($K204,'07-Paper Priority'!$B$5:$B$26,0)),INDEX('07-Paper Priority'!$D$5:$D$26,MATCH($K204,'07-Paper Priority'!$B$5:$B$26,0))))</f>
        <v>62</v>
      </c>
      <c r="N204" s="27">
        <f>IF($K204="NO FIT","",IF($L204="PORTRAIT",INDEX('07-Paper Priority'!$D$5:$D$26,MATCH($K204,'07-Paper Priority'!$B$5:$B$26,0)),INDEX('07-Paper Priority'!$C$5:$C$26,MATCH($K204,'07-Paper Priority'!$B$5:$B$26,0))))</f>
        <v>88</v>
      </c>
      <c r="O204" s="27">
        <f>IF($K204="NO FIT","",$M204-$E204)</f>
        <v>2</v>
      </c>
      <c r="P204" s="27">
        <f>IF($K204="NO FIT","",$N204-$F204)</f>
        <v>28</v>
      </c>
      <c r="Q204" s="28" t="str">
        <f>IF($K204="NO FIT","REVIEW - NO PAPER FIT",IF(OR($O204&lt;0,$P204&lt;0),"ERROR - FIT",IF(COUNTIF('02-Printing Size'!$A$2:$A$2169,$K204)=0,"ERROR - CODE MISSING","VALID - LOWEST PAPER")))</f>
        <v>VALID - LOWEST PAPER</v>
      </c>
      <c r="R204" s="30" t="s">
        <v>2755</v>
      </c>
      <c r="S204" t="str">
        <f>IF(AND('07-Paper Priority'!$A$5&gt;=MATCH($J204,'07-Paper Priority'!$B$5:$B$26,0),OR(AND($E204&lt;='07-Paper Priority'!$C$5,$F204&lt;='07-Paper Priority'!$D$5),AND($E204&lt;='07-Paper Priority'!$D$5,$F204&lt;='07-Paper Priority'!$C$5))),'07-Paper Priority'!$A$5,"")</f>
        <v/>
      </c>
      <c r="T204" t="str">
        <f>IF(AND('07-Paper Priority'!$A$6&gt;=MATCH($J204,'07-Paper Priority'!$B$5:$B$26,0),OR(AND($E204&lt;='07-Paper Priority'!$C$6,$F204&lt;='07-Paper Priority'!$D$6),AND($E204&lt;='07-Paper Priority'!$D$6,$F204&lt;='07-Paper Priority'!$C$6))),'07-Paper Priority'!$A$6,"")</f>
        <v/>
      </c>
      <c r="U204" t="str">
        <f>IF(AND('07-Paper Priority'!$A$7&gt;=MATCH($J204,'07-Paper Priority'!$B$5:$B$26,0),OR(AND($E204&lt;='07-Paper Priority'!$C$7,$F204&lt;='07-Paper Priority'!$D$7),AND($E204&lt;='07-Paper Priority'!$D$7,$F204&lt;='07-Paper Priority'!$C$7))),'07-Paper Priority'!$A$7,"")</f>
        <v/>
      </c>
      <c r="V204" t="str">
        <f>IF(AND('07-Paper Priority'!$A$8&gt;=MATCH($J204,'07-Paper Priority'!$B$5:$B$26,0),OR(AND($E204&lt;='07-Paper Priority'!$C$8,$F204&lt;='07-Paper Priority'!$D$8),AND($E204&lt;='07-Paper Priority'!$D$8,$F204&lt;='07-Paper Priority'!$C$8))),'07-Paper Priority'!$A$8,"")</f>
        <v/>
      </c>
      <c r="W204" t="str">
        <f>IF(AND('07-Paper Priority'!$A$9&gt;=MATCH($J204,'07-Paper Priority'!$B$5:$B$26,0),OR(AND($E204&lt;='07-Paper Priority'!$C$9,$F204&lt;='07-Paper Priority'!$D$9),AND($E204&lt;='07-Paper Priority'!$D$9,$F204&lt;='07-Paper Priority'!$C$9))),'07-Paper Priority'!$A$9,"")</f>
        <v/>
      </c>
      <c r="X204">
        <f>IF(AND('07-Paper Priority'!$A$10&gt;=MATCH($J204,'07-Paper Priority'!$B$5:$B$26,0),OR(AND($E204&lt;='07-Paper Priority'!$C$10,$F204&lt;='07-Paper Priority'!$D$10),AND($E204&lt;='07-Paper Priority'!$D$10,$F204&lt;='07-Paper Priority'!$C$10))),'07-Paper Priority'!$A$10,"")</f>
        <v>6</v>
      </c>
      <c r="Y204">
        <f>IF(AND('07-Paper Priority'!$A$11&gt;=MATCH($J204,'07-Paper Priority'!$B$5:$B$26,0),OR(AND($E204&lt;='07-Paper Priority'!$C$11,$F204&lt;='07-Paper Priority'!$D$11),AND($E204&lt;='07-Paper Priority'!$D$11,$F204&lt;='07-Paper Priority'!$C$11))),'07-Paper Priority'!$A$11,"")</f>
        <v>7</v>
      </c>
      <c r="Z204">
        <f>IF(AND('07-Paper Priority'!$A$12&gt;=MATCH($J204,'07-Paper Priority'!$B$5:$B$26,0),OR(AND($E204&lt;='07-Paper Priority'!$C$12,$F204&lt;='07-Paper Priority'!$D$12),AND($E204&lt;='07-Paper Priority'!$D$12,$F204&lt;='07-Paper Priority'!$C$12))),'07-Paper Priority'!$A$12,"")</f>
        <v>8</v>
      </c>
      <c r="AA204">
        <f>IF(AND('07-Paper Priority'!$A$13&gt;=MATCH($J204,'07-Paper Priority'!$B$5:$B$26,0),OR(AND($E204&lt;='07-Paper Priority'!$C$13,$F204&lt;='07-Paper Priority'!$D$13),AND($E204&lt;='07-Paper Priority'!$D$13,$F204&lt;='07-Paper Priority'!$C$13))),'07-Paper Priority'!$A$13,"")</f>
        <v>9</v>
      </c>
      <c r="AB204">
        <f>IF(AND('07-Paper Priority'!$A$14&gt;=MATCH($J204,'07-Paper Priority'!$B$5:$B$26,0),OR(AND($E204&lt;='07-Paper Priority'!$C$14,$F204&lt;='07-Paper Priority'!$D$14),AND($E204&lt;='07-Paper Priority'!$D$14,$F204&lt;='07-Paper Priority'!$C$14))),'07-Paper Priority'!$A$14,"")</f>
        <v>10</v>
      </c>
      <c r="AC204">
        <f>IF(AND('07-Paper Priority'!$A$15&gt;=MATCH($J204,'07-Paper Priority'!$B$5:$B$26,0),OR(AND($E204&lt;='07-Paper Priority'!$C$15,$F204&lt;='07-Paper Priority'!$D$15),AND($E204&lt;='07-Paper Priority'!$D$15,$F204&lt;='07-Paper Priority'!$C$15))),'07-Paper Priority'!$A$15,"")</f>
        <v>11</v>
      </c>
      <c r="AD204">
        <f>IF(AND('07-Paper Priority'!$A$16&gt;=MATCH($J204,'07-Paper Priority'!$B$5:$B$26,0),OR(AND($E204&lt;='07-Paper Priority'!$C$16,$F204&lt;='07-Paper Priority'!$D$16),AND($E204&lt;='07-Paper Priority'!$D$16,$F204&lt;='07-Paper Priority'!$C$16))),'07-Paper Priority'!$A$16,"")</f>
        <v>12</v>
      </c>
      <c r="AE204">
        <f>IF(AND('07-Paper Priority'!$A$17&gt;=MATCH($J204,'07-Paper Priority'!$B$5:$B$26,0),OR(AND($E204&lt;='07-Paper Priority'!$C$17,$F204&lt;='07-Paper Priority'!$D$17),AND($E204&lt;='07-Paper Priority'!$D$17,$F204&lt;='07-Paper Priority'!$C$17))),'07-Paper Priority'!$A$17,"")</f>
        <v>13</v>
      </c>
      <c r="AF204">
        <f>IF(AND('07-Paper Priority'!$A$18&gt;=MATCH($J204,'07-Paper Priority'!$B$5:$B$26,0),OR(AND($E204&lt;='07-Paper Priority'!$C$18,$F204&lt;='07-Paper Priority'!$D$18),AND($E204&lt;='07-Paper Priority'!$D$18,$F204&lt;='07-Paper Priority'!$C$18))),'07-Paper Priority'!$A$18,"")</f>
        <v>14</v>
      </c>
      <c r="AG204">
        <f>IF(AND('07-Paper Priority'!$A$19&gt;=MATCH($J204,'07-Paper Priority'!$B$5:$B$26,0),OR(AND($E204&lt;='07-Paper Priority'!$C$19,$F204&lt;='07-Paper Priority'!$D$19),AND($E204&lt;='07-Paper Priority'!$D$19,$F204&lt;='07-Paper Priority'!$C$19))),'07-Paper Priority'!$A$19,"")</f>
        <v>15</v>
      </c>
      <c r="AH204">
        <f>IF(AND('07-Paper Priority'!$A$20&gt;=MATCH($J204,'07-Paper Priority'!$B$5:$B$26,0),OR(AND($E204&lt;='07-Paper Priority'!$C$20,$F204&lt;='07-Paper Priority'!$D$20),AND($E204&lt;='07-Paper Priority'!$D$20,$F204&lt;='07-Paper Priority'!$C$20))),'07-Paper Priority'!$A$20,"")</f>
        <v>16</v>
      </c>
      <c r="AI204">
        <f>IF(AND('07-Paper Priority'!$A$21&gt;=MATCH($J204,'07-Paper Priority'!$B$5:$B$26,0),OR(AND($E204&lt;='07-Paper Priority'!$C$21,$F204&lt;='07-Paper Priority'!$D$21),AND($E204&lt;='07-Paper Priority'!$D$21,$F204&lt;='07-Paper Priority'!$C$21))),'07-Paper Priority'!$A$21,"")</f>
        <v>17</v>
      </c>
      <c r="AJ204">
        <f>IF(AND('07-Paper Priority'!$A$22&gt;=MATCH($J204,'07-Paper Priority'!$B$5:$B$26,0),OR(AND($E204&lt;='07-Paper Priority'!$C$22,$F204&lt;='07-Paper Priority'!$D$22),AND($E204&lt;='07-Paper Priority'!$D$22,$F204&lt;='07-Paper Priority'!$C$22))),'07-Paper Priority'!$A$22,"")</f>
        <v>18</v>
      </c>
      <c r="AK204">
        <f>IF(AND('07-Paper Priority'!$A$23&gt;=MATCH($J204,'07-Paper Priority'!$B$5:$B$26,0),OR(AND($E204&lt;='07-Paper Priority'!$C$23,$F204&lt;='07-Paper Priority'!$D$23),AND($E204&lt;='07-Paper Priority'!$D$23,$F204&lt;='07-Paper Priority'!$C$23))),'07-Paper Priority'!$A$23,"")</f>
        <v>19</v>
      </c>
      <c r="AL204">
        <f>IF(AND('07-Paper Priority'!$A$24&gt;=MATCH($J204,'07-Paper Priority'!$B$5:$B$26,0),OR(AND($E204&lt;='07-Paper Priority'!$C$24,$F204&lt;='07-Paper Priority'!$D$24),AND($E204&lt;='07-Paper Priority'!$D$24,$F204&lt;='07-Paper Priority'!$C$24))),'07-Paper Priority'!$A$24,"")</f>
        <v>20</v>
      </c>
      <c r="AM204">
        <f>IF(AND('07-Paper Priority'!$A$25&gt;=MATCH($J204,'07-Paper Priority'!$B$5:$B$26,0),OR(AND($E204&lt;='07-Paper Priority'!$C$25,$F204&lt;='07-Paper Priority'!$D$25),AND($E204&lt;='07-Paper Priority'!$D$25,$F204&lt;='07-Paper Priority'!$C$25))),'07-Paper Priority'!$A$25,"")</f>
        <v>21</v>
      </c>
      <c r="AN204">
        <f>IF(AND('07-Paper Priority'!$A$26&gt;=MATCH($J204,'07-Paper Priority'!$B$5:$B$26,0),OR(AND($E204&lt;='07-Paper Priority'!$C$26,$F204&lt;='07-Paper Priority'!$D$26),AND($E204&lt;='07-Paper Priority'!$D$26,$F204&lt;='07-Paper Priority'!$C$26))),'07-Paper Priority'!$A$26,"")</f>
        <v>22</v>
      </c>
    </row>
    <row r="205" spans="1:40" ht="33.950000000000003" customHeight="1">
      <c r="A205" s="30" t="s">
        <v>2756</v>
      </c>
      <c r="B205" s="30" t="s">
        <v>2732</v>
      </c>
      <c r="C205" s="30" t="s">
        <v>2627</v>
      </c>
      <c r="D205" s="30" t="s">
        <v>2757</v>
      </c>
      <c r="E205" s="23">
        <v>250</v>
      </c>
      <c r="F205" s="23">
        <v>280</v>
      </c>
      <c r="G205" s="30" t="s">
        <v>2758</v>
      </c>
      <c r="H205" s="30" t="s">
        <v>2759</v>
      </c>
      <c r="I205" s="24" t="s">
        <v>64</v>
      </c>
      <c r="J205" s="25" t="s">
        <v>1980</v>
      </c>
      <c r="K205" s="26" t="str">
        <f>IF(COUNT(S205:AN205)=0,"NO FIT",INDEX('07-Paper Priority'!$B$5:$B$26,MIN(S205:AN205)))</f>
        <v>B4</v>
      </c>
      <c r="L205" s="26" t="str">
        <f>IF($K205="NO FIT","",IF(AND($E205&lt;=INDEX('07-Paper Priority'!$C$5:$C$26,MATCH($K205,'07-Paper Priority'!$B$5:$B$26,0)),$F205&lt;=INDEX('07-Paper Priority'!$D$5:$D$26,MATCH($K205,'07-Paper Priority'!$B$5:$B$26,0))),"PORTRAIT","ROTATED"))</f>
        <v>PORTRAIT</v>
      </c>
      <c r="M205" s="27">
        <f>IF($K205="NO FIT","",IF($L205="PORTRAIT",INDEX('07-Paper Priority'!$C$5:$C$26,MATCH($K205,'07-Paper Priority'!$B$5:$B$26,0)),INDEX('07-Paper Priority'!$D$5:$D$26,MATCH($K205,'07-Paper Priority'!$B$5:$B$26,0))))</f>
        <v>250</v>
      </c>
      <c r="N205" s="27">
        <f>IF($K205="NO FIT","",IF($L205="PORTRAIT",INDEX('07-Paper Priority'!$D$5:$D$26,MATCH($K205,'07-Paper Priority'!$B$5:$B$26,0)),INDEX('07-Paper Priority'!$C$5:$C$26,MATCH($K205,'07-Paper Priority'!$B$5:$B$26,0))))</f>
        <v>353</v>
      </c>
      <c r="O205" s="27">
        <f>IF($K205="NO FIT","",$M205-$E205)</f>
        <v>0</v>
      </c>
      <c r="P205" s="27">
        <f>IF($K205="NO FIT","",$N205-$F205)</f>
        <v>73</v>
      </c>
      <c r="Q205" s="28" t="str">
        <f>IF($K205="NO FIT","REVIEW - NO PAPER FIT",IF(OR($O205&lt;0,$P205&lt;0),"ERROR - FIT",IF(COUNTIF('02-Printing Size'!$A$2:$A$2169,$K205)=0,"ERROR - CODE MISSING","VALID - LOWEST PAPER")))</f>
        <v>VALID - LOWEST PAPER</v>
      </c>
      <c r="R205" s="30" t="s">
        <v>2760</v>
      </c>
      <c r="S205" t="str">
        <f>IF(AND('07-Paper Priority'!$A$5&gt;=MATCH($J205,'07-Paper Priority'!$B$5:$B$26,0),OR(AND($E205&lt;='07-Paper Priority'!$C$5,$F205&lt;='07-Paper Priority'!$D$5),AND($E205&lt;='07-Paper Priority'!$D$5,$F205&lt;='07-Paper Priority'!$C$5))),'07-Paper Priority'!$A$5,"")</f>
        <v/>
      </c>
      <c r="T205" t="str">
        <f>IF(AND('07-Paper Priority'!$A$6&gt;=MATCH($J205,'07-Paper Priority'!$B$5:$B$26,0),OR(AND($E205&lt;='07-Paper Priority'!$C$6,$F205&lt;='07-Paper Priority'!$D$6),AND($E205&lt;='07-Paper Priority'!$D$6,$F205&lt;='07-Paper Priority'!$C$6))),'07-Paper Priority'!$A$6,"")</f>
        <v/>
      </c>
      <c r="U205" t="str">
        <f>IF(AND('07-Paper Priority'!$A$7&gt;=MATCH($J205,'07-Paper Priority'!$B$5:$B$26,0),OR(AND($E205&lt;='07-Paper Priority'!$C$7,$F205&lt;='07-Paper Priority'!$D$7),AND($E205&lt;='07-Paper Priority'!$D$7,$F205&lt;='07-Paper Priority'!$C$7))),'07-Paper Priority'!$A$7,"")</f>
        <v/>
      </c>
      <c r="V205" t="str">
        <f>IF(AND('07-Paper Priority'!$A$8&gt;=MATCH($J205,'07-Paper Priority'!$B$5:$B$26,0),OR(AND($E205&lt;='07-Paper Priority'!$C$8,$F205&lt;='07-Paper Priority'!$D$8),AND($E205&lt;='07-Paper Priority'!$D$8,$F205&lt;='07-Paper Priority'!$C$8))),'07-Paper Priority'!$A$8,"")</f>
        <v/>
      </c>
      <c r="W205" t="str">
        <f>IF(AND('07-Paper Priority'!$A$9&gt;=MATCH($J205,'07-Paper Priority'!$B$5:$B$26,0),OR(AND($E205&lt;='07-Paper Priority'!$C$9,$F205&lt;='07-Paper Priority'!$D$9),AND($E205&lt;='07-Paper Priority'!$D$9,$F205&lt;='07-Paper Priority'!$C$9))),'07-Paper Priority'!$A$9,"")</f>
        <v/>
      </c>
      <c r="X205" t="str">
        <f>IF(AND('07-Paper Priority'!$A$10&gt;=MATCH($J205,'07-Paper Priority'!$B$5:$B$26,0),OR(AND($E205&lt;='07-Paper Priority'!$C$10,$F205&lt;='07-Paper Priority'!$D$10),AND($E205&lt;='07-Paper Priority'!$D$10,$F205&lt;='07-Paper Priority'!$C$10))),'07-Paper Priority'!$A$10,"")</f>
        <v/>
      </c>
      <c r="Y205" t="str">
        <f>IF(AND('07-Paper Priority'!$A$11&gt;=MATCH($J205,'07-Paper Priority'!$B$5:$B$26,0),OR(AND($E205&lt;='07-Paper Priority'!$C$11,$F205&lt;='07-Paper Priority'!$D$11),AND($E205&lt;='07-Paper Priority'!$D$11,$F205&lt;='07-Paper Priority'!$C$11))),'07-Paper Priority'!$A$11,"")</f>
        <v/>
      </c>
      <c r="Z205" t="str">
        <f>IF(AND('07-Paper Priority'!$A$12&gt;=MATCH($J205,'07-Paper Priority'!$B$5:$B$26,0),OR(AND($E205&lt;='07-Paper Priority'!$C$12,$F205&lt;='07-Paper Priority'!$D$12),AND($E205&lt;='07-Paper Priority'!$D$12,$F205&lt;='07-Paper Priority'!$C$12))),'07-Paper Priority'!$A$12,"")</f>
        <v/>
      </c>
      <c r="AA205" t="str">
        <f>IF(AND('07-Paper Priority'!$A$13&gt;=MATCH($J205,'07-Paper Priority'!$B$5:$B$26,0),OR(AND($E205&lt;='07-Paper Priority'!$C$13,$F205&lt;='07-Paper Priority'!$D$13),AND($E205&lt;='07-Paper Priority'!$D$13,$F205&lt;='07-Paper Priority'!$C$13))),'07-Paper Priority'!$A$13,"")</f>
        <v/>
      </c>
      <c r="AB205" t="str">
        <f>IF(AND('07-Paper Priority'!$A$14&gt;=MATCH($J205,'07-Paper Priority'!$B$5:$B$26,0),OR(AND($E205&lt;='07-Paper Priority'!$C$14,$F205&lt;='07-Paper Priority'!$D$14),AND($E205&lt;='07-Paper Priority'!$D$14,$F205&lt;='07-Paper Priority'!$C$14))),'07-Paper Priority'!$A$14,"")</f>
        <v/>
      </c>
      <c r="AC205" t="str">
        <f>IF(AND('07-Paper Priority'!$A$15&gt;=MATCH($J205,'07-Paper Priority'!$B$5:$B$26,0),OR(AND($E205&lt;='07-Paper Priority'!$C$15,$F205&lt;='07-Paper Priority'!$D$15),AND($E205&lt;='07-Paper Priority'!$D$15,$F205&lt;='07-Paper Priority'!$C$15))),'07-Paper Priority'!$A$15,"")</f>
        <v/>
      </c>
      <c r="AD205" t="str">
        <f>IF(AND('07-Paper Priority'!$A$16&gt;=MATCH($J205,'07-Paper Priority'!$B$5:$B$26,0),OR(AND($E205&lt;='07-Paper Priority'!$C$16,$F205&lt;='07-Paper Priority'!$D$16),AND($E205&lt;='07-Paper Priority'!$D$16,$F205&lt;='07-Paper Priority'!$C$16))),'07-Paper Priority'!$A$16,"")</f>
        <v/>
      </c>
      <c r="AE205" t="str">
        <f>IF(AND('07-Paper Priority'!$A$17&gt;=MATCH($J205,'07-Paper Priority'!$B$5:$B$26,0),OR(AND($E205&lt;='07-Paper Priority'!$C$17,$F205&lt;='07-Paper Priority'!$D$17),AND($E205&lt;='07-Paper Priority'!$D$17,$F205&lt;='07-Paper Priority'!$C$17))),'07-Paper Priority'!$A$17,"")</f>
        <v/>
      </c>
      <c r="AF205">
        <f>IF(AND('07-Paper Priority'!$A$18&gt;=MATCH($J205,'07-Paper Priority'!$B$5:$B$26,0),OR(AND($E205&lt;='07-Paper Priority'!$C$18,$F205&lt;='07-Paper Priority'!$D$18),AND($E205&lt;='07-Paper Priority'!$D$18,$F205&lt;='07-Paper Priority'!$C$18))),'07-Paper Priority'!$A$18,"")</f>
        <v>14</v>
      </c>
      <c r="AG205">
        <f>IF(AND('07-Paper Priority'!$A$19&gt;=MATCH($J205,'07-Paper Priority'!$B$5:$B$26,0),OR(AND($E205&lt;='07-Paper Priority'!$C$19,$F205&lt;='07-Paper Priority'!$D$19),AND($E205&lt;='07-Paper Priority'!$D$19,$F205&lt;='07-Paper Priority'!$C$19))),'07-Paper Priority'!$A$19,"")</f>
        <v>15</v>
      </c>
      <c r="AH205">
        <f>IF(AND('07-Paper Priority'!$A$20&gt;=MATCH($J205,'07-Paper Priority'!$B$5:$B$26,0),OR(AND($E205&lt;='07-Paper Priority'!$C$20,$F205&lt;='07-Paper Priority'!$D$20),AND($E205&lt;='07-Paper Priority'!$D$20,$F205&lt;='07-Paper Priority'!$C$20))),'07-Paper Priority'!$A$20,"")</f>
        <v>16</v>
      </c>
      <c r="AI205">
        <f>IF(AND('07-Paper Priority'!$A$21&gt;=MATCH($J205,'07-Paper Priority'!$B$5:$B$26,0),OR(AND($E205&lt;='07-Paper Priority'!$C$21,$F205&lt;='07-Paper Priority'!$D$21),AND($E205&lt;='07-Paper Priority'!$D$21,$F205&lt;='07-Paper Priority'!$C$21))),'07-Paper Priority'!$A$21,"")</f>
        <v>17</v>
      </c>
      <c r="AJ205">
        <f>IF(AND('07-Paper Priority'!$A$22&gt;=MATCH($J205,'07-Paper Priority'!$B$5:$B$26,0),OR(AND($E205&lt;='07-Paper Priority'!$C$22,$F205&lt;='07-Paper Priority'!$D$22),AND($E205&lt;='07-Paper Priority'!$D$22,$F205&lt;='07-Paper Priority'!$C$22))),'07-Paper Priority'!$A$22,"")</f>
        <v>18</v>
      </c>
      <c r="AK205">
        <f>IF(AND('07-Paper Priority'!$A$23&gt;=MATCH($J205,'07-Paper Priority'!$B$5:$B$26,0),OR(AND($E205&lt;='07-Paper Priority'!$C$23,$F205&lt;='07-Paper Priority'!$D$23),AND($E205&lt;='07-Paper Priority'!$D$23,$F205&lt;='07-Paper Priority'!$C$23))),'07-Paper Priority'!$A$23,"")</f>
        <v>19</v>
      </c>
      <c r="AL205">
        <f>IF(AND('07-Paper Priority'!$A$24&gt;=MATCH($J205,'07-Paper Priority'!$B$5:$B$26,0),OR(AND($E205&lt;='07-Paper Priority'!$C$24,$F205&lt;='07-Paper Priority'!$D$24),AND($E205&lt;='07-Paper Priority'!$D$24,$F205&lt;='07-Paper Priority'!$C$24))),'07-Paper Priority'!$A$24,"")</f>
        <v>20</v>
      </c>
      <c r="AM205">
        <f>IF(AND('07-Paper Priority'!$A$25&gt;=MATCH($J205,'07-Paper Priority'!$B$5:$B$26,0),OR(AND($E205&lt;='07-Paper Priority'!$C$25,$F205&lt;='07-Paper Priority'!$D$25),AND($E205&lt;='07-Paper Priority'!$D$25,$F205&lt;='07-Paper Priority'!$C$25))),'07-Paper Priority'!$A$25,"")</f>
        <v>21</v>
      </c>
      <c r="AN205">
        <f>IF(AND('07-Paper Priority'!$A$26&gt;=MATCH($J205,'07-Paper Priority'!$B$5:$B$26,0),OR(AND($E205&lt;='07-Paper Priority'!$C$26,$F205&lt;='07-Paper Priority'!$D$26),AND($E205&lt;='07-Paper Priority'!$D$26,$F205&lt;='07-Paper Priority'!$C$26))),'07-Paper Priority'!$A$26,"")</f>
        <v>22</v>
      </c>
    </row>
    <row r="206" spans="1:40" ht="33.950000000000003" customHeight="1">
      <c r="A206" s="30" t="s">
        <v>2761</v>
      </c>
      <c r="B206" s="30" t="s">
        <v>2732</v>
      </c>
      <c r="C206" s="30" t="s">
        <v>2641</v>
      </c>
      <c r="D206" s="30" t="s">
        <v>2655</v>
      </c>
      <c r="E206" s="23">
        <v>220</v>
      </c>
      <c r="F206" s="23">
        <v>240</v>
      </c>
      <c r="G206" s="30" t="s">
        <v>2642</v>
      </c>
      <c r="H206" s="30" t="s">
        <v>2762</v>
      </c>
      <c r="I206" s="24" t="s">
        <v>64</v>
      </c>
      <c r="J206" s="25" t="s">
        <v>1980</v>
      </c>
      <c r="K206" s="26" t="str">
        <f>IF(COUNT(S206:AN206)=0,"NO FIT",INDEX('07-Paper Priority'!$B$5:$B$26,MIN(S206:AN206)))</f>
        <v>B4</v>
      </c>
      <c r="L206" s="26" t="str">
        <f>IF($K206="NO FIT","",IF(AND($E206&lt;=INDEX('07-Paper Priority'!$C$5:$C$26,MATCH($K206,'07-Paper Priority'!$B$5:$B$26,0)),$F206&lt;=INDEX('07-Paper Priority'!$D$5:$D$26,MATCH($K206,'07-Paper Priority'!$B$5:$B$26,0))),"PORTRAIT","ROTATED"))</f>
        <v>PORTRAIT</v>
      </c>
      <c r="M206" s="27">
        <f>IF($K206="NO FIT","",IF($L206="PORTRAIT",INDEX('07-Paper Priority'!$C$5:$C$26,MATCH($K206,'07-Paper Priority'!$B$5:$B$26,0)),INDEX('07-Paper Priority'!$D$5:$D$26,MATCH($K206,'07-Paper Priority'!$B$5:$B$26,0))))</f>
        <v>250</v>
      </c>
      <c r="N206" s="27">
        <f>IF($K206="NO FIT","",IF($L206="PORTRAIT",INDEX('07-Paper Priority'!$D$5:$D$26,MATCH($K206,'07-Paper Priority'!$B$5:$B$26,0)),INDEX('07-Paper Priority'!$C$5:$C$26,MATCH($K206,'07-Paper Priority'!$B$5:$B$26,0))))</f>
        <v>353</v>
      </c>
      <c r="O206" s="27">
        <f>IF($K206="NO FIT","",$M206-$E206)</f>
        <v>30</v>
      </c>
      <c r="P206" s="27">
        <f>IF($K206="NO FIT","",$N206-$F206)</f>
        <v>113</v>
      </c>
      <c r="Q206" s="28" t="str">
        <f>IF($K206="NO FIT","REVIEW - NO PAPER FIT",IF(OR($O206&lt;0,$P206&lt;0),"ERROR - FIT",IF(COUNTIF('02-Printing Size'!$A$2:$A$2169,$K206)=0,"ERROR - CODE MISSING","VALID - LOWEST PAPER")))</f>
        <v>VALID - LOWEST PAPER</v>
      </c>
      <c r="R206" s="30" t="s">
        <v>2763</v>
      </c>
      <c r="S206" t="str">
        <f>IF(AND('07-Paper Priority'!$A$5&gt;=MATCH($J206,'07-Paper Priority'!$B$5:$B$26,0),OR(AND($E206&lt;='07-Paper Priority'!$C$5,$F206&lt;='07-Paper Priority'!$D$5),AND($E206&lt;='07-Paper Priority'!$D$5,$F206&lt;='07-Paper Priority'!$C$5))),'07-Paper Priority'!$A$5,"")</f>
        <v/>
      </c>
      <c r="T206" t="str">
        <f>IF(AND('07-Paper Priority'!$A$6&gt;=MATCH($J206,'07-Paper Priority'!$B$5:$B$26,0),OR(AND($E206&lt;='07-Paper Priority'!$C$6,$F206&lt;='07-Paper Priority'!$D$6),AND($E206&lt;='07-Paper Priority'!$D$6,$F206&lt;='07-Paper Priority'!$C$6))),'07-Paper Priority'!$A$6,"")</f>
        <v/>
      </c>
      <c r="U206" t="str">
        <f>IF(AND('07-Paper Priority'!$A$7&gt;=MATCH($J206,'07-Paper Priority'!$B$5:$B$26,0),OR(AND($E206&lt;='07-Paper Priority'!$C$7,$F206&lt;='07-Paper Priority'!$D$7),AND($E206&lt;='07-Paper Priority'!$D$7,$F206&lt;='07-Paper Priority'!$C$7))),'07-Paper Priority'!$A$7,"")</f>
        <v/>
      </c>
      <c r="V206" t="str">
        <f>IF(AND('07-Paper Priority'!$A$8&gt;=MATCH($J206,'07-Paper Priority'!$B$5:$B$26,0),OR(AND($E206&lt;='07-Paper Priority'!$C$8,$F206&lt;='07-Paper Priority'!$D$8),AND($E206&lt;='07-Paper Priority'!$D$8,$F206&lt;='07-Paper Priority'!$C$8))),'07-Paper Priority'!$A$8,"")</f>
        <v/>
      </c>
      <c r="W206" t="str">
        <f>IF(AND('07-Paper Priority'!$A$9&gt;=MATCH($J206,'07-Paper Priority'!$B$5:$B$26,0),OR(AND($E206&lt;='07-Paper Priority'!$C$9,$F206&lt;='07-Paper Priority'!$D$9),AND($E206&lt;='07-Paper Priority'!$D$9,$F206&lt;='07-Paper Priority'!$C$9))),'07-Paper Priority'!$A$9,"")</f>
        <v/>
      </c>
      <c r="X206" t="str">
        <f>IF(AND('07-Paper Priority'!$A$10&gt;=MATCH($J206,'07-Paper Priority'!$B$5:$B$26,0),OR(AND($E206&lt;='07-Paper Priority'!$C$10,$F206&lt;='07-Paper Priority'!$D$10),AND($E206&lt;='07-Paper Priority'!$D$10,$F206&lt;='07-Paper Priority'!$C$10))),'07-Paper Priority'!$A$10,"")</f>
        <v/>
      </c>
      <c r="Y206" t="str">
        <f>IF(AND('07-Paper Priority'!$A$11&gt;=MATCH($J206,'07-Paper Priority'!$B$5:$B$26,0),OR(AND($E206&lt;='07-Paper Priority'!$C$11,$F206&lt;='07-Paper Priority'!$D$11),AND($E206&lt;='07-Paper Priority'!$D$11,$F206&lt;='07-Paper Priority'!$C$11))),'07-Paper Priority'!$A$11,"")</f>
        <v/>
      </c>
      <c r="Z206" t="str">
        <f>IF(AND('07-Paper Priority'!$A$12&gt;=MATCH($J206,'07-Paper Priority'!$B$5:$B$26,0),OR(AND($E206&lt;='07-Paper Priority'!$C$12,$F206&lt;='07-Paper Priority'!$D$12),AND($E206&lt;='07-Paper Priority'!$D$12,$F206&lt;='07-Paper Priority'!$C$12))),'07-Paper Priority'!$A$12,"")</f>
        <v/>
      </c>
      <c r="AA206" t="str">
        <f>IF(AND('07-Paper Priority'!$A$13&gt;=MATCH($J206,'07-Paper Priority'!$B$5:$B$26,0),OR(AND($E206&lt;='07-Paper Priority'!$C$13,$F206&lt;='07-Paper Priority'!$D$13),AND($E206&lt;='07-Paper Priority'!$D$13,$F206&lt;='07-Paper Priority'!$C$13))),'07-Paper Priority'!$A$13,"")</f>
        <v/>
      </c>
      <c r="AB206" t="str">
        <f>IF(AND('07-Paper Priority'!$A$14&gt;=MATCH($J206,'07-Paper Priority'!$B$5:$B$26,0),OR(AND($E206&lt;='07-Paper Priority'!$C$14,$F206&lt;='07-Paper Priority'!$D$14),AND($E206&lt;='07-Paper Priority'!$D$14,$F206&lt;='07-Paper Priority'!$C$14))),'07-Paper Priority'!$A$14,"")</f>
        <v/>
      </c>
      <c r="AC206" t="str">
        <f>IF(AND('07-Paper Priority'!$A$15&gt;=MATCH($J206,'07-Paper Priority'!$B$5:$B$26,0),OR(AND($E206&lt;='07-Paper Priority'!$C$15,$F206&lt;='07-Paper Priority'!$D$15),AND($E206&lt;='07-Paper Priority'!$D$15,$F206&lt;='07-Paper Priority'!$C$15))),'07-Paper Priority'!$A$15,"")</f>
        <v/>
      </c>
      <c r="AD206" t="str">
        <f>IF(AND('07-Paper Priority'!$A$16&gt;=MATCH($J206,'07-Paper Priority'!$B$5:$B$26,0),OR(AND($E206&lt;='07-Paper Priority'!$C$16,$F206&lt;='07-Paper Priority'!$D$16),AND($E206&lt;='07-Paper Priority'!$D$16,$F206&lt;='07-Paper Priority'!$C$16))),'07-Paper Priority'!$A$16,"")</f>
        <v/>
      </c>
      <c r="AE206" t="str">
        <f>IF(AND('07-Paper Priority'!$A$17&gt;=MATCH($J206,'07-Paper Priority'!$B$5:$B$26,0),OR(AND($E206&lt;='07-Paper Priority'!$C$17,$F206&lt;='07-Paper Priority'!$D$17),AND($E206&lt;='07-Paper Priority'!$D$17,$F206&lt;='07-Paper Priority'!$C$17))),'07-Paper Priority'!$A$17,"")</f>
        <v/>
      </c>
      <c r="AF206">
        <f>IF(AND('07-Paper Priority'!$A$18&gt;=MATCH($J206,'07-Paper Priority'!$B$5:$B$26,0),OR(AND($E206&lt;='07-Paper Priority'!$C$18,$F206&lt;='07-Paper Priority'!$D$18),AND($E206&lt;='07-Paper Priority'!$D$18,$F206&lt;='07-Paper Priority'!$C$18))),'07-Paper Priority'!$A$18,"")</f>
        <v>14</v>
      </c>
      <c r="AG206">
        <f>IF(AND('07-Paper Priority'!$A$19&gt;=MATCH($J206,'07-Paper Priority'!$B$5:$B$26,0),OR(AND($E206&lt;='07-Paper Priority'!$C$19,$F206&lt;='07-Paper Priority'!$D$19),AND($E206&lt;='07-Paper Priority'!$D$19,$F206&lt;='07-Paper Priority'!$C$19))),'07-Paper Priority'!$A$19,"")</f>
        <v>15</v>
      </c>
      <c r="AH206">
        <f>IF(AND('07-Paper Priority'!$A$20&gt;=MATCH($J206,'07-Paper Priority'!$B$5:$B$26,0),OR(AND($E206&lt;='07-Paper Priority'!$C$20,$F206&lt;='07-Paper Priority'!$D$20),AND($E206&lt;='07-Paper Priority'!$D$20,$F206&lt;='07-Paper Priority'!$C$20))),'07-Paper Priority'!$A$20,"")</f>
        <v>16</v>
      </c>
      <c r="AI206">
        <f>IF(AND('07-Paper Priority'!$A$21&gt;=MATCH($J206,'07-Paper Priority'!$B$5:$B$26,0),OR(AND($E206&lt;='07-Paper Priority'!$C$21,$F206&lt;='07-Paper Priority'!$D$21),AND($E206&lt;='07-Paper Priority'!$D$21,$F206&lt;='07-Paper Priority'!$C$21))),'07-Paper Priority'!$A$21,"")</f>
        <v>17</v>
      </c>
      <c r="AJ206">
        <f>IF(AND('07-Paper Priority'!$A$22&gt;=MATCH($J206,'07-Paper Priority'!$B$5:$B$26,0),OR(AND($E206&lt;='07-Paper Priority'!$C$22,$F206&lt;='07-Paper Priority'!$D$22),AND($E206&lt;='07-Paper Priority'!$D$22,$F206&lt;='07-Paper Priority'!$C$22))),'07-Paper Priority'!$A$22,"")</f>
        <v>18</v>
      </c>
      <c r="AK206">
        <f>IF(AND('07-Paper Priority'!$A$23&gt;=MATCH($J206,'07-Paper Priority'!$B$5:$B$26,0),OR(AND($E206&lt;='07-Paper Priority'!$C$23,$F206&lt;='07-Paper Priority'!$D$23),AND($E206&lt;='07-Paper Priority'!$D$23,$F206&lt;='07-Paper Priority'!$C$23))),'07-Paper Priority'!$A$23,"")</f>
        <v>19</v>
      </c>
      <c r="AL206">
        <f>IF(AND('07-Paper Priority'!$A$24&gt;=MATCH($J206,'07-Paper Priority'!$B$5:$B$26,0),OR(AND($E206&lt;='07-Paper Priority'!$C$24,$F206&lt;='07-Paper Priority'!$D$24),AND($E206&lt;='07-Paper Priority'!$D$24,$F206&lt;='07-Paper Priority'!$C$24))),'07-Paper Priority'!$A$24,"")</f>
        <v>20</v>
      </c>
      <c r="AM206">
        <f>IF(AND('07-Paper Priority'!$A$25&gt;=MATCH($J206,'07-Paper Priority'!$B$5:$B$26,0),OR(AND($E206&lt;='07-Paper Priority'!$C$25,$F206&lt;='07-Paper Priority'!$D$25),AND($E206&lt;='07-Paper Priority'!$D$25,$F206&lt;='07-Paper Priority'!$C$25))),'07-Paper Priority'!$A$25,"")</f>
        <v>21</v>
      </c>
      <c r="AN206">
        <f>IF(AND('07-Paper Priority'!$A$26&gt;=MATCH($J206,'07-Paper Priority'!$B$5:$B$26,0),OR(AND($E206&lt;='07-Paper Priority'!$C$26,$F206&lt;='07-Paper Priority'!$D$26),AND($E206&lt;='07-Paper Priority'!$D$26,$F206&lt;='07-Paper Priority'!$C$26))),'07-Paper Priority'!$A$26,"")</f>
        <v>22</v>
      </c>
    </row>
    <row r="207" spans="1:40" ht="33.950000000000003" customHeight="1">
      <c r="A207" s="30" t="s">
        <v>2764</v>
      </c>
      <c r="B207" s="30" t="s">
        <v>2732</v>
      </c>
      <c r="C207" s="30" t="s">
        <v>2641</v>
      </c>
      <c r="D207" s="30" t="s">
        <v>2655</v>
      </c>
      <c r="E207" s="23">
        <v>250</v>
      </c>
      <c r="F207" s="23">
        <v>300</v>
      </c>
      <c r="G207" s="30" t="s">
        <v>2656</v>
      </c>
      <c r="H207" s="30" t="s">
        <v>2765</v>
      </c>
      <c r="I207" s="24" t="s">
        <v>64</v>
      </c>
      <c r="J207" s="25" t="s">
        <v>1980</v>
      </c>
      <c r="K207" s="26" t="str">
        <f>IF(COUNT(S207:AN207)=0,"NO FIT",INDEX('07-Paper Priority'!$B$5:$B$26,MIN(S207:AN207)))</f>
        <v>B4</v>
      </c>
      <c r="L207" s="26" t="str">
        <f>IF($K207="NO FIT","",IF(AND($E207&lt;=INDEX('07-Paper Priority'!$C$5:$C$26,MATCH($K207,'07-Paper Priority'!$B$5:$B$26,0)),$F207&lt;=INDEX('07-Paper Priority'!$D$5:$D$26,MATCH($K207,'07-Paper Priority'!$B$5:$B$26,0))),"PORTRAIT","ROTATED"))</f>
        <v>PORTRAIT</v>
      </c>
      <c r="M207" s="27">
        <f>IF($K207="NO FIT","",IF($L207="PORTRAIT",INDEX('07-Paper Priority'!$C$5:$C$26,MATCH($K207,'07-Paper Priority'!$B$5:$B$26,0)),INDEX('07-Paper Priority'!$D$5:$D$26,MATCH($K207,'07-Paper Priority'!$B$5:$B$26,0))))</f>
        <v>250</v>
      </c>
      <c r="N207" s="27">
        <f>IF($K207="NO FIT","",IF($L207="PORTRAIT",INDEX('07-Paper Priority'!$D$5:$D$26,MATCH($K207,'07-Paper Priority'!$B$5:$B$26,0)),INDEX('07-Paper Priority'!$C$5:$C$26,MATCH($K207,'07-Paper Priority'!$B$5:$B$26,0))))</f>
        <v>353</v>
      </c>
      <c r="O207" s="27">
        <f>IF($K207="NO FIT","",$M207-$E207)</f>
        <v>0</v>
      </c>
      <c r="P207" s="27">
        <f>IF($K207="NO FIT","",$N207-$F207)</f>
        <v>53</v>
      </c>
      <c r="Q207" s="28" t="str">
        <f>IF($K207="NO FIT","REVIEW - NO PAPER FIT",IF(OR($O207&lt;0,$P207&lt;0),"ERROR - FIT",IF(COUNTIF('02-Printing Size'!$A$2:$A$2169,$K207)=0,"ERROR - CODE MISSING","VALID - LOWEST PAPER")))</f>
        <v>VALID - LOWEST PAPER</v>
      </c>
      <c r="R207" s="30" t="s">
        <v>2766</v>
      </c>
      <c r="S207" t="str">
        <f>IF(AND('07-Paper Priority'!$A$5&gt;=MATCH($J207,'07-Paper Priority'!$B$5:$B$26,0),OR(AND($E207&lt;='07-Paper Priority'!$C$5,$F207&lt;='07-Paper Priority'!$D$5),AND($E207&lt;='07-Paper Priority'!$D$5,$F207&lt;='07-Paper Priority'!$C$5))),'07-Paper Priority'!$A$5,"")</f>
        <v/>
      </c>
      <c r="T207" t="str">
        <f>IF(AND('07-Paper Priority'!$A$6&gt;=MATCH($J207,'07-Paper Priority'!$B$5:$B$26,0),OR(AND($E207&lt;='07-Paper Priority'!$C$6,$F207&lt;='07-Paper Priority'!$D$6),AND($E207&lt;='07-Paper Priority'!$D$6,$F207&lt;='07-Paper Priority'!$C$6))),'07-Paper Priority'!$A$6,"")</f>
        <v/>
      </c>
      <c r="U207" t="str">
        <f>IF(AND('07-Paper Priority'!$A$7&gt;=MATCH($J207,'07-Paper Priority'!$B$5:$B$26,0),OR(AND($E207&lt;='07-Paper Priority'!$C$7,$F207&lt;='07-Paper Priority'!$D$7),AND($E207&lt;='07-Paper Priority'!$D$7,$F207&lt;='07-Paper Priority'!$C$7))),'07-Paper Priority'!$A$7,"")</f>
        <v/>
      </c>
      <c r="V207" t="str">
        <f>IF(AND('07-Paper Priority'!$A$8&gt;=MATCH($J207,'07-Paper Priority'!$B$5:$B$26,0),OR(AND($E207&lt;='07-Paper Priority'!$C$8,$F207&lt;='07-Paper Priority'!$D$8),AND($E207&lt;='07-Paper Priority'!$D$8,$F207&lt;='07-Paper Priority'!$C$8))),'07-Paper Priority'!$A$8,"")</f>
        <v/>
      </c>
      <c r="W207" t="str">
        <f>IF(AND('07-Paper Priority'!$A$9&gt;=MATCH($J207,'07-Paper Priority'!$B$5:$B$26,0),OR(AND($E207&lt;='07-Paper Priority'!$C$9,$F207&lt;='07-Paper Priority'!$D$9),AND($E207&lt;='07-Paper Priority'!$D$9,$F207&lt;='07-Paper Priority'!$C$9))),'07-Paper Priority'!$A$9,"")</f>
        <v/>
      </c>
      <c r="X207" t="str">
        <f>IF(AND('07-Paper Priority'!$A$10&gt;=MATCH($J207,'07-Paper Priority'!$B$5:$B$26,0),OR(AND($E207&lt;='07-Paper Priority'!$C$10,$F207&lt;='07-Paper Priority'!$D$10),AND($E207&lt;='07-Paper Priority'!$D$10,$F207&lt;='07-Paper Priority'!$C$10))),'07-Paper Priority'!$A$10,"")</f>
        <v/>
      </c>
      <c r="Y207" t="str">
        <f>IF(AND('07-Paper Priority'!$A$11&gt;=MATCH($J207,'07-Paper Priority'!$B$5:$B$26,0),OR(AND($E207&lt;='07-Paper Priority'!$C$11,$F207&lt;='07-Paper Priority'!$D$11),AND($E207&lt;='07-Paper Priority'!$D$11,$F207&lt;='07-Paper Priority'!$C$11))),'07-Paper Priority'!$A$11,"")</f>
        <v/>
      </c>
      <c r="Z207" t="str">
        <f>IF(AND('07-Paper Priority'!$A$12&gt;=MATCH($J207,'07-Paper Priority'!$B$5:$B$26,0),OR(AND($E207&lt;='07-Paper Priority'!$C$12,$F207&lt;='07-Paper Priority'!$D$12),AND($E207&lt;='07-Paper Priority'!$D$12,$F207&lt;='07-Paper Priority'!$C$12))),'07-Paper Priority'!$A$12,"")</f>
        <v/>
      </c>
      <c r="AA207" t="str">
        <f>IF(AND('07-Paper Priority'!$A$13&gt;=MATCH($J207,'07-Paper Priority'!$B$5:$B$26,0),OR(AND($E207&lt;='07-Paper Priority'!$C$13,$F207&lt;='07-Paper Priority'!$D$13),AND($E207&lt;='07-Paper Priority'!$D$13,$F207&lt;='07-Paper Priority'!$C$13))),'07-Paper Priority'!$A$13,"")</f>
        <v/>
      </c>
      <c r="AB207" t="str">
        <f>IF(AND('07-Paper Priority'!$A$14&gt;=MATCH($J207,'07-Paper Priority'!$B$5:$B$26,0),OR(AND($E207&lt;='07-Paper Priority'!$C$14,$F207&lt;='07-Paper Priority'!$D$14),AND($E207&lt;='07-Paper Priority'!$D$14,$F207&lt;='07-Paper Priority'!$C$14))),'07-Paper Priority'!$A$14,"")</f>
        <v/>
      </c>
      <c r="AC207" t="str">
        <f>IF(AND('07-Paper Priority'!$A$15&gt;=MATCH($J207,'07-Paper Priority'!$B$5:$B$26,0),OR(AND($E207&lt;='07-Paper Priority'!$C$15,$F207&lt;='07-Paper Priority'!$D$15),AND($E207&lt;='07-Paper Priority'!$D$15,$F207&lt;='07-Paper Priority'!$C$15))),'07-Paper Priority'!$A$15,"")</f>
        <v/>
      </c>
      <c r="AD207" t="str">
        <f>IF(AND('07-Paper Priority'!$A$16&gt;=MATCH($J207,'07-Paper Priority'!$B$5:$B$26,0),OR(AND($E207&lt;='07-Paper Priority'!$C$16,$F207&lt;='07-Paper Priority'!$D$16),AND($E207&lt;='07-Paper Priority'!$D$16,$F207&lt;='07-Paper Priority'!$C$16))),'07-Paper Priority'!$A$16,"")</f>
        <v/>
      </c>
      <c r="AE207" t="str">
        <f>IF(AND('07-Paper Priority'!$A$17&gt;=MATCH($J207,'07-Paper Priority'!$B$5:$B$26,0),OR(AND($E207&lt;='07-Paper Priority'!$C$17,$F207&lt;='07-Paper Priority'!$D$17),AND($E207&lt;='07-Paper Priority'!$D$17,$F207&lt;='07-Paper Priority'!$C$17))),'07-Paper Priority'!$A$17,"")</f>
        <v/>
      </c>
      <c r="AF207">
        <f>IF(AND('07-Paper Priority'!$A$18&gt;=MATCH($J207,'07-Paper Priority'!$B$5:$B$26,0),OR(AND($E207&lt;='07-Paper Priority'!$C$18,$F207&lt;='07-Paper Priority'!$D$18),AND($E207&lt;='07-Paper Priority'!$D$18,$F207&lt;='07-Paper Priority'!$C$18))),'07-Paper Priority'!$A$18,"")</f>
        <v>14</v>
      </c>
      <c r="AG207">
        <f>IF(AND('07-Paper Priority'!$A$19&gt;=MATCH($J207,'07-Paper Priority'!$B$5:$B$26,0),OR(AND($E207&lt;='07-Paper Priority'!$C$19,$F207&lt;='07-Paper Priority'!$D$19),AND($E207&lt;='07-Paper Priority'!$D$19,$F207&lt;='07-Paper Priority'!$C$19))),'07-Paper Priority'!$A$19,"")</f>
        <v>15</v>
      </c>
      <c r="AH207">
        <f>IF(AND('07-Paper Priority'!$A$20&gt;=MATCH($J207,'07-Paper Priority'!$B$5:$B$26,0),OR(AND($E207&lt;='07-Paper Priority'!$C$20,$F207&lt;='07-Paper Priority'!$D$20),AND($E207&lt;='07-Paper Priority'!$D$20,$F207&lt;='07-Paper Priority'!$C$20))),'07-Paper Priority'!$A$20,"")</f>
        <v>16</v>
      </c>
      <c r="AI207">
        <f>IF(AND('07-Paper Priority'!$A$21&gt;=MATCH($J207,'07-Paper Priority'!$B$5:$B$26,0),OR(AND($E207&lt;='07-Paper Priority'!$C$21,$F207&lt;='07-Paper Priority'!$D$21),AND($E207&lt;='07-Paper Priority'!$D$21,$F207&lt;='07-Paper Priority'!$C$21))),'07-Paper Priority'!$A$21,"")</f>
        <v>17</v>
      </c>
      <c r="AJ207">
        <f>IF(AND('07-Paper Priority'!$A$22&gt;=MATCH($J207,'07-Paper Priority'!$B$5:$B$26,0),OR(AND($E207&lt;='07-Paper Priority'!$C$22,$F207&lt;='07-Paper Priority'!$D$22),AND($E207&lt;='07-Paper Priority'!$D$22,$F207&lt;='07-Paper Priority'!$C$22))),'07-Paper Priority'!$A$22,"")</f>
        <v>18</v>
      </c>
      <c r="AK207">
        <f>IF(AND('07-Paper Priority'!$A$23&gt;=MATCH($J207,'07-Paper Priority'!$B$5:$B$26,0),OR(AND($E207&lt;='07-Paper Priority'!$C$23,$F207&lt;='07-Paper Priority'!$D$23),AND($E207&lt;='07-Paper Priority'!$D$23,$F207&lt;='07-Paper Priority'!$C$23))),'07-Paper Priority'!$A$23,"")</f>
        <v>19</v>
      </c>
      <c r="AL207">
        <f>IF(AND('07-Paper Priority'!$A$24&gt;=MATCH($J207,'07-Paper Priority'!$B$5:$B$26,0),OR(AND($E207&lt;='07-Paper Priority'!$C$24,$F207&lt;='07-Paper Priority'!$D$24),AND($E207&lt;='07-Paper Priority'!$D$24,$F207&lt;='07-Paper Priority'!$C$24))),'07-Paper Priority'!$A$24,"")</f>
        <v>20</v>
      </c>
      <c r="AM207">
        <f>IF(AND('07-Paper Priority'!$A$25&gt;=MATCH($J207,'07-Paper Priority'!$B$5:$B$26,0),OR(AND($E207&lt;='07-Paper Priority'!$C$25,$F207&lt;='07-Paper Priority'!$D$25),AND($E207&lt;='07-Paper Priority'!$D$25,$F207&lt;='07-Paper Priority'!$C$25))),'07-Paper Priority'!$A$25,"")</f>
        <v>21</v>
      </c>
      <c r="AN207">
        <f>IF(AND('07-Paper Priority'!$A$26&gt;=MATCH($J207,'07-Paper Priority'!$B$5:$B$26,0),OR(AND($E207&lt;='07-Paper Priority'!$C$26,$F207&lt;='07-Paper Priority'!$D$26),AND($E207&lt;='07-Paper Priority'!$D$26,$F207&lt;='07-Paper Priority'!$C$26))),'07-Paper Priority'!$A$26,"")</f>
        <v>22</v>
      </c>
    </row>
    <row r="208" spans="1:40" ht="33.950000000000003" customHeight="1">
      <c r="A208" s="30" t="s">
        <v>2767</v>
      </c>
      <c r="B208" s="30" t="s">
        <v>2732</v>
      </c>
      <c r="C208" s="30" t="s">
        <v>2671</v>
      </c>
      <c r="D208" s="30" t="s">
        <v>2672</v>
      </c>
      <c r="E208" s="23">
        <v>180</v>
      </c>
      <c r="F208" s="23">
        <v>200</v>
      </c>
      <c r="G208" s="30" t="s">
        <v>2642</v>
      </c>
      <c r="H208" s="30" t="s">
        <v>2768</v>
      </c>
      <c r="I208" s="24" t="s">
        <v>64</v>
      </c>
      <c r="J208" s="25" t="s">
        <v>504</v>
      </c>
      <c r="K208" s="26" t="str">
        <f>IF(COUNT(S208:AN208)=0,"NO FIT",INDEX('07-Paper Priority'!$B$5:$B$26,MIN(S208:AN208)))</f>
        <v>A4</v>
      </c>
      <c r="L208" s="26" t="str">
        <f>IF($K208="NO FIT","",IF(AND($E208&lt;=INDEX('07-Paper Priority'!$C$5:$C$26,MATCH($K208,'07-Paper Priority'!$B$5:$B$26,0)),$F208&lt;=INDEX('07-Paper Priority'!$D$5:$D$26,MATCH($K208,'07-Paper Priority'!$B$5:$B$26,0))),"PORTRAIT","ROTATED"))</f>
        <v>PORTRAIT</v>
      </c>
      <c r="M208" s="27">
        <f>IF($K208="NO FIT","",IF($L208="PORTRAIT",INDEX('07-Paper Priority'!$C$5:$C$26,MATCH($K208,'07-Paper Priority'!$B$5:$B$26,0)),INDEX('07-Paper Priority'!$D$5:$D$26,MATCH($K208,'07-Paper Priority'!$B$5:$B$26,0))))</f>
        <v>210</v>
      </c>
      <c r="N208" s="27">
        <f>IF($K208="NO FIT","",IF($L208="PORTRAIT",INDEX('07-Paper Priority'!$D$5:$D$26,MATCH($K208,'07-Paper Priority'!$B$5:$B$26,0)),INDEX('07-Paper Priority'!$C$5:$C$26,MATCH($K208,'07-Paper Priority'!$B$5:$B$26,0))))</f>
        <v>297</v>
      </c>
      <c r="O208" s="27">
        <f>IF($K208="NO FIT","",$M208-$E208)</f>
        <v>30</v>
      </c>
      <c r="P208" s="27">
        <f>IF($K208="NO FIT","",$N208-$F208)</f>
        <v>97</v>
      </c>
      <c r="Q208" s="28" t="str">
        <f>IF($K208="NO FIT","REVIEW - NO PAPER FIT",IF(OR($O208&lt;0,$P208&lt;0),"ERROR - FIT",IF(COUNTIF('02-Printing Size'!$A$2:$A$2169,$K208)=0,"ERROR - CODE MISSING","VALID - LOWEST PAPER")))</f>
        <v>VALID - LOWEST PAPER</v>
      </c>
      <c r="R208" s="30" t="s">
        <v>2769</v>
      </c>
      <c r="S208" t="str">
        <f>IF(AND('07-Paper Priority'!$A$5&gt;=MATCH($J208,'07-Paper Priority'!$B$5:$B$26,0),OR(AND($E208&lt;='07-Paper Priority'!$C$5,$F208&lt;='07-Paper Priority'!$D$5),AND($E208&lt;='07-Paper Priority'!$D$5,$F208&lt;='07-Paper Priority'!$C$5))),'07-Paper Priority'!$A$5,"")</f>
        <v/>
      </c>
      <c r="T208" t="str">
        <f>IF(AND('07-Paper Priority'!$A$6&gt;=MATCH($J208,'07-Paper Priority'!$B$5:$B$26,0),OR(AND($E208&lt;='07-Paper Priority'!$C$6,$F208&lt;='07-Paper Priority'!$D$6),AND($E208&lt;='07-Paper Priority'!$D$6,$F208&lt;='07-Paper Priority'!$C$6))),'07-Paper Priority'!$A$6,"")</f>
        <v/>
      </c>
      <c r="U208" t="str">
        <f>IF(AND('07-Paper Priority'!$A$7&gt;=MATCH($J208,'07-Paper Priority'!$B$5:$B$26,0),OR(AND($E208&lt;='07-Paper Priority'!$C$7,$F208&lt;='07-Paper Priority'!$D$7),AND($E208&lt;='07-Paper Priority'!$D$7,$F208&lt;='07-Paper Priority'!$C$7))),'07-Paper Priority'!$A$7,"")</f>
        <v/>
      </c>
      <c r="V208" t="str">
        <f>IF(AND('07-Paper Priority'!$A$8&gt;=MATCH($J208,'07-Paper Priority'!$B$5:$B$26,0),OR(AND($E208&lt;='07-Paper Priority'!$C$8,$F208&lt;='07-Paper Priority'!$D$8),AND($E208&lt;='07-Paper Priority'!$D$8,$F208&lt;='07-Paper Priority'!$C$8))),'07-Paper Priority'!$A$8,"")</f>
        <v/>
      </c>
      <c r="W208" t="str">
        <f>IF(AND('07-Paper Priority'!$A$9&gt;=MATCH($J208,'07-Paper Priority'!$B$5:$B$26,0),OR(AND($E208&lt;='07-Paper Priority'!$C$9,$F208&lt;='07-Paper Priority'!$D$9),AND($E208&lt;='07-Paper Priority'!$D$9,$F208&lt;='07-Paper Priority'!$C$9))),'07-Paper Priority'!$A$9,"")</f>
        <v/>
      </c>
      <c r="X208" t="str">
        <f>IF(AND('07-Paper Priority'!$A$10&gt;=MATCH($J208,'07-Paper Priority'!$B$5:$B$26,0),OR(AND($E208&lt;='07-Paper Priority'!$C$10,$F208&lt;='07-Paper Priority'!$D$10),AND($E208&lt;='07-Paper Priority'!$D$10,$F208&lt;='07-Paper Priority'!$C$10))),'07-Paper Priority'!$A$10,"")</f>
        <v/>
      </c>
      <c r="Y208" t="str">
        <f>IF(AND('07-Paper Priority'!$A$11&gt;=MATCH($J208,'07-Paper Priority'!$B$5:$B$26,0),OR(AND($E208&lt;='07-Paper Priority'!$C$11,$F208&lt;='07-Paper Priority'!$D$11),AND($E208&lt;='07-Paper Priority'!$D$11,$F208&lt;='07-Paper Priority'!$C$11))),'07-Paper Priority'!$A$11,"")</f>
        <v/>
      </c>
      <c r="Z208" t="str">
        <f>IF(AND('07-Paper Priority'!$A$12&gt;=MATCH($J208,'07-Paper Priority'!$B$5:$B$26,0),OR(AND($E208&lt;='07-Paper Priority'!$C$12,$F208&lt;='07-Paper Priority'!$D$12),AND($E208&lt;='07-Paper Priority'!$D$12,$F208&lt;='07-Paper Priority'!$C$12))),'07-Paper Priority'!$A$12,"")</f>
        <v/>
      </c>
      <c r="AA208" t="str">
        <f>IF(AND('07-Paper Priority'!$A$13&gt;=MATCH($J208,'07-Paper Priority'!$B$5:$B$26,0),OR(AND($E208&lt;='07-Paper Priority'!$C$13,$F208&lt;='07-Paper Priority'!$D$13),AND($E208&lt;='07-Paper Priority'!$D$13,$F208&lt;='07-Paper Priority'!$C$13))),'07-Paper Priority'!$A$13,"")</f>
        <v/>
      </c>
      <c r="AB208" t="str">
        <f>IF(AND('07-Paper Priority'!$A$14&gt;=MATCH($J208,'07-Paper Priority'!$B$5:$B$26,0),OR(AND($E208&lt;='07-Paper Priority'!$C$14,$F208&lt;='07-Paper Priority'!$D$14),AND($E208&lt;='07-Paper Priority'!$D$14,$F208&lt;='07-Paper Priority'!$C$14))),'07-Paper Priority'!$A$14,"")</f>
        <v/>
      </c>
      <c r="AC208" t="str">
        <f>IF(AND('07-Paper Priority'!$A$15&gt;=MATCH($J208,'07-Paper Priority'!$B$5:$B$26,0),OR(AND($E208&lt;='07-Paper Priority'!$C$15,$F208&lt;='07-Paper Priority'!$D$15),AND($E208&lt;='07-Paper Priority'!$D$15,$F208&lt;='07-Paper Priority'!$C$15))),'07-Paper Priority'!$A$15,"")</f>
        <v/>
      </c>
      <c r="AD208" t="str">
        <f>IF(AND('07-Paper Priority'!$A$16&gt;=MATCH($J208,'07-Paper Priority'!$B$5:$B$26,0),OR(AND($E208&lt;='07-Paper Priority'!$C$16,$F208&lt;='07-Paper Priority'!$D$16),AND($E208&lt;='07-Paper Priority'!$D$16,$F208&lt;='07-Paper Priority'!$C$16))),'07-Paper Priority'!$A$16,"")</f>
        <v/>
      </c>
      <c r="AE208">
        <f>IF(AND('07-Paper Priority'!$A$17&gt;=MATCH($J208,'07-Paper Priority'!$B$5:$B$26,0),OR(AND($E208&lt;='07-Paper Priority'!$C$17,$F208&lt;='07-Paper Priority'!$D$17),AND($E208&lt;='07-Paper Priority'!$D$17,$F208&lt;='07-Paper Priority'!$C$17))),'07-Paper Priority'!$A$17,"")</f>
        <v>13</v>
      </c>
      <c r="AF208">
        <f>IF(AND('07-Paper Priority'!$A$18&gt;=MATCH($J208,'07-Paper Priority'!$B$5:$B$26,0),OR(AND($E208&lt;='07-Paper Priority'!$C$18,$F208&lt;='07-Paper Priority'!$D$18),AND($E208&lt;='07-Paper Priority'!$D$18,$F208&lt;='07-Paper Priority'!$C$18))),'07-Paper Priority'!$A$18,"")</f>
        <v>14</v>
      </c>
      <c r="AG208">
        <f>IF(AND('07-Paper Priority'!$A$19&gt;=MATCH($J208,'07-Paper Priority'!$B$5:$B$26,0),OR(AND($E208&lt;='07-Paper Priority'!$C$19,$F208&lt;='07-Paper Priority'!$D$19),AND($E208&lt;='07-Paper Priority'!$D$19,$F208&lt;='07-Paper Priority'!$C$19))),'07-Paper Priority'!$A$19,"")</f>
        <v>15</v>
      </c>
      <c r="AH208">
        <f>IF(AND('07-Paper Priority'!$A$20&gt;=MATCH($J208,'07-Paper Priority'!$B$5:$B$26,0),OR(AND($E208&lt;='07-Paper Priority'!$C$20,$F208&lt;='07-Paper Priority'!$D$20),AND($E208&lt;='07-Paper Priority'!$D$20,$F208&lt;='07-Paper Priority'!$C$20))),'07-Paper Priority'!$A$20,"")</f>
        <v>16</v>
      </c>
      <c r="AI208">
        <f>IF(AND('07-Paper Priority'!$A$21&gt;=MATCH($J208,'07-Paper Priority'!$B$5:$B$26,0),OR(AND($E208&lt;='07-Paper Priority'!$C$21,$F208&lt;='07-Paper Priority'!$D$21),AND($E208&lt;='07-Paper Priority'!$D$21,$F208&lt;='07-Paper Priority'!$C$21))),'07-Paper Priority'!$A$21,"")</f>
        <v>17</v>
      </c>
      <c r="AJ208">
        <f>IF(AND('07-Paper Priority'!$A$22&gt;=MATCH($J208,'07-Paper Priority'!$B$5:$B$26,0),OR(AND($E208&lt;='07-Paper Priority'!$C$22,$F208&lt;='07-Paper Priority'!$D$22),AND($E208&lt;='07-Paper Priority'!$D$22,$F208&lt;='07-Paper Priority'!$C$22))),'07-Paper Priority'!$A$22,"")</f>
        <v>18</v>
      </c>
      <c r="AK208">
        <f>IF(AND('07-Paper Priority'!$A$23&gt;=MATCH($J208,'07-Paper Priority'!$B$5:$B$26,0),OR(AND($E208&lt;='07-Paper Priority'!$C$23,$F208&lt;='07-Paper Priority'!$D$23),AND($E208&lt;='07-Paper Priority'!$D$23,$F208&lt;='07-Paper Priority'!$C$23))),'07-Paper Priority'!$A$23,"")</f>
        <v>19</v>
      </c>
      <c r="AL208">
        <f>IF(AND('07-Paper Priority'!$A$24&gt;=MATCH($J208,'07-Paper Priority'!$B$5:$B$26,0),OR(AND($E208&lt;='07-Paper Priority'!$C$24,$F208&lt;='07-Paper Priority'!$D$24),AND($E208&lt;='07-Paper Priority'!$D$24,$F208&lt;='07-Paper Priority'!$C$24))),'07-Paper Priority'!$A$24,"")</f>
        <v>20</v>
      </c>
      <c r="AM208">
        <f>IF(AND('07-Paper Priority'!$A$25&gt;=MATCH($J208,'07-Paper Priority'!$B$5:$B$26,0),OR(AND($E208&lt;='07-Paper Priority'!$C$25,$F208&lt;='07-Paper Priority'!$D$25),AND($E208&lt;='07-Paper Priority'!$D$25,$F208&lt;='07-Paper Priority'!$C$25))),'07-Paper Priority'!$A$25,"")</f>
        <v>21</v>
      </c>
      <c r="AN208">
        <f>IF(AND('07-Paper Priority'!$A$26&gt;=MATCH($J208,'07-Paper Priority'!$B$5:$B$26,0),OR(AND($E208&lt;='07-Paper Priority'!$C$26,$F208&lt;='07-Paper Priority'!$D$26),AND($E208&lt;='07-Paper Priority'!$D$26,$F208&lt;='07-Paper Priority'!$C$26))),'07-Paper Priority'!$A$26,"")</f>
        <v>22</v>
      </c>
    </row>
    <row r="209" spans="1:40" ht="33.950000000000003" customHeight="1">
      <c r="A209" s="30" t="s">
        <v>2770</v>
      </c>
      <c r="B209" s="30" t="s">
        <v>2732</v>
      </c>
      <c r="C209" s="30" t="s">
        <v>2671</v>
      </c>
      <c r="D209" s="30" t="s">
        <v>2672</v>
      </c>
      <c r="E209" s="23">
        <v>180</v>
      </c>
      <c r="F209" s="23">
        <v>230</v>
      </c>
      <c r="G209" s="30" t="s">
        <v>2656</v>
      </c>
      <c r="H209" s="30" t="s">
        <v>2771</v>
      </c>
      <c r="I209" s="24" t="s">
        <v>64</v>
      </c>
      <c r="J209" s="25" t="s">
        <v>504</v>
      </c>
      <c r="K209" s="26" t="str">
        <f>IF(COUNT(S209:AN209)=0,"NO FIT",INDEX('07-Paper Priority'!$B$5:$B$26,MIN(S209:AN209)))</f>
        <v>A4</v>
      </c>
      <c r="L209" s="26" t="str">
        <f>IF($K209="NO FIT","",IF(AND($E209&lt;=INDEX('07-Paper Priority'!$C$5:$C$26,MATCH($K209,'07-Paper Priority'!$B$5:$B$26,0)),$F209&lt;=INDEX('07-Paper Priority'!$D$5:$D$26,MATCH($K209,'07-Paper Priority'!$B$5:$B$26,0))),"PORTRAIT","ROTATED"))</f>
        <v>PORTRAIT</v>
      </c>
      <c r="M209" s="27">
        <f>IF($K209="NO FIT","",IF($L209="PORTRAIT",INDEX('07-Paper Priority'!$C$5:$C$26,MATCH($K209,'07-Paper Priority'!$B$5:$B$26,0)),INDEX('07-Paper Priority'!$D$5:$D$26,MATCH($K209,'07-Paper Priority'!$B$5:$B$26,0))))</f>
        <v>210</v>
      </c>
      <c r="N209" s="27">
        <f>IF($K209="NO FIT","",IF($L209="PORTRAIT",INDEX('07-Paper Priority'!$D$5:$D$26,MATCH($K209,'07-Paper Priority'!$B$5:$B$26,0)),INDEX('07-Paper Priority'!$C$5:$C$26,MATCH($K209,'07-Paper Priority'!$B$5:$B$26,0))))</f>
        <v>297</v>
      </c>
      <c r="O209" s="27">
        <f>IF($K209="NO FIT","",$M209-$E209)</f>
        <v>30</v>
      </c>
      <c r="P209" s="27">
        <f>IF($K209="NO FIT","",$N209-$F209)</f>
        <v>67</v>
      </c>
      <c r="Q209" s="28" t="str">
        <f>IF($K209="NO FIT","REVIEW - NO PAPER FIT",IF(OR($O209&lt;0,$P209&lt;0),"ERROR - FIT",IF(COUNTIF('02-Printing Size'!$A$2:$A$2169,$K209)=0,"ERROR - CODE MISSING","VALID - LOWEST PAPER")))</f>
        <v>VALID - LOWEST PAPER</v>
      </c>
      <c r="R209" s="30" t="s">
        <v>2772</v>
      </c>
      <c r="S209" t="str">
        <f>IF(AND('07-Paper Priority'!$A$5&gt;=MATCH($J209,'07-Paper Priority'!$B$5:$B$26,0),OR(AND($E209&lt;='07-Paper Priority'!$C$5,$F209&lt;='07-Paper Priority'!$D$5),AND($E209&lt;='07-Paper Priority'!$D$5,$F209&lt;='07-Paper Priority'!$C$5))),'07-Paper Priority'!$A$5,"")</f>
        <v/>
      </c>
      <c r="T209" t="str">
        <f>IF(AND('07-Paper Priority'!$A$6&gt;=MATCH($J209,'07-Paper Priority'!$B$5:$B$26,0),OR(AND($E209&lt;='07-Paper Priority'!$C$6,$F209&lt;='07-Paper Priority'!$D$6),AND($E209&lt;='07-Paper Priority'!$D$6,$F209&lt;='07-Paper Priority'!$C$6))),'07-Paper Priority'!$A$6,"")</f>
        <v/>
      </c>
      <c r="U209" t="str">
        <f>IF(AND('07-Paper Priority'!$A$7&gt;=MATCH($J209,'07-Paper Priority'!$B$5:$B$26,0),OR(AND($E209&lt;='07-Paper Priority'!$C$7,$F209&lt;='07-Paper Priority'!$D$7),AND($E209&lt;='07-Paper Priority'!$D$7,$F209&lt;='07-Paper Priority'!$C$7))),'07-Paper Priority'!$A$7,"")</f>
        <v/>
      </c>
      <c r="V209" t="str">
        <f>IF(AND('07-Paper Priority'!$A$8&gt;=MATCH($J209,'07-Paper Priority'!$B$5:$B$26,0),OR(AND($E209&lt;='07-Paper Priority'!$C$8,$F209&lt;='07-Paper Priority'!$D$8),AND($E209&lt;='07-Paper Priority'!$D$8,$F209&lt;='07-Paper Priority'!$C$8))),'07-Paper Priority'!$A$8,"")</f>
        <v/>
      </c>
      <c r="W209" t="str">
        <f>IF(AND('07-Paper Priority'!$A$9&gt;=MATCH($J209,'07-Paper Priority'!$B$5:$B$26,0),OR(AND($E209&lt;='07-Paper Priority'!$C$9,$F209&lt;='07-Paper Priority'!$D$9),AND($E209&lt;='07-Paper Priority'!$D$9,$F209&lt;='07-Paper Priority'!$C$9))),'07-Paper Priority'!$A$9,"")</f>
        <v/>
      </c>
      <c r="X209" t="str">
        <f>IF(AND('07-Paper Priority'!$A$10&gt;=MATCH($J209,'07-Paper Priority'!$B$5:$B$26,0),OR(AND($E209&lt;='07-Paper Priority'!$C$10,$F209&lt;='07-Paper Priority'!$D$10),AND($E209&lt;='07-Paper Priority'!$D$10,$F209&lt;='07-Paper Priority'!$C$10))),'07-Paper Priority'!$A$10,"")</f>
        <v/>
      </c>
      <c r="Y209" t="str">
        <f>IF(AND('07-Paper Priority'!$A$11&gt;=MATCH($J209,'07-Paper Priority'!$B$5:$B$26,0),OR(AND($E209&lt;='07-Paper Priority'!$C$11,$F209&lt;='07-Paper Priority'!$D$11),AND($E209&lt;='07-Paper Priority'!$D$11,$F209&lt;='07-Paper Priority'!$C$11))),'07-Paper Priority'!$A$11,"")</f>
        <v/>
      </c>
      <c r="Z209" t="str">
        <f>IF(AND('07-Paper Priority'!$A$12&gt;=MATCH($J209,'07-Paper Priority'!$B$5:$B$26,0),OR(AND($E209&lt;='07-Paper Priority'!$C$12,$F209&lt;='07-Paper Priority'!$D$12),AND($E209&lt;='07-Paper Priority'!$D$12,$F209&lt;='07-Paper Priority'!$C$12))),'07-Paper Priority'!$A$12,"")</f>
        <v/>
      </c>
      <c r="AA209" t="str">
        <f>IF(AND('07-Paper Priority'!$A$13&gt;=MATCH($J209,'07-Paper Priority'!$B$5:$B$26,0),OR(AND($E209&lt;='07-Paper Priority'!$C$13,$F209&lt;='07-Paper Priority'!$D$13),AND($E209&lt;='07-Paper Priority'!$D$13,$F209&lt;='07-Paper Priority'!$C$13))),'07-Paper Priority'!$A$13,"")</f>
        <v/>
      </c>
      <c r="AB209" t="str">
        <f>IF(AND('07-Paper Priority'!$A$14&gt;=MATCH($J209,'07-Paper Priority'!$B$5:$B$26,0),OR(AND($E209&lt;='07-Paper Priority'!$C$14,$F209&lt;='07-Paper Priority'!$D$14),AND($E209&lt;='07-Paper Priority'!$D$14,$F209&lt;='07-Paper Priority'!$C$14))),'07-Paper Priority'!$A$14,"")</f>
        <v/>
      </c>
      <c r="AC209" t="str">
        <f>IF(AND('07-Paper Priority'!$A$15&gt;=MATCH($J209,'07-Paper Priority'!$B$5:$B$26,0),OR(AND($E209&lt;='07-Paper Priority'!$C$15,$F209&lt;='07-Paper Priority'!$D$15),AND($E209&lt;='07-Paper Priority'!$D$15,$F209&lt;='07-Paper Priority'!$C$15))),'07-Paper Priority'!$A$15,"")</f>
        <v/>
      </c>
      <c r="AD209" t="str">
        <f>IF(AND('07-Paper Priority'!$A$16&gt;=MATCH($J209,'07-Paper Priority'!$B$5:$B$26,0),OR(AND($E209&lt;='07-Paper Priority'!$C$16,$F209&lt;='07-Paper Priority'!$D$16),AND($E209&lt;='07-Paper Priority'!$D$16,$F209&lt;='07-Paper Priority'!$C$16))),'07-Paper Priority'!$A$16,"")</f>
        <v/>
      </c>
      <c r="AE209">
        <f>IF(AND('07-Paper Priority'!$A$17&gt;=MATCH($J209,'07-Paper Priority'!$B$5:$B$26,0),OR(AND($E209&lt;='07-Paper Priority'!$C$17,$F209&lt;='07-Paper Priority'!$D$17),AND($E209&lt;='07-Paper Priority'!$D$17,$F209&lt;='07-Paper Priority'!$C$17))),'07-Paper Priority'!$A$17,"")</f>
        <v>13</v>
      </c>
      <c r="AF209">
        <f>IF(AND('07-Paper Priority'!$A$18&gt;=MATCH($J209,'07-Paper Priority'!$B$5:$B$26,0),OR(AND($E209&lt;='07-Paper Priority'!$C$18,$F209&lt;='07-Paper Priority'!$D$18),AND($E209&lt;='07-Paper Priority'!$D$18,$F209&lt;='07-Paper Priority'!$C$18))),'07-Paper Priority'!$A$18,"")</f>
        <v>14</v>
      </c>
      <c r="AG209">
        <f>IF(AND('07-Paper Priority'!$A$19&gt;=MATCH($J209,'07-Paper Priority'!$B$5:$B$26,0),OR(AND($E209&lt;='07-Paper Priority'!$C$19,$F209&lt;='07-Paper Priority'!$D$19),AND($E209&lt;='07-Paper Priority'!$D$19,$F209&lt;='07-Paper Priority'!$C$19))),'07-Paper Priority'!$A$19,"")</f>
        <v>15</v>
      </c>
      <c r="AH209">
        <f>IF(AND('07-Paper Priority'!$A$20&gt;=MATCH($J209,'07-Paper Priority'!$B$5:$B$26,0),OR(AND($E209&lt;='07-Paper Priority'!$C$20,$F209&lt;='07-Paper Priority'!$D$20),AND($E209&lt;='07-Paper Priority'!$D$20,$F209&lt;='07-Paper Priority'!$C$20))),'07-Paper Priority'!$A$20,"")</f>
        <v>16</v>
      </c>
      <c r="AI209">
        <f>IF(AND('07-Paper Priority'!$A$21&gt;=MATCH($J209,'07-Paper Priority'!$B$5:$B$26,0),OR(AND($E209&lt;='07-Paper Priority'!$C$21,$F209&lt;='07-Paper Priority'!$D$21),AND($E209&lt;='07-Paper Priority'!$D$21,$F209&lt;='07-Paper Priority'!$C$21))),'07-Paper Priority'!$A$21,"")</f>
        <v>17</v>
      </c>
      <c r="AJ209">
        <f>IF(AND('07-Paper Priority'!$A$22&gt;=MATCH($J209,'07-Paper Priority'!$B$5:$B$26,0),OR(AND($E209&lt;='07-Paper Priority'!$C$22,$F209&lt;='07-Paper Priority'!$D$22),AND($E209&lt;='07-Paper Priority'!$D$22,$F209&lt;='07-Paper Priority'!$C$22))),'07-Paper Priority'!$A$22,"")</f>
        <v>18</v>
      </c>
      <c r="AK209">
        <f>IF(AND('07-Paper Priority'!$A$23&gt;=MATCH($J209,'07-Paper Priority'!$B$5:$B$26,0),OR(AND($E209&lt;='07-Paper Priority'!$C$23,$F209&lt;='07-Paper Priority'!$D$23),AND($E209&lt;='07-Paper Priority'!$D$23,$F209&lt;='07-Paper Priority'!$C$23))),'07-Paper Priority'!$A$23,"")</f>
        <v>19</v>
      </c>
      <c r="AL209">
        <f>IF(AND('07-Paper Priority'!$A$24&gt;=MATCH($J209,'07-Paper Priority'!$B$5:$B$26,0),OR(AND($E209&lt;='07-Paper Priority'!$C$24,$F209&lt;='07-Paper Priority'!$D$24),AND($E209&lt;='07-Paper Priority'!$D$24,$F209&lt;='07-Paper Priority'!$C$24))),'07-Paper Priority'!$A$24,"")</f>
        <v>20</v>
      </c>
      <c r="AM209">
        <f>IF(AND('07-Paper Priority'!$A$25&gt;=MATCH($J209,'07-Paper Priority'!$B$5:$B$26,0),OR(AND($E209&lt;='07-Paper Priority'!$C$25,$F209&lt;='07-Paper Priority'!$D$25),AND($E209&lt;='07-Paper Priority'!$D$25,$F209&lt;='07-Paper Priority'!$C$25))),'07-Paper Priority'!$A$25,"")</f>
        <v>21</v>
      </c>
      <c r="AN209">
        <f>IF(AND('07-Paper Priority'!$A$26&gt;=MATCH($J209,'07-Paper Priority'!$B$5:$B$26,0),OR(AND($E209&lt;='07-Paper Priority'!$C$26,$F209&lt;='07-Paper Priority'!$D$26),AND($E209&lt;='07-Paper Priority'!$D$26,$F209&lt;='07-Paper Priority'!$C$26))),'07-Paper Priority'!$A$26,"")</f>
        <v>22</v>
      </c>
    </row>
    <row r="210" spans="1:40" ht="33.950000000000003" customHeight="1">
      <c r="A210" s="31" t="s">
        <v>2773</v>
      </c>
      <c r="B210" s="31" t="s">
        <v>2774</v>
      </c>
      <c r="C210" s="31" t="s">
        <v>2549</v>
      </c>
      <c r="D210" s="31" t="s">
        <v>2611</v>
      </c>
      <c r="E210" s="16">
        <v>100</v>
      </c>
      <c r="F210" s="16">
        <v>100</v>
      </c>
      <c r="G210" s="31" t="s">
        <v>2659</v>
      </c>
      <c r="H210" s="31" t="s">
        <v>2775</v>
      </c>
      <c r="I210" s="17" t="s">
        <v>2553</v>
      </c>
      <c r="J210" s="18" t="s">
        <v>652</v>
      </c>
      <c r="K210" s="19" t="str">
        <f>IF(COUNT(S210:AN210)=0,"NO FIT",INDEX('07-Paper Priority'!$B$5:$B$26,MIN(S210:AN210)))</f>
        <v>A6</v>
      </c>
      <c r="L210" s="19" t="str">
        <f>IF($K210="NO FIT","",IF(AND($E210&lt;=INDEX('07-Paper Priority'!$C$5:$C$26,MATCH($K210,'07-Paper Priority'!$B$5:$B$26,0)),$F210&lt;=INDEX('07-Paper Priority'!$D$5:$D$26,MATCH($K210,'07-Paper Priority'!$B$5:$B$26,0))),"PORTRAIT","ROTATED"))</f>
        <v>PORTRAIT</v>
      </c>
      <c r="M210" s="20">
        <f>IF($K210="NO FIT","",IF($L210="PORTRAIT",INDEX('07-Paper Priority'!$C$5:$C$26,MATCH($K210,'07-Paper Priority'!$B$5:$B$26,0)),INDEX('07-Paper Priority'!$D$5:$D$26,MATCH($K210,'07-Paper Priority'!$B$5:$B$26,0))))</f>
        <v>105</v>
      </c>
      <c r="N210" s="20">
        <f>IF($K210="NO FIT","",IF($L210="PORTRAIT",INDEX('07-Paper Priority'!$D$5:$D$26,MATCH($K210,'07-Paper Priority'!$B$5:$B$26,0)),INDEX('07-Paper Priority'!$C$5:$C$26,MATCH($K210,'07-Paper Priority'!$B$5:$B$26,0))))</f>
        <v>148</v>
      </c>
      <c r="O210" s="20">
        <f>IF($K210="NO FIT","",$M210-$E210)</f>
        <v>5</v>
      </c>
      <c r="P210" s="20">
        <f>IF($K210="NO FIT","",$N210-$F210)</f>
        <v>48</v>
      </c>
      <c r="Q210" s="21" t="str">
        <f>IF($K210="NO FIT","REVIEW - NO PAPER FIT",IF(OR($O210&lt;0,$P210&lt;0),"ERROR - FIT",IF(COUNTIF('02-Printing Size'!$A$2:$A$2169,$K210)=0,"ERROR - CODE MISSING","VALID - LOWEST PAPER")))</f>
        <v>VALID - LOWEST PAPER</v>
      </c>
      <c r="R210" s="31" t="s">
        <v>2776</v>
      </c>
      <c r="S210" t="str">
        <f>IF(AND('07-Paper Priority'!$A$5&gt;=MATCH($J210,'07-Paper Priority'!$B$5:$B$26,0),OR(AND($E210&lt;='07-Paper Priority'!$C$5,$F210&lt;='07-Paper Priority'!$D$5),AND($E210&lt;='07-Paper Priority'!$D$5,$F210&lt;='07-Paper Priority'!$C$5))),'07-Paper Priority'!$A$5,"")</f>
        <v/>
      </c>
      <c r="T210" t="str">
        <f>IF(AND('07-Paper Priority'!$A$6&gt;=MATCH($J210,'07-Paper Priority'!$B$5:$B$26,0),OR(AND($E210&lt;='07-Paper Priority'!$C$6,$F210&lt;='07-Paper Priority'!$D$6),AND($E210&lt;='07-Paper Priority'!$D$6,$F210&lt;='07-Paper Priority'!$C$6))),'07-Paper Priority'!$A$6,"")</f>
        <v/>
      </c>
      <c r="U210" t="str">
        <f>IF(AND('07-Paper Priority'!$A$7&gt;=MATCH($J210,'07-Paper Priority'!$B$5:$B$26,0),OR(AND($E210&lt;='07-Paper Priority'!$C$7,$F210&lt;='07-Paper Priority'!$D$7),AND($E210&lt;='07-Paper Priority'!$D$7,$F210&lt;='07-Paper Priority'!$C$7))),'07-Paper Priority'!$A$7,"")</f>
        <v/>
      </c>
      <c r="V210" t="str">
        <f>IF(AND('07-Paper Priority'!$A$8&gt;=MATCH($J210,'07-Paper Priority'!$B$5:$B$26,0),OR(AND($E210&lt;='07-Paper Priority'!$C$8,$F210&lt;='07-Paper Priority'!$D$8),AND($E210&lt;='07-Paper Priority'!$D$8,$F210&lt;='07-Paper Priority'!$C$8))),'07-Paper Priority'!$A$8,"")</f>
        <v/>
      </c>
      <c r="W210" t="str">
        <f>IF(AND('07-Paper Priority'!$A$9&gt;=MATCH($J210,'07-Paper Priority'!$B$5:$B$26,0),OR(AND($E210&lt;='07-Paper Priority'!$C$9,$F210&lt;='07-Paper Priority'!$D$9),AND($E210&lt;='07-Paper Priority'!$D$9,$F210&lt;='07-Paper Priority'!$C$9))),'07-Paper Priority'!$A$9,"")</f>
        <v/>
      </c>
      <c r="X210" t="str">
        <f>IF(AND('07-Paper Priority'!$A$10&gt;=MATCH($J210,'07-Paper Priority'!$B$5:$B$26,0),OR(AND($E210&lt;='07-Paper Priority'!$C$10,$F210&lt;='07-Paper Priority'!$D$10),AND($E210&lt;='07-Paper Priority'!$D$10,$F210&lt;='07-Paper Priority'!$C$10))),'07-Paper Priority'!$A$10,"")</f>
        <v/>
      </c>
      <c r="Y210" t="str">
        <f>IF(AND('07-Paper Priority'!$A$11&gt;=MATCH($J210,'07-Paper Priority'!$B$5:$B$26,0),OR(AND($E210&lt;='07-Paper Priority'!$C$11,$F210&lt;='07-Paper Priority'!$D$11),AND($E210&lt;='07-Paper Priority'!$D$11,$F210&lt;='07-Paper Priority'!$C$11))),'07-Paper Priority'!$A$11,"")</f>
        <v/>
      </c>
      <c r="Z210" t="str">
        <f>IF(AND('07-Paper Priority'!$A$12&gt;=MATCH($J210,'07-Paper Priority'!$B$5:$B$26,0),OR(AND($E210&lt;='07-Paper Priority'!$C$12,$F210&lt;='07-Paper Priority'!$D$12),AND($E210&lt;='07-Paper Priority'!$D$12,$F210&lt;='07-Paper Priority'!$C$12))),'07-Paper Priority'!$A$12,"")</f>
        <v/>
      </c>
      <c r="AA210">
        <f>IF(AND('07-Paper Priority'!$A$13&gt;=MATCH($J210,'07-Paper Priority'!$B$5:$B$26,0),OR(AND($E210&lt;='07-Paper Priority'!$C$13,$F210&lt;='07-Paper Priority'!$D$13),AND($E210&lt;='07-Paper Priority'!$D$13,$F210&lt;='07-Paper Priority'!$C$13))),'07-Paper Priority'!$A$13,"")</f>
        <v>9</v>
      </c>
      <c r="AB210">
        <f>IF(AND('07-Paper Priority'!$A$14&gt;=MATCH($J210,'07-Paper Priority'!$B$5:$B$26,0),OR(AND($E210&lt;='07-Paper Priority'!$C$14,$F210&lt;='07-Paper Priority'!$D$14),AND($E210&lt;='07-Paper Priority'!$D$14,$F210&lt;='07-Paper Priority'!$C$14))),'07-Paper Priority'!$A$14,"")</f>
        <v>10</v>
      </c>
      <c r="AC210">
        <f>IF(AND('07-Paper Priority'!$A$15&gt;=MATCH($J210,'07-Paper Priority'!$B$5:$B$26,0),OR(AND($E210&lt;='07-Paper Priority'!$C$15,$F210&lt;='07-Paper Priority'!$D$15),AND($E210&lt;='07-Paper Priority'!$D$15,$F210&lt;='07-Paper Priority'!$C$15))),'07-Paper Priority'!$A$15,"")</f>
        <v>11</v>
      </c>
      <c r="AD210">
        <f>IF(AND('07-Paper Priority'!$A$16&gt;=MATCH($J210,'07-Paper Priority'!$B$5:$B$26,0),OR(AND($E210&lt;='07-Paper Priority'!$C$16,$F210&lt;='07-Paper Priority'!$D$16),AND($E210&lt;='07-Paper Priority'!$D$16,$F210&lt;='07-Paper Priority'!$C$16))),'07-Paper Priority'!$A$16,"")</f>
        <v>12</v>
      </c>
      <c r="AE210">
        <f>IF(AND('07-Paper Priority'!$A$17&gt;=MATCH($J210,'07-Paper Priority'!$B$5:$B$26,0),OR(AND($E210&lt;='07-Paper Priority'!$C$17,$F210&lt;='07-Paper Priority'!$D$17),AND($E210&lt;='07-Paper Priority'!$D$17,$F210&lt;='07-Paper Priority'!$C$17))),'07-Paper Priority'!$A$17,"")</f>
        <v>13</v>
      </c>
      <c r="AF210">
        <f>IF(AND('07-Paper Priority'!$A$18&gt;=MATCH($J210,'07-Paper Priority'!$B$5:$B$26,0),OR(AND($E210&lt;='07-Paper Priority'!$C$18,$F210&lt;='07-Paper Priority'!$D$18),AND($E210&lt;='07-Paper Priority'!$D$18,$F210&lt;='07-Paper Priority'!$C$18))),'07-Paper Priority'!$A$18,"")</f>
        <v>14</v>
      </c>
      <c r="AG210">
        <f>IF(AND('07-Paper Priority'!$A$19&gt;=MATCH($J210,'07-Paper Priority'!$B$5:$B$26,0),OR(AND($E210&lt;='07-Paper Priority'!$C$19,$F210&lt;='07-Paper Priority'!$D$19),AND($E210&lt;='07-Paper Priority'!$D$19,$F210&lt;='07-Paper Priority'!$C$19))),'07-Paper Priority'!$A$19,"")</f>
        <v>15</v>
      </c>
      <c r="AH210">
        <f>IF(AND('07-Paper Priority'!$A$20&gt;=MATCH($J210,'07-Paper Priority'!$B$5:$B$26,0),OR(AND($E210&lt;='07-Paper Priority'!$C$20,$F210&lt;='07-Paper Priority'!$D$20),AND($E210&lt;='07-Paper Priority'!$D$20,$F210&lt;='07-Paper Priority'!$C$20))),'07-Paper Priority'!$A$20,"")</f>
        <v>16</v>
      </c>
      <c r="AI210">
        <f>IF(AND('07-Paper Priority'!$A$21&gt;=MATCH($J210,'07-Paper Priority'!$B$5:$B$26,0),OR(AND($E210&lt;='07-Paper Priority'!$C$21,$F210&lt;='07-Paper Priority'!$D$21),AND($E210&lt;='07-Paper Priority'!$D$21,$F210&lt;='07-Paper Priority'!$C$21))),'07-Paper Priority'!$A$21,"")</f>
        <v>17</v>
      </c>
      <c r="AJ210">
        <f>IF(AND('07-Paper Priority'!$A$22&gt;=MATCH($J210,'07-Paper Priority'!$B$5:$B$26,0),OR(AND($E210&lt;='07-Paper Priority'!$C$22,$F210&lt;='07-Paper Priority'!$D$22),AND($E210&lt;='07-Paper Priority'!$D$22,$F210&lt;='07-Paper Priority'!$C$22))),'07-Paper Priority'!$A$22,"")</f>
        <v>18</v>
      </c>
      <c r="AK210">
        <f>IF(AND('07-Paper Priority'!$A$23&gt;=MATCH($J210,'07-Paper Priority'!$B$5:$B$26,0),OR(AND($E210&lt;='07-Paper Priority'!$C$23,$F210&lt;='07-Paper Priority'!$D$23),AND($E210&lt;='07-Paper Priority'!$D$23,$F210&lt;='07-Paper Priority'!$C$23))),'07-Paper Priority'!$A$23,"")</f>
        <v>19</v>
      </c>
      <c r="AL210">
        <f>IF(AND('07-Paper Priority'!$A$24&gt;=MATCH($J210,'07-Paper Priority'!$B$5:$B$26,0),OR(AND($E210&lt;='07-Paper Priority'!$C$24,$F210&lt;='07-Paper Priority'!$D$24),AND($E210&lt;='07-Paper Priority'!$D$24,$F210&lt;='07-Paper Priority'!$C$24))),'07-Paper Priority'!$A$24,"")</f>
        <v>20</v>
      </c>
      <c r="AM210">
        <f>IF(AND('07-Paper Priority'!$A$25&gt;=MATCH($J210,'07-Paper Priority'!$B$5:$B$26,0),OR(AND($E210&lt;='07-Paper Priority'!$C$25,$F210&lt;='07-Paper Priority'!$D$25),AND($E210&lt;='07-Paper Priority'!$D$25,$F210&lt;='07-Paper Priority'!$C$25))),'07-Paper Priority'!$A$25,"")</f>
        <v>21</v>
      </c>
      <c r="AN210">
        <f>IF(AND('07-Paper Priority'!$A$26&gt;=MATCH($J210,'07-Paper Priority'!$B$5:$B$26,0),OR(AND($E210&lt;='07-Paper Priority'!$C$26,$F210&lt;='07-Paper Priority'!$D$26),AND($E210&lt;='07-Paper Priority'!$D$26,$F210&lt;='07-Paper Priority'!$C$26))),'07-Paper Priority'!$A$26,"")</f>
        <v>22</v>
      </c>
    </row>
    <row r="211" spans="1:40" ht="33.950000000000003" customHeight="1">
      <c r="A211" s="32" t="s">
        <v>2777</v>
      </c>
      <c r="B211" s="32" t="s">
        <v>2774</v>
      </c>
      <c r="C211" s="32" t="s">
        <v>2549</v>
      </c>
      <c r="D211" s="32" t="s">
        <v>2611</v>
      </c>
      <c r="E211" s="23">
        <v>100</v>
      </c>
      <c r="F211" s="23">
        <v>100</v>
      </c>
      <c r="G211" s="32" t="s">
        <v>2556</v>
      </c>
      <c r="H211" s="32" t="s">
        <v>2778</v>
      </c>
      <c r="I211" s="24" t="s">
        <v>2558</v>
      </c>
      <c r="J211" s="25" t="s">
        <v>652</v>
      </c>
      <c r="K211" s="26" t="str">
        <f>IF(COUNT(S211:AN211)=0,"NO FIT",INDEX('07-Paper Priority'!$B$5:$B$26,MIN(S211:AN211)))</f>
        <v>A6</v>
      </c>
      <c r="L211" s="26" t="str">
        <f>IF($K211="NO FIT","",IF(AND($E211&lt;=INDEX('07-Paper Priority'!$C$5:$C$26,MATCH($K211,'07-Paper Priority'!$B$5:$B$26,0)),$F211&lt;=INDEX('07-Paper Priority'!$D$5:$D$26,MATCH($K211,'07-Paper Priority'!$B$5:$B$26,0))),"PORTRAIT","ROTATED"))</f>
        <v>PORTRAIT</v>
      </c>
      <c r="M211" s="27">
        <f>IF($K211="NO FIT","",IF($L211="PORTRAIT",INDEX('07-Paper Priority'!$C$5:$C$26,MATCH($K211,'07-Paper Priority'!$B$5:$B$26,0)),INDEX('07-Paper Priority'!$D$5:$D$26,MATCH($K211,'07-Paper Priority'!$B$5:$B$26,0))))</f>
        <v>105</v>
      </c>
      <c r="N211" s="27">
        <f>IF($K211="NO FIT","",IF($L211="PORTRAIT",INDEX('07-Paper Priority'!$D$5:$D$26,MATCH($K211,'07-Paper Priority'!$B$5:$B$26,0)),INDEX('07-Paper Priority'!$C$5:$C$26,MATCH($K211,'07-Paper Priority'!$B$5:$B$26,0))))</f>
        <v>148</v>
      </c>
      <c r="O211" s="27">
        <f>IF($K211="NO FIT","",$M211-$E211)</f>
        <v>5</v>
      </c>
      <c r="P211" s="27">
        <f>IF($K211="NO FIT","",$N211-$F211)</f>
        <v>48</v>
      </c>
      <c r="Q211" s="28" t="str">
        <f>IF($K211="NO FIT","REVIEW - NO PAPER FIT",IF(OR($O211&lt;0,$P211&lt;0),"ERROR - FIT",IF(COUNTIF('02-Printing Size'!$A$2:$A$2169,$K211)=0,"ERROR - CODE MISSING","VALID - LOWEST PAPER")))</f>
        <v>VALID - LOWEST PAPER</v>
      </c>
      <c r="R211" s="32" t="s">
        <v>2705</v>
      </c>
      <c r="S211" t="str">
        <f>IF(AND('07-Paper Priority'!$A$5&gt;=MATCH($J211,'07-Paper Priority'!$B$5:$B$26,0),OR(AND($E211&lt;='07-Paper Priority'!$C$5,$F211&lt;='07-Paper Priority'!$D$5),AND($E211&lt;='07-Paper Priority'!$D$5,$F211&lt;='07-Paper Priority'!$C$5))),'07-Paper Priority'!$A$5,"")</f>
        <v/>
      </c>
      <c r="T211" t="str">
        <f>IF(AND('07-Paper Priority'!$A$6&gt;=MATCH($J211,'07-Paper Priority'!$B$5:$B$26,0),OR(AND($E211&lt;='07-Paper Priority'!$C$6,$F211&lt;='07-Paper Priority'!$D$6),AND($E211&lt;='07-Paper Priority'!$D$6,$F211&lt;='07-Paper Priority'!$C$6))),'07-Paper Priority'!$A$6,"")</f>
        <v/>
      </c>
      <c r="U211" t="str">
        <f>IF(AND('07-Paper Priority'!$A$7&gt;=MATCH($J211,'07-Paper Priority'!$B$5:$B$26,0),OR(AND($E211&lt;='07-Paper Priority'!$C$7,$F211&lt;='07-Paper Priority'!$D$7),AND($E211&lt;='07-Paper Priority'!$D$7,$F211&lt;='07-Paper Priority'!$C$7))),'07-Paper Priority'!$A$7,"")</f>
        <v/>
      </c>
      <c r="V211" t="str">
        <f>IF(AND('07-Paper Priority'!$A$8&gt;=MATCH($J211,'07-Paper Priority'!$B$5:$B$26,0),OR(AND($E211&lt;='07-Paper Priority'!$C$8,$F211&lt;='07-Paper Priority'!$D$8),AND($E211&lt;='07-Paper Priority'!$D$8,$F211&lt;='07-Paper Priority'!$C$8))),'07-Paper Priority'!$A$8,"")</f>
        <v/>
      </c>
      <c r="W211" t="str">
        <f>IF(AND('07-Paper Priority'!$A$9&gt;=MATCH($J211,'07-Paper Priority'!$B$5:$B$26,0),OR(AND($E211&lt;='07-Paper Priority'!$C$9,$F211&lt;='07-Paper Priority'!$D$9),AND($E211&lt;='07-Paper Priority'!$D$9,$F211&lt;='07-Paper Priority'!$C$9))),'07-Paper Priority'!$A$9,"")</f>
        <v/>
      </c>
      <c r="X211" t="str">
        <f>IF(AND('07-Paper Priority'!$A$10&gt;=MATCH($J211,'07-Paper Priority'!$B$5:$B$26,0),OR(AND($E211&lt;='07-Paper Priority'!$C$10,$F211&lt;='07-Paper Priority'!$D$10),AND($E211&lt;='07-Paper Priority'!$D$10,$F211&lt;='07-Paper Priority'!$C$10))),'07-Paper Priority'!$A$10,"")</f>
        <v/>
      </c>
      <c r="Y211" t="str">
        <f>IF(AND('07-Paper Priority'!$A$11&gt;=MATCH($J211,'07-Paper Priority'!$B$5:$B$26,0),OR(AND($E211&lt;='07-Paper Priority'!$C$11,$F211&lt;='07-Paper Priority'!$D$11),AND($E211&lt;='07-Paper Priority'!$D$11,$F211&lt;='07-Paper Priority'!$C$11))),'07-Paper Priority'!$A$11,"")</f>
        <v/>
      </c>
      <c r="Z211" t="str">
        <f>IF(AND('07-Paper Priority'!$A$12&gt;=MATCH($J211,'07-Paper Priority'!$B$5:$B$26,0),OR(AND($E211&lt;='07-Paper Priority'!$C$12,$F211&lt;='07-Paper Priority'!$D$12),AND($E211&lt;='07-Paper Priority'!$D$12,$F211&lt;='07-Paper Priority'!$C$12))),'07-Paper Priority'!$A$12,"")</f>
        <v/>
      </c>
      <c r="AA211">
        <f>IF(AND('07-Paper Priority'!$A$13&gt;=MATCH($J211,'07-Paper Priority'!$B$5:$B$26,0),OR(AND($E211&lt;='07-Paper Priority'!$C$13,$F211&lt;='07-Paper Priority'!$D$13),AND($E211&lt;='07-Paper Priority'!$D$13,$F211&lt;='07-Paper Priority'!$C$13))),'07-Paper Priority'!$A$13,"")</f>
        <v>9</v>
      </c>
      <c r="AB211">
        <f>IF(AND('07-Paper Priority'!$A$14&gt;=MATCH($J211,'07-Paper Priority'!$B$5:$B$26,0),OR(AND($E211&lt;='07-Paper Priority'!$C$14,$F211&lt;='07-Paper Priority'!$D$14),AND($E211&lt;='07-Paper Priority'!$D$14,$F211&lt;='07-Paper Priority'!$C$14))),'07-Paper Priority'!$A$14,"")</f>
        <v>10</v>
      </c>
      <c r="AC211">
        <f>IF(AND('07-Paper Priority'!$A$15&gt;=MATCH($J211,'07-Paper Priority'!$B$5:$B$26,0),OR(AND($E211&lt;='07-Paper Priority'!$C$15,$F211&lt;='07-Paper Priority'!$D$15),AND($E211&lt;='07-Paper Priority'!$D$15,$F211&lt;='07-Paper Priority'!$C$15))),'07-Paper Priority'!$A$15,"")</f>
        <v>11</v>
      </c>
      <c r="AD211">
        <f>IF(AND('07-Paper Priority'!$A$16&gt;=MATCH($J211,'07-Paper Priority'!$B$5:$B$26,0),OR(AND($E211&lt;='07-Paper Priority'!$C$16,$F211&lt;='07-Paper Priority'!$D$16),AND($E211&lt;='07-Paper Priority'!$D$16,$F211&lt;='07-Paper Priority'!$C$16))),'07-Paper Priority'!$A$16,"")</f>
        <v>12</v>
      </c>
      <c r="AE211">
        <f>IF(AND('07-Paper Priority'!$A$17&gt;=MATCH($J211,'07-Paper Priority'!$B$5:$B$26,0),OR(AND($E211&lt;='07-Paper Priority'!$C$17,$F211&lt;='07-Paper Priority'!$D$17),AND($E211&lt;='07-Paper Priority'!$D$17,$F211&lt;='07-Paper Priority'!$C$17))),'07-Paper Priority'!$A$17,"")</f>
        <v>13</v>
      </c>
      <c r="AF211">
        <f>IF(AND('07-Paper Priority'!$A$18&gt;=MATCH($J211,'07-Paper Priority'!$B$5:$B$26,0),OR(AND($E211&lt;='07-Paper Priority'!$C$18,$F211&lt;='07-Paper Priority'!$D$18),AND($E211&lt;='07-Paper Priority'!$D$18,$F211&lt;='07-Paper Priority'!$C$18))),'07-Paper Priority'!$A$18,"")</f>
        <v>14</v>
      </c>
      <c r="AG211">
        <f>IF(AND('07-Paper Priority'!$A$19&gt;=MATCH($J211,'07-Paper Priority'!$B$5:$B$26,0),OR(AND($E211&lt;='07-Paper Priority'!$C$19,$F211&lt;='07-Paper Priority'!$D$19),AND($E211&lt;='07-Paper Priority'!$D$19,$F211&lt;='07-Paper Priority'!$C$19))),'07-Paper Priority'!$A$19,"")</f>
        <v>15</v>
      </c>
      <c r="AH211">
        <f>IF(AND('07-Paper Priority'!$A$20&gt;=MATCH($J211,'07-Paper Priority'!$B$5:$B$26,0),OR(AND($E211&lt;='07-Paper Priority'!$C$20,$F211&lt;='07-Paper Priority'!$D$20),AND($E211&lt;='07-Paper Priority'!$D$20,$F211&lt;='07-Paper Priority'!$C$20))),'07-Paper Priority'!$A$20,"")</f>
        <v>16</v>
      </c>
      <c r="AI211">
        <f>IF(AND('07-Paper Priority'!$A$21&gt;=MATCH($J211,'07-Paper Priority'!$B$5:$B$26,0),OR(AND($E211&lt;='07-Paper Priority'!$C$21,$F211&lt;='07-Paper Priority'!$D$21),AND($E211&lt;='07-Paper Priority'!$D$21,$F211&lt;='07-Paper Priority'!$C$21))),'07-Paper Priority'!$A$21,"")</f>
        <v>17</v>
      </c>
      <c r="AJ211">
        <f>IF(AND('07-Paper Priority'!$A$22&gt;=MATCH($J211,'07-Paper Priority'!$B$5:$B$26,0),OR(AND($E211&lt;='07-Paper Priority'!$C$22,$F211&lt;='07-Paper Priority'!$D$22),AND($E211&lt;='07-Paper Priority'!$D$22,$F211&lt;='07-Paper Priority'!$C$22))),'07-Paper Priority'!$A$22,"")</f>
        <v>18</v>
      </c>
      <c r="AK211">
        <f>IF(AND('07-Paper Priority'!$A$23&gt;=MATCH($J211,'07-Paper Priority'!$B$5:$B$26,0),OR(AND($E211&lt;='07-Paper Priority'!$C$23,$F211&lt;='07-Paper Priority'!$D$23),AND($E211&lt;='07-Paper Priority'!$D$23,$F211&lt;='07-Paper Priority'!$C$23))),'07-Paper Priority'!$A$23,"")</f>
        <v>19</v>
      </c>
      <c r="AL211">
        <f>IF(AND('07-Paper Priority'!$A$24&gt;=MATCH($J211,'07-Paper Priority'!$B$5:$B$26,0),OR(AND($E211&lt;='07-Paper Priority'!$C$24,$F211&lt;='07-Paper Priority'!$D$24),AND($E211&lt;='07-Paper Priority'!$D$24,$F211&lt;='07-Paper Priority'!$C$24))),'07-Paper Priority'!$A$24,"")</f>
        <v>20</v>
      </c>
      <c r="AM211">
        <f>IF(AND('07-Paper Priority'!$A$25&gt;=MATCH($J211,'07-Paper Priority'!$B$5:$B$26,0),OR(AND($E211&lt;='07-Paper Priority'!$C$25,$F211&lt;='07-Paper Priority'!$D$25),AND($E211&lt;='07-Paper Priority'!$D$25,$F211&lt;='07-Paper Priority'!$C$25))),'07-Paper Priority'!$A$25,"")</f>
        <v>21</v>
      </c>
      <c r="AN211">
        <f>IF(AND('07-Paper Priority'!$A$26&gt;=MATCH($J211,'07-Paper Priority'!$B$5:$B$26,0),OR(AND($E211&lt;='07-Paper Priority'!$C$26,$F211&lt;='07-Paper Priority'!$D$26),AND($E211&lt;='07-Paper Priority'!$D$26,$F211&lt;='07-Paper Priority'!$C$26))),'07-Paper Priority'!$A$26,"")</f>
        <v>22</v>
      </c>
    </row>
    <row r="212" spans="1:40" ht="33.950000000000003" customHeight="1">
      <c r="A212" s="32" t="s">
        <v>2779</v>
      </c>
      <c r="B212" s="32" t="s">
        <v>2774</v>
      </c>
      <c r="C212" s="32" t="s">
        <v>2549</v>
      </c>
      <c r="D212" s="32" t="s">
        <v>2611</v>
      </c>
      <c r="E212" s="23">
        <v>200</v>
      </c>
      <c r="F212" s="23">
        <v>200</v>
      </c>
      <c r="G212" s="32" t="s">
        <v>2561</v>
      </c>
      <c r="H212" s="32" t="s">
        <v>2780</v>
      </c>
      <c r="I212" s="24" t="s">
        <v>2553</v>
      </c>
      <c r="J212" s="25" t="s">
        <v>504</v>
      </c>
      <c r="K212" s="26" t="str">
        <f>IF(COUNT(S212:AN212)=0,"NO FIT",INDEX('07-Paper Priority'!$B$5:$B$26,MIN(S212:AN212)))</f>
        <v>A4</v>
      </c>
      <c r="L212" s="26" t="str">
        <f>IF($K212="NO FIT","",IF(AND($E212&lt;=INDEX('07-Paper Priority'!$C$5:$C$26,MATCH($K212,'07-Paper Priority'!$B$5:$B$26,0)),$F212&lt;=INDEX('07-Paper Priority'!$D$5:$D$26,MATCH($K212,'07-Paper Priority'!$B$5:$B$26,0))),"PORTRAIT","ROTATED"))</f>
        <v>PORTRAIT</v>
      </c>
      <c r="M212" s="27">
        <f>IF($K212="NO FIT","",IF($L212="PORTRAIT",INDEX('07-Paper Priority'!$C$5:$C$26,MATCH($K212,'07-Paper Priority'!$B$5:$B$26,0)),INDEX('07-Paper Priority'!$D$5:$D$26,MATCH($K212,'07-Paper Priority'!$B$5:$B$26,0))))</f>
        <v>210</v>
      </c>
      <c r="N212" s="27">
        <f>IF($K212="NO FIT","",IF($L212="PORTRAIT",INDEX('07-Paper Priority'!$D$5:$D$26,MATCH($K212,'07-Paper Priority'!$B$5:$B$26,0)),INDEX('07-Paper Priority'!$C$5:$C$26,MATCH($K212,'07-Paper Priority'!$B$5:$B$26,0))))</f>
        <v>297</v>
      </c>
      <c r="O212" s="27">
        <f>IF($K212="NO FIT","",$M212-$E212)</f>
        <v>10</v>
      </c>
      <c r="P212" s="27">
        <f>IF($K212="NO FIT","",$N212-$F212)</f>
        <v>97</v>
      </c>
      <c r="Q212" s="28" t="str">
        <f>IF($K212="NO FIT","REVIEW - NO PAPER FIT",IF(OR($O212&lt;0,$P212&lt;0),"ERROR - FIT",IF(COUNTIF('02-Printing Size'!$A$2:$A$2169,$K212)=0,"ERROR - CODE MISSING","VALID - LOWEST PAPER")))</f>
        <v>VALID - LOWEST PAPER</v>
      </c>
      <c r="R212" s="32" t="s">
        <v>2563</v>
      </c>
      <c r="S212" t="str">
        <f>IF(AND('07-Paper Priority'!$A$5&gt;=MATCH($J212,'07-Paper Priority'!$B$5:$B$26,0),OR(AND($E212&lt;='07-Paper Priority'!$C$5,$F212&lt;='07-Paper Priority'!$D$5),AND($E212&lt;='07-Paper Priority'!$D$5,$F212&lt;='07-Paper Priority'!$C$5))),'07-Paper Priority'!$A$5,"")</f>
        <v/>
      </c>
      <c r="T212" t="str">
        <f>IF(AND('07-Paper Priority'!$A$6&gt;=MATCH($J212,'07-Paper Priority'!$B$5:$B$26,0),OR(AND($E212&lt;='07-Paper Priority'!$C$6,$F212&lt;='07-Paper Priority'!$D$6),AND($E212&lt;='07-Paper Priority'!$D$6,$F212&lt;='07-Paper Priority'!$C$6))),'07-Paper Priority'!$A$6,"")</f>
        <v/>
      </c>
      <c r="U212" t="str">
        <f>IF(AND('07-Paper Priority'!$A$7&gt;=MATCH($J212,'07-Paper Priority'!$B$5:$B$26,0),OR(AND($E212&lt;='07-Paper Priority'!$C$7,$F212&lt;='07-Paper Priority'!$D$7),AND($E212&lt;='07-Paper Priority'!$D$7,$F212&lt;='07-Paper Priority'!$C$7))),'07-Paper Priority'!$A$7,"")</f>
        <v/>
      </c>
      <c r="V212" t="str">
        <f>IF(AND('07-Paper Priority'!$A$8&gt;=MATCH($J212,'07-Paper Priority'!$B$5:$B$26,0),OR(AND($E212&lt;='07-Paper Priority'!$C$8,$F212&lt;='07-Paper Priority'!$D$8),AND($E212&lt;='07-Paper Priority'!$D$8,$F212&lt;='07-Paper Priority'!$C$8))),'07-Paper Priority'!$A$8,"")</f>
        <v/>
      </c>
      <c r="W212" t="str">
        <f>IF(AND('07-Paper Priority'!$A$9&gt;=MATCH($J212,'07-Paper Priority'!$B$5:$B$26,0),OR(AND($E212&lt;='07-Paper Priority'!$C$9,$F212&lt;='07-Paper Priority'!$D$9),AND($E212&lt;='07-Paper Priority'!$D$9,$F212&lt;='07-Paper Priority'!$C$9))),'07-Paper Priority'!$A$9,"")</f>
        <v/>
      </c>
      <c r="X212" t="str">
        <f>IF(AND('07-Paper Priority'!$A$10&gt;=MATCH($J212,'07-Paper Priority'!$B$5:$B$26,0),OR(AND($E212&lt;='07-Paper Priority'!$C$10,$F212&lt;='07-Paper Priority'!$D$10),AND($E212&lt;='07-Paper Priority'!$D$10,$F212&lt;='07-Paper Priority'!$C$10))),'07-Paper Priority'!$A$10,"")</f>
        <v/>
      </c>
      <c r="Y212" t="str">
        <f>IF(AND('07-Paper Priority'!$A$11&gt;=MATCH($J212,'07-Paper Priority'!$B$5:$B$26,0),OR(AND($E212&lt;='07-Paper Priority'!$C$11,$F212&lt;='07-Paper Priority'!$D$11),AND($E212&lt;='07-Paper Priority'!$D$11,$F212&lt;='07-Paper Priority'!$C$11))),'07-Paper Priority'!$A$11,"")</f>
        <v/>
      </c>
      <c r="Z212" t="str">
        <f>IF(AND('07-Paper Priority'!$A$12&gt;=MATCH($J212,'07-Paper Priority'!$B$5:$B$26,0),OR(AND($E212&lt;='07-Paper Priority'!$C$12,$F212&lt;='07-Paper Priority'!$D$12),AND($E212&lt;='07-Paper Priority'!$D$12,$F212&lt;='07-Paper Priority'!$C$12))),'07-Paper Priority'!$A$12,"")</f>
        <v/>
      </c>
      <c r="AA212" t="str">
        <f>IF(AND('07-Paper Priority'!$A$13&gt;=MATCH($J212,'07-Paper Priority'!$B$5:$B$26,0),OR(AND($E212&lt;='07-Paper Priority'!$C$13,$F212&lt;='07-Paper Priority'!$D$13),AND($E212&lt;='07-Paper Priority'!$D$13,$F212&lt;='07-Paper Priority'!$C$13))),'07-Paper Priority'!$A$13,"")</f>
        <v/>
      </c>
      <c r="AB212" t="str">
        <f>IF(AND('07-Paper Priority'!$A$14&gt;=MATCH($J212,'07-Paper Priority'!$B$5:$B$26,0),OR(AND($E212&lt;='07-Paper Priority'!$C$14,$F212&lt;='07-Paper Priority'!$D$14),AND($E212&lt;='07-Paper Priority'!$D$14,$F212&lt;='07-Paper Priority'!$C$14))),'07-Paper Priority'!$A$14,"")</f>
        <v/>
      </c>
      <c r="AC212" t="str">
        <f>IF(AND('07-Paper Priority'!$A$15&gt;=MATCH($J212,'07-Paper Priority'!$B$5:$B$26,0),OR(AND($E212&lt;='07-Paper Priority'!$C$15,$F212&lt;='07-Paper Priority'!$D$15),AND($E212&lt;='07-Paper Priority'!$D$15,$F212&lt;='07-Paper Priority'!$C$15))),'07-Paper Priority'!$A$15,"")</f>
        <v/>
      </c>
      <c r="AD212" t="str">
        <f>IF(AND('07-Paper Priority'!$A$16&gt;=MATCH($J212,'07-Paper Priority'!$B$5:$B$26,0),OR(AND($E212&lt;='07-Paper Priority'!$C$16,$F212&lt;='07-Paper Priority'!$D$16),AND($E212&lt;='07-Paper Priority'!$D$16,$F212&lt;='07-Paper Priority'!$C$16))),'07-Paper Priority'!$A$16,"")</f>
        <v/>
      </c>
      <c r="AE212">
        <f>IF(AND('07-Paper Priority'!$A$17&gt;=MATCH($J212,'07-Paper Priority'!$B$5:$B$26,0),OR(AND($E212&lt;='07-Paper Priority'!$C$17,$F212&lt;='07-Paper Priority'!$D$17),AND($E212&lt;='07-Paper Priority'!$D$17,$F212&lt;='07-Paper Priority'!$C$17))),'07-Paper Priority'!$A$17,"")</f>
        <v>13</v>
      </c>
      <c r="AF212">
        <f>IF(AND('07-Paper Priority'!$A$18&gt;=MATCH($J212,'07-Paper Priority'!$B$5:$B$26,0),OR(AND($E212&lt;='07-Paper Priority'!$C$18,$F212&lt;='07-Paper Priority'!$D$18),AND($E212&lt;='07-Paper Priority'!$D$18,$F212&lt;='07-Paper Priority'!$C$18))),'07-Paper Priority'!$A$18,"")</f>
        <v>14</v>
      </c>
      <c r="AG212">
        <f>IF(AND('07-Paper Priority'!$A$19&gt;=MATCH($J212,'07-Paper Priority'!$B$5:$B$26,0),OR(AND($E212&lt;='07-Paper Priority'!$C$19,$F212&lt;='07-Paper Priority'!$D$19),AND($E212&lt;='07-Paper Priority'!$D$19,$F212&lt;='07-Paper Priority'!$C$19))),'07-Paper Priority'!$A$19,"")</f>
        <v>15</v>
      </c>
      <c r="AH212">
        <f>IF(AND('07-Paper Priority'!$A$20&gt;=MATCH($J212,'07-Paper Priority'!$B$5:$B$26,0),OR(AND($E212&lt;='07-Paper Priority'!$C$20,$F212&lt;='07-Paper Priority'!$D$20),AND($E212&lt;='07-Paper Priority'!$D$20,$F212&lt;='07-Paper Priority'!$C$20))),'07-Paper Priority'!$A$20,"")</f>
        <v>16</v>
      </c>
      <c r="AI212">
        <f>IF(AND('07-Paper Priority'!$A$21&gt;=MATCH($J212,'07-Paper Priority'!$B$5:$B$26,0),OR(AND($E212&lt;='07-Paper Priority'!$C$21,$F212&lt;='07-Paper Priority'!$D$21),AND($E212&lt;='07-Paper Priority'!$D$21,$F212&lt;='07-Paper Priority'!$C$21))),'07-Paper Priority'!$A$21,"")</f>
        <v>17</v>
      </c>
      <c r="AJ212">
        <f>IF(AND('07-Paper Priority'!$A$22&gt;=MATCH($J212,'07-Paper Priority'!$B$5:$B$26,0),OR(AND($E212&lt;='07-Paper Priority'!$C$22,$F212&lt;='07-Paper Priority'!$D$22),AND($E212&lt;='07-Paper Priority'!$D$22,$F212&lt;='07-Paper Priority'!$C$22))),'07-Paper Priority'!$A$22,"")</f>
        <v>18</v>
      </c>
      <c r="AK212">
        <f>IF(AND('07-Paper Priority'!$A$23&gt;=MATCH($J212,'07-Paper Priority'!$B$5:$B$26,0),OR(AND($E212&lt;='07-Paper Priority'!$C$23,$F212&lt;='07-Paper Priority'!$D$23),AND($E212&lt;='07-Paper Priority'!$D$23,$F212&lt;='07-Paper Priority'!$C$23))),'07-Paper Priority'!$A$23,"")</f>
        <v>19</v>
      </c>
      <c r="AL212">
        <f>IF(AND('07-Paper Priority'!$A$24&gt;=MATCH($J212,'07-Paper Priority'!$B$5:$B$26,0),OR(AND($E212&lt;='07-Paper Priority'!$C$24,$F212&lt;='07-Paper Priority'!$D$24),AND($E212&lt;='07-Paper Priority'!$D$24,$F212&lt;='07-Paper Priority'!$C$24))),'07-Paper Priority'!$A$24,"")</f>
        <v>20</v>
      </c>
      <c r="AM212">
        <f>IF(AND('07-Paper Priority'!$A$25&gt;=MATCH($J212,'07-Paper Priority'!$B$5:$B$26,0),OR(AND($E212&lt;='07-Paper Priority'!$C$25,$F212&lt;='07-Paper Priority'!$D$25),AND($E212&lt;='07-Paper Priority'!$D$25,$F212&lt;='07-Paper Priority'!$C$25))),'07-Paper Priority'!$A$25,"")</f>
        <v>21</v>
      </c>
      <c r="AN212">
        <f>IF(AND('07-Paper Priority'!$A$26&gt;=MATCH($J212,'07-Paper Priority'!$B$5:$B$26,0),OR(AND($E212&lt;='07-Paper Priority'!$C$26,$F212&lt;='07-Paper Priority'!$D$26),AND($E212&lt;='07-Paper Priority'!$D$26,$F212&lt;='07-Paper Priority'!$C$26))),'07-Paper Priority'!$A$26,"")</f>
        <v>22</v>
      </c>
    </row>
    <row r="213" spans="1:40" ht="33.950000000000003" customHeight="1">
      <c r="A213" s="32" t="s">
        <v>2781</v>
      </c>
      <c r="B213" s="32" t="s">
        <v>2774</v>
      </c>
      <c r="C213" s="32" t="s">
        <v>2549</v>
      </c>
      <c r="D213" s="32" t="s">
        <v>2565</v>
      </c>
      <c r="E213" s="23">
        <v>280</v>
      </c>
      <c r="F213" s="23">
        <v>330</v>
      </c>
      <c r="G213" s="32" t="s">
        <v>2566</v>
      </c>
      <c r="H213" s="32" t="s">
        <v>2782</v>
      </c>
      <c r="I213" s="24" t="s">
        <v>64</v>
      </c>
      <c r="J213" s="25" t="s">
        <v>430</v>
      </c>
      <c r="K213" s="26" t="str">
        <f>IF(COUNT(S213:AN213)=0,"NO FIT",INDEX('07-Paper Priority'!$B$5:$B$26,MIN(S213:AN213)))</f>
        <v>A3</v>
      </c>
      <c r="L213" s="26" t="str">
        <f>IF($K213="NO FIT","",IF(AND($E213&lt;=INDEX('07-Paper Priority'!$C$5:$C$26,MATCH($K213,'07-Paper Priority'!$B$5:$B$26,0)),$F213&lt;=INDEX('07-Paper Priority'!$D$5:$D$26,MATCH($K213,'07-Paper Priority'!$B$5:$B$26,0))),"PORTRAIT","ROTATED"))</f>
        <v>PORTRAIT</v>
      </c>
      <c r="M213" s="27">
        <f>IF($K213="NO FIT","",IF($L213="PORTRAIT",INDEX('07-Paper Priority'!$C$5:$C$26,MATCH($K213,'07-Paper Priority'!$B$5:$B$26,0)),INDEX('07-Paper Priority'!$D$5:$D$26,MATCH($K213,'07-Paper Priority'!$B$5:$B$26,0))))</f>
        <v>297</v>
      </c>
      <c r="N213" s="27">
        <f>IF($K213="NO FIT","",IF($L213="PORTRAIT",INDEX('07-Paper Priority'!$D$5:$D$26,MATCH($K213,'07-Paper Priority'!$B$5:$B$26,0)),INDEX('07-Paper Priority'!$C$5:$C$26,MATCH($K213,'07-Paper Priority'!$B$5:$B$26,0))))</f>
        <v>420</v>
      </c>
      <c r="O213" s="27">
        <f>IF($K213="NO FIT","",$M213-$E213)</f>
        <v>17</v>
      </c>
      <c r="P213" s="27">
        <f>IF($K213="NO FIT","",$N213-$F213)</f>
        <v>90</v>
      </c>
      <c r="Q213" s="28" t="str">
        <f>IF($K213="NO FIT","REVIEW - NO PAPER FIT",IF(OR($O213&lt;0,$P213&lt;0),"ERROR - FIT",IF(COUNTIF('02-Printing Size'!$A$2:$A$2169,$K213)=0,"ERROR - CODE MISSING","VALID - LOWEST PAPER")))</f>
        <v>VALID - LOWEST PAPER</v>
      </c>
      <c r="R213" s="32" t="s">
        <v>2783</v>
      </c>
      <c r="S213" t="str">
        <f>IF(AND('07-Paper Priority'!$A$5&gt;=MATCH($J213,'07-Paper Priority'!$B$5:$B$26,0),OR(AND($E213&lt;='07-Paper Priority'!$C$5,$F213&lt;='07-Paper Priority'!$D$5),AND($E213&lt;='07-Paper Priority'!$D$5,$F213&lt;='07-Paper Priority'!$C$5))),'07-Paper Priority'!$A$5,"")</f>
        <v/>
      </c>
      <c r="T213" t="str">
        <f>IF(AND('07-Paper Priority'!$A$6&gt;=MATCH($J213,'07-Paper Priority'!$B$5:$B$26,0),OR(AND($E213&lt;='07-Paper Priority'!$C$6,$F213&lt;='07-Paper Priority'!$D$6),AND($E213&lt;='07-Paper Priority'!$D$6,$F213&lt;='07-Paper Priority'!$C$6))),'07-Paper Priority'!$A$6,"")</f>
        <v/>
      </c>
      <c r="U213" t="str">
        <f>IF(AND('07-Paper Priority'!$A$7&gt;=MATCH($J213,'07-Paper Priority'!$B$5:$B$26,0),OR(AND($E213&lt;='07-Paper Priority'!$C$7,$F213&lt;='07-Paper Priority'!$D$7),AND($E213&lt;='07-Paper Priority'!$D$7,$F213&lt;='07-Paper Priority'!$C$7))),'07-Paper Priority'!$A$7,"")</f>
        <v/>
      </c>
      <c r="V213" t="str">
        <f>IF(AND('07-Paper Priority'!$A$8&gt;=MATCH($J213,'07-Paper Priority'!$B$5:$B$26,0),OR(AND($E213&lt;='07-Paper Priority'!$C$8,$F213&lt;='07-Paper Priority'!$D$8),AND($E213&lt;='07-Paper Priority'!$D$8,$F213&lt;='07-Paper Priority'!$C$8))),'07-Paper Priority'!$A$8,"")</f>
        <v/>
      </c>
      <c r="W213" t="str">
        <f>IF(AND('07-Paper Priority'!$A$9&gt;=MATCH($J213,'07-Paper Priority'!$B$5:$B$26,0),OR(AND($E213&lt;='07-Paper Priority'!$C$9,$F213&lt;='07-Paper Priority'!$D$9),AND($E213&lt;='07-Paper Priority'!$D$9,$F213&lt;='07-Paper Priority'!$C$9))),'07-Paper Priority'!$A$9,"")</f>
        <v/>
      </c>
      <c r="X213" t="str">
        <f>IF(AND('07-Paper Priority'!$A$10&gt;=MATCH($J213,'07-Paper Priority'!$B$5:$B$26,0),OR(AND($E213&lt;='07-Paper Priority'!$C$10,$F213&lt;='07-Paper Priority'!$D$10),AND($E213&lt;='07-Paper Priority'!$D$10,$F213&lt;='07-Paper Priority'!$C$10))),'07-Paper Priority'!$A$10,"")</f>
        <v/>
      </c>
      <c r="Y213" t="str">
        <f>IF(AND('07-Paper Priority'!$A$11&gt;=MATCH($J213,'07-Paper Priority'!$B$5:$B$26,0),OR(AND($E213&lt;='07-Paper Priority'!$C$11,$F213&lt;='07-Paper Priority'!$D$11),AND($E213&lt;='07-Paper Priority'!$D$11,$F213&lt;='07-Paper Priority'!$C$11))),'07-Paper Priority'!$A$11,"")</f>
        <v/>
      </c>
      <c r="Z213" t="str">
        <f>IF(AND('07-Paper Priority'!$A$12&gt;=MATCH($J213,'07-Paper Priority'!$B$5:$B$26,0),OR(AND($E213&lt;='07-Paper Priority'!$C$12,$F213&lt;='07-Paper Priority'!$D$12),AND($E213&lt;='07-Paper Priority'!$D$12,$F213&lt;='07-Paper Priority'!$C$12))),'07-Paper Priority'!$A$12,"")</f>
        <v/>
      </c>
      <c r="AA213" t="str">
        <f>IF(AND('07-Paper Priority'!$A$13&gt;=MATCH($J213,'07-Paper Priority'!$B$5:$B$26,0),OR(AND($E213&lt;='07-Paper Priority'!$C$13,$F213&lt;='07-Paper Priority'!$D$13),AND($E213&lt;='07-Paper Priority'!$D$13,$F213&lt;='07-Paper Priority'!$C$13))),'07-Paper Priority'!$A$13,"")</f>
        <v/>
      </c>
      <c r="AB213" t="str">
        <f>IF(AND('07-Paper Priority'!$A$14&gt;=MATCH($J213,'07-Paper Priority'!$B$5:$B$26,0),OR(AND($E213&lt;='07-Paper Priority'!$C$14,$F213&lt;='07-Paper Priority'!$D$14),AND($E213&lt;='07-Paper Priority'!$D$14,$F213&lt;='07-Paper Priority'!$C$14))),'07-Paper Priority'!$A$14,"")</f>
        <v/>
      </c>
      <c r="AC213" t="str">
        <f>IF(AND('07-Paper Priority'!$A$15&gt;=MATCH($J213,'07-Paper Priority'!$B$5:$B$26,0),OR(AND($E213&lt;='07-Paper Priority'!$C$15,$F213&lt;='07-Paper Priority'!$D$15),AND($E213&lt;='07-Paper Priority'!$D$15,$F213&lt;='07-Paper Priority'!$C$15))),'07-Paper Priority'!$A$15,"")</f>
        <v/>
      </c>
      <c r="AD213" t="str">
        <f>IF(AND('07-Paper Priority'!$A$16&gt;=MATCH($J213,'07-Paper Priority'!$B$5:$B$26,0),OR(AND($E213&lt;='07-Paper Priority'!$C$16,$F213&lt;='07-Paper Priority'!$D$16),AND($E213&lt;='07-Paper Priority'!$D$16,$F213&lt;='07-Paper Priority'!$C$16))),'07-Paper Priority'!$A$16,"")</f>
        <v/>
      </c>
      <c r="AE213" t="str">
        <f>IF(AND('07-Paper Priority'!$A$17&gt;=MATCH($J213,'07-Paper Priority'!$B$5:$B$26,0),OR(AND($E213&lt;='07-Paper Priority'!$C$17,$F213&lt;='07-Paper Priority'!$D$17),AND($E213&lt;='07-Paper Priority'!$D$17,$F213&lt;='07-Paper Priority'!$C$17))),'07-Paper Priority'!$A$17,"")</f>
        <v/>
      </c>
      <c r="AF213" t="str">
        <f>IF(AND('07-Paper Priority'!$A$18&gt;=MATCH($J213,'07-Paper Priority'!$B$5:$B$26,0),OR(AND($E213&lt;='07-Paper Priority'!$C$18,$F213&lt;='07-Paper Priority'!$D$18),AND($E213&lt;='07-Paper Priority'!$D$18,$F213&lt;='07-Paper Priority'!$C$18))),'07-Paper Priority'!$A$18,"")</f>
        <v/>
      </c>
      <c r="AG213">
        <f>IF(AND('07-Paper Priority'!$A$19&gt;=MATCH($J213,'07-Paper Priority'!$B$5:$B$26,0),OR(AND($E213&lt;='07-Paper Priority'!$C$19,$F213&lt;='07-Paper Priority'!$D$19),AND($E213&lt;='07-Paper Priority'!$D$19,$F213&lt;='07-Paper Priority'!$C$19))),'07-Paper Priority'!$A$19,"")</f>
        <v>15</v>
      </c>
      <c r="AH213">
        <f>IF(AND('07-Paper Priority'!$A$20&gt;=MATCH($J213,'07-Paper Priority'!$B$5:$B$26,0),OR(AND($E213&lt;='07-Paper Priority'!$C$20,$F213&lt;='07-Paper Priority'!$D$20),AND($E213&lt;='07-Paper Priority'!$D$20,$F213&lt;='07-Paper Priority'!$C$20))),'07-Paper Priority'!$A$20,"")</f>
        <v>16</v>
      </c>
      <c r="AI213">
        <f>IF(AND('07-Paper Priority'!$A$21&gt;=MATCH($J213,'07-Paper Priority'!$B$5:$B$26,0),OR(AND($E213&lt;='07-Paper Priority'!$C$21,$F213&lt;='07-Paper Priority'!$D$21),AND($E213&lt;='07-Paper Priority'!$D$21,$F213&lt;='07-Paper Priority'!$C$21))),'07-Paper Priority'!$A$21,"")</f>
        <v>17</v>
      </c>
      <c r="AJ213">
        <f>IF(AND('07-Paper Priority'!$A$22&gt;=MATCH($J213,'07-Paper Priority'!$B$5:$B$26,0),OR(AND($E213&lt;='07-Paper Priority'!$C$22,$F213&lt;='07-Paper Priority'!$D$22),AND($E213&lt;='07-Paper Priority'!$D$22,$F213&lt;='07-Paper Priority'!$C$22))),'07-Paper Priority'!$A$22,"")</f>
        <v>18</v>
      </c>
      <c r="AK213">
        <f>IF(AND('07-Paper Priority'!$A$23&gt;=MATCH($J213,'07-Paper Priority'!$B$5:$B$26,0),OR(AND($E213&lt;='07-Paper Priority'!$C$23,$F213&lt;='07-Paper Priority'!$D$23),AND($E213&lt;='07-Paper Priority'!$D$23,$F213&lt;='07-Paper Priority'!$C$23))),'07-Paper Priority'!$A$23,"")</f>
        <v>19</v>
      </c>
      <c r="AL213">
        <f>IF(AND('07-Paper Priority'!$A$24&gt;=MATCH($J213,'07-Paper Priority'!$B$5:$B$26,0),OR(AND($E213&lt;='07-Paper Priority'!$C$24,$F213&lt;='07-Paper Priority'!$D$24),AND($E213&lt;='07-Paper Priority'!$D$24,$F213&lt;='07-Paper Priority'!$C$24))),'07-Paper Priority'!$A$24,"")</f>
        <v>20</v>
      </c>
      <c r="AM213">
        <f>IF(AND('07-Paper Priority'!$A$25&gt;=MATCH($J213,'07-Paper Priority'!$B$5:$B$26,0),OR(AND($E213&lt;='07-Paper Priority'!$C$25,$F213&lt;='07-Paper Priority'!$D$25),AND($E213&lt;='07-Paper Priority'!$D$25,$F213&lt;='07-Paper Priority'!$C$25))),'07-Paper Priority'!$A$25,"")</f>
        <v>21</v>
      </c>
      <c r="AN213">
        <f>IF(AND('07-Paper Priority'!$A$26&gt;=MATCH($J213,'07-Paper Priority'!$B$5:$B$26,0),OR(AND($E213&lt;='07-Paper Priority'!$C$26,$F213&lt;='07-Paper Priority'!$D$26),AND($E213&lt;='07-Paper Priority'!$D$26,$F213&lt;='07-Paper Priority'!$C$26))),'07-Paper Priority'!$A$26,"")</f>
        <v>22</v>
      </c>
    </row>
    <row r="214" spans="1:40" ht="33.950000000000003" customHeight="1">
      <c r="A214" s="32" t="s">
        <v>2784</v>
      </c>
      <c r="B214" s="32" t="s">
        <v>2774</v>
      </c>
      <c r="C214" s="32" t="s">
        <v>2549</v>
      </c>
      <c r="D214" s="32" t="s">
        <v>2571</v>
      </c>
      <c r="E214" s="23">
        <v>320</v>
      </c>
      <c r="F214" s="23">
        <v>400</v>
      </c>
      <c r="G214" s="32" t="s">
        <v>2785</v>
      </c>
      <c r="H214" s="32" t="s">
        <v>2786</v>
      </c>
      <c r="I214" s="24" t="s">
        <v>2558</v>
      </c>
      <c r="J214" s="25" t="s">
        <v>1906</v>
      </c>
      <c r="K214" s="26" t="str">
        <f>IF(COUNT(S214:AN214)=0,"NO FIT",INDEX('07-Paper Priority'!$B$5:$B$26,MIN(S214:AN214)))</f>
        <v>B3</v>
      </c>
      <c r="L214" s="26" t="str">
        <f>IF($K214="NO FIT","",IF(AND($E214&lt;=INDEX('07-Paper Priority'!$C$5:$C$26,MATCH($K214,'07-Paper Priority'!$B$5:$B$26,0)),$F214&lt;=INDEX('07-Paper Priority'!$D$5:$D$26,MATCH($K214,'07-Paper Priority'!$B$5:$B$26,0))),"PORTRAIT","ROTATED"))</f>
        <v>PORTRAIT</v>
      </c>
      <c r="M214" s="27">
        <f>IF($K214="NO FIT","",IF($L214="PORTRAIT",INDEX('07-Paper Priority'!$C$5:$C$26,MATCH($K214,'07-Paper Priority'!$B$5:$B$26,0)),INDEX('07-Paper Priority'!$D$5:$D$26,MATCH($K214,'07-Paper Priority'!$B$5:$B$26,0))))</f>
        <v>353</v>
      </c>
      <c r="N214" s="27">
        <f>IF($K214="NO FIT","",IF($L214="PORTRAIT",INDEX('07-Paper Priority'!$D$5:$D$26,MATCH($K214,'07-Paper Priority'!$B$5:$B$26,0)),INDEX('07-Paper Priority'!$C$5:$C$26,MATCH($K214,'07-Paper Priority'!$B$5:$B$26,0))))</f>
        <v>500</v>
      </c>
      <c r="O214" s="27">
        <f>IF($K214="NO FIT","",$M214-$E214)</f>
        <v>33</v>
      </c>
      <c r="P214" s="27">
        <f>IF($K214="NO FIT","",$N214-$F214)</f>
        <v>100</v>
      </c>
      <c r="Q214" s="28" t="str">
        <f>IF($K214="NO FIT","REVIEW - NO PAPER FIT",IF(OR($O214&lt;0,$P214&lt;0),"ERROR - FIT",IF(COUNTIF('02-Printing Size'!$A$2:$A$2169,$K214)=0,"ERROR - CODE MISSING","VALID - LOWEST PAPER")))</f>
        <v>VALID - LOWEST PAPER</v>
      </c>
      <c r="R214" s="32" t="s">
        <v>2787</v>
      </c>
      <c r="S214" t="str">
        <f>IF(AND('07-Paper Priority'!$A$5&gt;=MATCH($J214,'07-Paper Priority'!$B$5:$B$26,0),OR(AND($E214&lt;='07-Paper Priority'!$C$5,$F214&lt;='07-Paper Priority'!$D$5),AND($E214&lt;='07-Paper Priority'!$D$5,$F214&lt;='07-Paper Priority'!$C$5))),'07-Paper Priority'!$A$5,"")</f>
        <v/>
      </c>
      <c r="T214" t="str">
        <f>IF(AND('07-Paper Priority'!$A$6&gt;=MATCH($J214,'07-Paper Priority'!$B$5:$B$26,0),OR(AND($E214&lt;='07-Paper Priority'!$C$6,$F214&lt;='07-Paper Priority'!$D$6),AND($E214&lt;='07-Paper Priority'!$D$6,$F214&lt;='07-Paper Priority'!$C$6))),'07-Paper Priority'!$A$6,"")</f>
        <v/>
      </c>
      <c r="U214" t="str">
        <f>IF(AND('07-Paper Priority'!$A$7&gt;=MATCH($J214,'07-Paper Priority'!$B$5:$B$26,0),OR(AND($E214&lt;='07-Paper Priority'!$C$7,$F214&lt;='07-Paper Priority'!$D$7),AND($E214&lt;='07-Paper Priority'!$D$7,$F214&lt;='07-Paper Priority'!$C$7))),'07-Paper Priority'!$A$7,"")</f>
        <v/>
      </c>
      <c r="V214" t="str">
        <f>IF(AND('07-Paper Priority'!$A$8&gt;=MATCH($J214,'07-Paper Priority'!$B$5:$B$26,0),OR(AND($E214&lt;='07-Paper Priority'!$C$8,$F214&lt;='07-Paper Priority'!$D$8),AND($E214&lt;='07-Paper Priority'!$D$8,$F214&lt;='07-Paper Priority'!$C$8))),'07-Paper Priority'!$A$8,"")</f>
        <v/>
      </c>
      <c r="W214" t="str">
        <f>IF(AND('07-Paper Priority'!$A$9&gt;=MATCH($J214,'07-Paper Priority'!$B$5:$B$26,0),OR(AND($E214&lt;='07-Paper Priority'!$C$9,$F214&lt;='07-Paper Priority'!$D$9),AND($E214&lt;='07-Paper Priority'!$D$9,$F214&lt;='07-Paper Priority'!$C$9))),'07-Paper Priority'!$A$9,"")</f>
        <v/>
      </c>
      <c r="X214" t="str">
        <f>IF(AND('07-Paper Priority'!$A$10&gt;=MATCH($J214,'07-Paper Priority'!$B$5:$B$26,0),OR(AND($E214&lt;='07-Paper Priority'!$C$10,$F214&lt;='07-Paper Priority'!$D$10),AND($E214&lt;='07-Paper Priority'!$D$10,$F214&lt;='07-Paper Priority'!$C$10))),'07-Paper Priority'!$A$10,"")</f>
        <v/>
      </c>
      <c r="Y214" t="str">
        <f>IF(AND('07-Paper Priority'!$A$11&gt;=MATCH($J214,'07-Paper Priority'!$B$5:$B$26,0),OR(AND($E214&lt;='07-Paper Priority'!$C$11,$F214&lt;='07-Paper Priority'!$D$11),AND($E214&lt;='07-Paper Priority'!$D$11,$F214&lt;='07-Paper Priority'!$C$11))),'07-Paper Priority'!$A$11,"")</f>
        <v/>
      </c>
      <c r="Z214" t="str">
        <f>IF(AND('07-Paper Priority'!$A$12&gt;=MATCH($J214,'07-Paper Priority'!$B$5:$B$26,0),OR(AND($E214&lt;='07-Paper Priority'!$C$12,$F214&lt;='07-Paper Priority'!$D$12),AND($E214&lt;='07-Paper Priority'!$D$12,$F214&lt;='07-Paper Priority'!$C$12))),'07-Paper Priority'!$A$12,"")</f>
        <v/>
      </c>
      <c r="AA214" t="str">
        <f>IF(AND('07-Paper Priority'!$A$13&gt;=MATCH($J214,'07-Paper Priority'!$B$5:$B$26,0),OR(AND($E214&lt;='07-Paper Priority'!$C$13,$F214&lt;='07-Paper Priority'!$D$13),AND($E214&lt;='07-Paper Priority'!$D$13,$F214&lt;='07-Paper Priority'!$C$13))),'07-Paper Priority'!$A$13,"")</f>
        <v/>
      </c>
      <c r="AB214" t="str">
        <f>IF(AND('07-Paper Priority'!$A$14&gt;=MATCH($J214,'07-Paper Priority'!$B$5:$B$26,0),OR(AND($E214&lt;='07-Paper Priority'!$C$14,$F214&lt;='07-Paper Priority'!$D$14),AND($E214&lt;='07-Paper Priority'!$D$14,$F214&lt;='07-Paper Priority'!$C$14))),'07-Paper Priority'!$A$14,"")</f>
        <v/>
      </c>
      <c r="AC214" t="str">
        <f>IF(AND('07-Paper Priority'!$A$15&gt;=MATCH($J214,'07-Paper Priority'!$B$5:$B$26,0),OR(AND($E214&lt;='07-Paper Priority'!$C$15,$F214&lt;='07-Paper Priority'!$D$15),AND($E214&lt;='07-Paper Priority'!$D$15,$F214&lt;='07-Paper Priority'!$C$15))),'07-Paper Priority'!$A$15,"")</f>
        <v/>
      </c>
      <c r="AD214" t="str">
        <f>IF(AND('07-Paper Priority'!$A$16&gt;=MATCH($J214,'07-Paper Priority'!$B$5:$B$26,0),OR(AND($E214&lt;='07-Paper Priority'!$C$16,$F214&lt;='07-Paper Priority'!$D$16),AND($E214&lt;='07-Paper Priority'!$D$16,$F214&lt;='07-Paper Priority'!$C$16))),'07-Paper Priority'!$A$16,"")</f>
        <v/>
      </c>
      <c r="AE214" t="str">
        <f>IF(AND('07-Paper Priority'!$A$17&gt;=MATCH($J214,'07-Paper Priority'!$B$5:$B$26,0),OR(AND($E214&lt;='07-Paper Priority'!$C$17,$F214&lt;='07-Paper Priority'!$D$17),AND($E214&lt;='07-Paper Priority'!$D$17,$F214&lt;='07-Paper Priority'!$C$17))),'07-Paper Priority'!$A$17,"")</f>
        <v/>
      </c>
      <c r="AF214" t="str">
        <f>IF(AND('07-Paper Priority'!$A$18&gt;=MATCH($J214,'07-Paper Priority'!$B$5:$B$26,0),OR(AND($E214&lt;='07-Paper Priority'!$C$18,$F214&lt;='07-Paper Priority'!$D$18),AND($E214&lt;='07-Paper Priority'!$D$18,$F214&lt;='07-Paper Priority'!$C$18))),'07-Paper Priority'!$A$18,"")</f>
        <v/>
      </c>
      <c r="AG214" t="str">
        <f>IF(AND('07-Paper Priority'!$A$19&gt;=MATCH($J214,'07-Paper Priority'!$B$5:$B$26,0),OR(AND($E214&lt;='07-Paper Priority'!$C$19,$F214&lt;='07-Paper Priority'!$D$19),AND($E214&lt;='07-Paper Priority'!$D$19,$F214&lt;='07-Paper Priority'!$C$19))),'07-Paper Priority'!$A$19,"")</f>
        <v/>
      </c>
      <c r="AH214">
        <f>IF(AND('07-Paper Priority'!$A$20&gt;=MATCH($J214,'07-Paper Priority'!$B$5:$B$26,0),OR(AND($E214&lt;='07-Paper Priority'!$C$20,$F214&lt;='07-Paper Priority'!$D$20),AND($E214&lt;='07-Paper Priority'!$D$20,$F214&lt;='07-Paper Priority'!$C$20))),'07-Paper Priority'!$A$20,"")</f>
        <v>16</v>
      </c>
      <c r="AI214">
        <f>IF(AND('07-Paper Priority'!$A$21&gt;=MATCH($J214,'07-Paper Priority'!$B$5:$B$26,0),OR(AND($E214&lt;='07-Paper Priority'!$C$21,$F214&lt;='07-Paper Priority'!$D$21),AND($E214&lt;='07-Paper Priority'!$D$21,$F214&lt;='07-Paper Priority'!$C$21))),'07-Paper Priority'!$A$21,"")</f>
        <v>17</v>
      </c>
      <c r="AJ214">
        <f>IF(AND('07-Paper Priority'!$A$22&gt;=MATCH($J214,'07-Paper Priority'!$B$5:$B$26,0),OR(AND($E214&lt;='07-Paper Priority'!$C$22,$F214&lt;='07-Paper Priority'!$D$22),AND($E214&lt;='07-Paper Priority'!$D$22,$F214&lt;='07-Paper Priority'!$C$22))),'07-Paper Priority'!$A$22,"")</f>
        <v>18</v>
      </c>
      <c r="AK214">
        <f>IF(AND('07-Paper Priority'!$A$23&gt;=MATCH($J214,'07-Paper Priority'!$B$5:$B$26,0),OR(AND($E214&lt;='07-Paper Priority'!$C$23,$F214&lt;='07-Paper Priority'!$D$23),AND($E214&lt;='07-Paper Priority'!$D$23,$F214&lt;='07-Paper Priority'!$C$23))),'07-Paper Priority'!$A$23,"")</f>
        <v>19</v>
      </c>
      <c r="AL214">
        <f>IF(AND('07-Paper Priority'!$A$24&gt;=MATCH($J214,'07-Paper Priority'!$B$5:$B$26,0),OR(AND($E214&lt;='07-Paper Priority'!$C$24,$F214&lt;='07-Paper Priority'!$D$24),AND($E214&lt;='07-Paper Priority'!$D$24,$F214&lt;='07-Paper Priority'!$C$24))),'07-Paper Priority'!$A$24,"")</f>
        <v>20</v>
      </c>
      <c r="AM214">
        <f>IF(AND('07-Paper Priority'!$A$25&gt;=MATCH($J214,'07-Paper Priority'!$B$5:$B$26,0),OR(AND($E214&lt;='07-Paper Priority'!$C$25,$F214&lt;='07-Paper Priority'!$D$25),AND($E214&lt;='07-Paper Priority'!$D$25,$F214&lt;='07-Paper Priority'!$C$25))),'07-Paper Priority'!$A$25,"")</f>
        <v>21</v>
      </c>
      <c r="AN214">
        <f>IF(AND('07-Paper Priority'!$A$26&gt;=MATCH($J214,'07-Paper Priority'!$B$5:$B$26,0),OR(AND($E214&lt;='07-Paper Priority'!$C$26,$F214&lt;='07-Paper Priority'!$D$26),AND($E214&lt;='07-Paper Priority'!$D$26,$F214&lt;='07-Paper Priority'!$C$26))),'07-Paper Priority'!$A$26,"")</f>
        <v>22</v>
      </c>
    </row>
    <row r="215" spans="1:40" ht="33.950000000000003" customHeight="1">
      <c r="A215" s="32" t="s">
        <v>2788</v>
      </c>
      <c r="B215" s="32" t="s">
        <v>2774</v>
      </c>
      <c r="C215" s="32" t="s">
        <v>2549</v>
      </c>
      <c r="D215" s="32" t="s">
        <v>2611</v>
      </c>
      <c r="E215" s="23">
        <v>300</v>
      </c>
      <c r="F215" s="23">
        <v>400</v>
      </c>
      <c r="G215" s="32" t="s">
        <v>2724</v>
      </c>
      <c r="H215" s="32" t="s">
        <v>2789</v>
      </c>
      <c r="I215" s="24" t="s">
        <v>64</v>
      </c>
      <c r="J215" s="25" t="s">
        <v>1906</v>
      </c>
      <c r="K215" s="26" t="str">
        <f>IF(COUNT(S215:AN215)=0,"NO FIT",INDEX('07-Paper Priority'!$B$5:$B$26,MIN(S215:AN215)))</f>
        <v>B3</v>
      </c>
      <c r="L215" s="26" t="str">
        <f>IF($K215="NO FIT","",IF(AND($E215&lt;=INDEX('07-Paper Priority'!$C$5:$C$26,MATCH($K215,'07-Paper Priority'!$B$5:$B$26,0)),$F215&lt;=INDEX('07-Paper Priority'!$D$5:$D$26,MATCH($K215,'07-Paper Priority'!$B$5:$B$26,0))),"PORTRAIT","ROTATED"))</f>
        <v>PORTRAIT</v>
      </c>
      <c r="M215" s="27">
        <f>IF($K215="NO FIT","",IF($L215="PORTRAIT",INDEX('07-Paper Priority'!$C$5:$C$26,MATCH($K215,'07-Paper Priority'!$B$5:$B$26,0)),INDEX('07-Paper Priority'!$D$5:$D$26,MATCH($K215,'07-Paper Priority'!$B$5:$B$26,0))))</f>
        <v>353</v>
      </c>
      <c r="N215" s="27">
        <f>IF($K215="NO FIT","",IF($L215="PORTRAIT",INDEX('07-Paper Priority'!$D$5:$D$26,MATCH($K215,'07-Paper Priority'!$B$5:$B$26,0)),INDEX('07-Paper Priority'!$C$5:$C$26,MATCH($K215,'07-Paper Priority'!$B$5:$B$26,0))))</f>
        <v>500</v>
      </c>
      <c r="O215" s="27">
        <f>IF($K215="NO FIT","",$M215-$E215)</f>
        <v>53</v>
      </c>
      <c r="P215" s="27">
        <f>IF($K215="NO FIT","",$N215-$F215)</f>
        <v>100</v>
      </c>
      <c r="Q215" s="28" t="str">
        <f>IF($K215="NO FIT","REVIEW - NO PAPER FIT",IF(OR($O215&lt;0,$P215&lt;0),"ERROR - FIT",IF(COUNTIF('02-Printing Size'!$A$2:$A$2169,$K215)=0,"ERROR - CODE MISSING","VALID - LOWEST PAPER")))</f>
        <v>VALID - LOWEST PAPER</v>
      </c>
      <c r="R215" s="32" t="s">
        <v>2726</v>
      </c>
      <c r="S215" t="str">
        <f>IF(AND('07-Paper Priority'!$A$5&gt;=MATCH($J215,'07-Paper Priority'!$B$5:$B$26,0),OR(AND($E215&lt;='07-Paper Priority'!$C$5,$F215&lt;='07-Paper Priority'!$D$5),AND($E215&lt;='07-Paper Priority'!$D$5,$F215&lt;='07-Paper Priority'!$C$5))),'07-Paper Priority'!$A$5,"")</f>
        <v/>
      </c>
      <c r="T215" t="str">
        <f>IF(AND('07-Paper Priority'!$A$6&gt;=MATCH($J215,'07-Paper Priority'!$B$5:$B$26,0),OR(AND($E215&lt;='07-Paper Priority'!$C$6,$F215&lt;='07-Paper Priority'!$D$6),AND($E215&lt;='07-Paper Priority'!$D$6,$F215&lt;='07-Paper Priority'!$C$6))),'07-Paper Priority'!$A$6,"")</f>
        <v/>
      </c>
      <c r="U215" t="str">
        <f>IF(AND('07-Paper Priority'!$A$7&gt;=MATCH($J215,'07-Paper Priority'!$B$5:$B$26,0),OR(AND($E215&lt;='07-Paper Priority'!$C$7,$F215&lt;='07-Paper Priority'!$D$7),AND($E215&lt;='07-Paper Priority'!$D$7,$F215&lt;='07-Paper Priority'!$C$7))),'07-Paper Priority'!$A$7,"")</f>
        <v/>
      </c>
      <c r="V215" t="str">
        <f>IF(AND('07-Paper Priority'!$A$8&gt;=MATCH($J215,'07-Paper Priority'!$B$5:$B$26,0),OR(AND($E215&lt;='07-Paper Priority'!$C$8,$F215&lt;='07-Paper Priority'!$D$8),AND($E215&lt;='07-Paper Priority'!$D$8,$F215&lt;='07-Paper Priority'!$C$8))),'07-Paper Priority'!$A$8,"")</f>
        <v/>
      </c>
      <c r="W215" t="str">
        <f>IF(AND('07-Paper Priority'!$A$9&gt;=MATCH($J215,'07-Paper Priority'!$B$5:$B$26,0),OR(AND($E215&lt;='07-Paper Priority'!$C$9,$F215&lt;='07-Paper Priority'!$D$9),AND($E215&lt;='07-Paper Priority'!$D$9,$F215&lt;='07-Paper Priority'!$C$9))),'07-Paper Priority'!$A$9,"")</f>
        <v/>
      </c>
      <c r="X215" t="str">
        <f>IF(AND('07-Paper Priority'!$A$10&gt;=MATCH($J215,'07-Paper Priority'!$B$5:$B$26,0),OR(AND($E215&lt;='07-Paper Priority'!$C$10,$F215&lt;='07-Paper Priority'!$D$10),AND($E215&lt;='07-Paper Priority'!$D$10,$F215&lt;='07-Paper Priority'!$C$10))),'07-Paper Priority'!$A$10,"")</f>
        <v/>
      </c>
      <c r="Y215" t="str">
        <f>IF(AND('07-Paper Priority'!$A$11&gt;=MATCH($J215,'07-Paper Priority'!$B$5:$B$26,0),OR(AND($E215&lt;='07-Paper Priority'!$C$11,$F215&lt;='07-Paper Priority'!$D$11),AND($E215&lt;='07-Paper Priority'!$D$11,$F215&lt;='07-Paper Priority'!$C$11))),'07-Paper Priority'!$A$11,"")</f>
        <v/>
      </c>
      <c r="Z215" t="str">
        <f>IF(AND('07-Paper Priority'!$A$12&gt;=MATCH($J215,'07-Paper Priority'!$B$5:$B$26,0),OR(AND($E215&lt;='07-Paper Priority'!$C$12,$F215&lt;='07-Paper Priority'!$D$12),AND($E215&lt;='07-Paper Priority'!$D$12,$F215&lt;='07-Paper Priority'!$C$12))),'07-Paper Priority'!$A$12,"")</f>
        <v/>
      </c>
      <c r="AA215" t="str">
        <f>IF(AND('07-Paper Priority'!$A$13&gt;=MATCH($J215,'07-Paper Priority'!$B$5:$B$26,0),OR(AND($E215&lt;='07-Paper Priority'!$C$13,$F215&lt;='07-Paper Priority'!$D$13),AND($E215&lt;='07-Paper Priority'!$D$13,$F215&lt;='07-Paper Priority'!$C$13))),'07-Paper Priority'!$A$13,"")</f>
        <v/>
      </c>
      <c r="AB215" t="str">
        <f>IF(AND('07-Paper Priority'!$A$14&gt;=MATCH($J215,'07-Paper Priority'!$B$5:$B$26,0),OR(AND($E215&lt;='07-Paper Priority'!$C$14,$F215&lt;='07-Paper Priority'!$D$14),AND($E215&lt;='07-Paper Priority'!$D$14,$F215&lt;='07-Paper Priority'!$C$14))),'07-Paper Priority'!$A$14,"")</f>
        <v/>
      </c>
      <c r="AC215" t="str">
        <f>IF(AND('07-Paper Priority'!$A$15&gt;=MATCH($J215,'07-Paper Priority'!$B$5:$B$26,0),OR(AND($E215&lt;='07-Paper Priority'!$C$15,$F215&lt;='07-Paper Priority'!$D$15),AND($E215&lt;='07-Paper Priority'!$D$15,$F215&lt;='07-Paper Priority'!$C$15))),'07-Paper Priority'!$A$15,"")</f>
        <v/>
      </c>
      <c r="AD215" t="str">
        <f>IF(AND('07-Paper Priority'!$A$16&gt;=MATCH($J215,'07-Paper Priority'!$B$5:$B$26,0),OR(AND($E215&lt;='07-Paper Priority'!$C$16,$F215&lt;='07-Paper Priority'!$D$16),AND($E215&lt;='07-Paper Priority'!$D$16,$F215&lt;='07-Paper Priority'!$C$16))),'07-Paper Priority'!$A$16,"")</f>
        <v/>
      </c>
      <c r="AE215" t="str">
        <f>IF(AND('07-Paper Priority'!$A$17&gt;=MATCH($J215,'07-Paper Priority'!$B$5:$B$26,0),OR(AND($E215&lt;='07-Paper Priority'!$C$17,$F215&lt;='07-Paper Priority'!$D$17),AND($E215&lt;='07-Paper Priority'!$D$17,$F215&lt;='07-Paper Priority'!$C$17))),'07-Paper Priority'!$A$17,"")</f>
        <v/>
      </c>
      <c r="AF215" t="str">
        <f>IF(AND('07-Paper Priority'!$A$18&gt;=MATCH($J215,'07-Paper Priority'!$B$5:$B$26,0),OR(AND($E215&lt;='07-Paper Priority'!$C$18,$F215&lt;='07-Paper Priority'!$D$18),AND($E215&lt;='07-Paper Priority'!$D$18,$F215&lt;='07-Paper Priority'!$C$18))),'07-Paper Priority'!$A$18,"")</f>
        <v/>
      </c>
      <c r="AG215" t="str">
        <f>IF(AND('07-Paper Priority'!$A$19&gt;=MATCH($J215,'07-Paper Priority'!$B$5:$B$26,0),OR(AND($E215&lt;='07-Paper Priority'!$C$19,$F215&lt;='07-Paper Priority'!$D$19),AND($E215&lt;='07-Paper Priority'!$D$19,$F215&lt;='07-Paper Priority'!$C$19))),'07-Paper Priority'!$A$19,"")</f>
        <v/>
      </c>
      <c r="AH215">
        <f>IF(AND('07-Paper Priority'!$A$20&gt;=MATCH($J215,'07-Paper Priority'!$B$5:$B$26,0),OR(AND($E215&lt;='07-Paper Priority'!$C$20,$F215&lt;='07-Paper Priority'!$D$20),AND($E215&lt;='07-Paper Priority'!$D$20,$F215&lt;='07-Paper Priority'!$C$20))),'07-Paper Priority'!$A$20,"")</f>
        <v>16</v>
      </c>
      <c r="AI215">
        <f>IF(AND('07-Paper Priority'!$A$21&gt;=MATCH($J215,'07-Paper Priority'!$B$5:$B$26,0),OR(AND($E215&lt;='07-Paper Priority'!$C$21,$F215&lt;='07-Paper Priority'!$D$21),AND($E215&lt;='07-Paper Priority'!$D$21,$F215&lt;='07-Paper Priority'!$C$21))),'07-Paper Priority'!$A$21,"")</f>
        <v>17</v>
      </c>
      <c r="AJ215">
        <f>IF(AND('07-Paper Priority'!$A$22&gt;=MATCH($J215,'07-Paper Priority'!$B$5:$B$26,0),OR(AND($E215&lt;='07-Paper Priority'!$C$22,$F215&lt;='07-Paper Priority'!$D$22),AND($E215&lt;='07-Paper Priority'!$D$22,$F215&lt;='07-Paper Priority'!$C$22))),'07-Paper Priority'!$A$22,"")</f>
        <v>18</v>
      </c>
      <c r="AK215">
        <f>IF(AND('07-Paper Priority'!$A$23&gt;=MATCH($J215,'07-Paper Priority'!$B$5:$B$26,0),OR(AND($E215&lt;='07-Paper Priority'!$C$23,$F215&lt;='07-Paper Priority'!$D$23),AND($E215&lt;='07-Paper Priority'!$D$23,$F215&lt;='07-Paper Priority'!$C$23))),'07-Paper Priority'!$A$23,"")</f>
        <v>19</v>
      </c>
      <c r="AL215">
        <f>IF(AND('07-Paper Priority'!$A$24&gt;=MATCH($J215,'07-Paper Priority'!$B$5:$B$26,0),OR(AND($E215&lt;='07-Paper Priority'!$C$24,$F215&lt;='07-Paper Priority'!$D$24),AND($E215&lt;='07-Paper Priority'!$D$24,$F215&lt;='07-Paper Priority'!$C$24))),'07-Paper Priority'!$A$24,"")</f>
        <v>20</v>
      </c>
      <c r="AM215">
        <f>IF(AND('07-Paper Priority'!$A$25&gt;=MATCH($J215,'07-Paper Priority'!$B$5:$B$26,0),OR(AND($E215&lt;='07-Paper Priority'!$C$25,$F215&lt;='07-Paper Priority'!$D$25),AND($E215&lt;='07-Paper Priority'!$D$25,$F215&lt;='07-Paper Priority'!$C$25))),'07-Paper Priority'!$A$25,"")</f>
        <v>21</v>
      </c>
      <c r="AN215">
        <f>IF(AND('07-Paper Priority'!$A$26&gt;=MATCH($J215,'07-Paper Priority'!$B$5:$B$26,0),OR(AND($E215&lt;='07-Paper Priority'!$C$26,$F215&lt;='07-Paper Priority'!$D$26),AND($E215&lt;='07-Paper Priority'!$D$26,$F215&lt;='07-Paper Priority'!$C$26))),'07-Paper Priority'!$A$26,"")</f>
        <v>22</v>
      </c>
    </row>
    <row r="216" spans="1:40" ht="33.950000000000003" customHeight="1">
      <c r="A216" s="32" t="s">
        <v>2790</v>
      </c>
      <c r="B216" s="32" t="s">
        <v>2774</v>
      </c>
      <c r="C216" s="32" t="s">
        <v>2549</v>
      </c>
      <c r="D216" s="32" t="s">
        <v>2611</v>
      </c>
      <c r="E216" s="23">
        <v>250</v>
      </c>
      <c r="F216" s="23">
        <v>120</v>
      </c>
      <c r="G216" s="32" t="s">
        <v>2588</v>
      </c>
      <c r="H216" s="32" t="s">
        <v>2791</v>
      </c>
      <c r="I216" s="24" t="s">
        <v>2558</v>
      </c>
      <c r="J216" s="25" t="s">
        <v>504</v>
      </c>
      <c r="K216" s="26" t="str">
        <f>IF(COUNT(S216:AN216)=0,"NO FIT",INDEX('07-Paper Priority'!$B$5:$B$26,MIN(S216:AN216)))</f>
        <v>A4</v>
      </c>
      <c r="L216" s="26" t="str">
        <f>IF($K216="NO FIT","",IF(AND($E216&lt;=INDEX('07-Paper Priority'!$C$5:$C$26,MATCH($K216,'07-Paper Priority'!$B$5:$B$26,0)),$F216&lt;=INDEX('07-Paper Priority'!$D$5:$D$26,MATCH($K216,'07-Paper Priority'!$B$5:$B$26,0))),"PORTRAIT","ROTATED"))</f>
        <v>ROTATED</v>
      </c>
      <c r="M216" s="27">
        <f>IF($K216="NO FIT","",IF($L216="PORTRAIT",INDEX('07-Paper Priority'!$C$5:$C$26,MATCH($K216,'07-Paper Priority'!$B$5:$B$26,0)),INDEX('07-Paper Priority'!$D$5:$D$26,MATCH($K216,'07-Paper Priority'!$B$5:$B$26,0))))</f>
        <v>297</v>
      </c>
      <c r="N216" s="27">
        <f>IF($K216="NO FIT","",IF($L216="PORTRAIT",INDEX('07-Paper Priority'!$D$5:$D$26,MATCH($K216,'07-Paper Priority'!$B$5:$B$26,0)),INDEX('07-Paper Priority'!$C$5:$C$26,MATCH($K216,'07-Paper Priority'!$B$5:$B$26,0))))</f>
        <v>210</v>
      </c>
      <c r="O216" s="27">
        <f>IF($K216="NO FIT","",$M216-$E216)</f>
        <v>47</v>
      </c>
      <c r="P216" s="27">
        <f>IF($K216="NO FIT","",$N216-$F216)</f>
        <v>90</v>
      </c>
      <c r="Q216" s="28" t="str">
        <f>IF($K216="NO FIT","REVIEW - NO PAPER FIT",IF(OR($O216&lt;0,$P216&lt;0),"ERROR - FIT",IF(COUNTIF('02-Printing Size'!$A$2:$A$2169,$K216)=0,"ERROR - CODE MISSING","VALID - LOWEST PAPER")))</f>
        <v>VALID - LOWEST PAPER</v>
      </c>
      <c r="R216" s="32" t="s">
        <v>2730</v>
      </c>
      <c r="S216" t="str">
        <f>IF(AND('07-Paper Priority'!$A$5&gt;=MATCH($J216,'07-Paper Priority'!$B$5:$B$26,0),OR(AND($E216&lt;='07-Paper Priority'!$C$5,$F216&lt;='07-Paper Priority'!$D$5),AND($E216&lt;='07-Paper Priority'!$D$5,$F216&lt;='07-Paper Priority'!$C$5))),'07-Paper Priority'!$A$5,"")</f>
        <v/>
      </c>
      <c r="T216" t="str">
        <f>IF(AND('07-Paper Priority'!$A$6&gt;=MATCH($J216,'07-Paper Priority'!$B$5:$B$26,0),OR(AND($E216&lt;='07-Paper Priority'!$C$6,$F216&lt;='07-Paper Priority'!$D$6),AND($E216&lt;='07-Paper Priority'!$D$6,$F216&lt;='07-Paper Priority'!$C$6))),'07-Paper Priority'!$A$6,"")</f>
        <v/>
      </c>
      <c r="U216" t="str">
        <f>IF(AND('07-Paper Priority'!$A$7&gt;=MATCH($J216,'07-Paper Priority'!$B$5:$B$26,0),OR(AND($E216&lt;='07-Paper Priority'!$C$7,$F216&lt;='07-Paper Priority'!$D$7),AND($E216&lt;='07-Paper Priority'!$D$7,$F216&lt;='07-Paper Priority'!$C$7))),'07-Paper Priority'!$A$7,"")</f>
        <v/>
      </c>
      <c r="V216" t="str">
        <f>IF(AND('07-Paper Priority'!$A$8&gt;=MATCH($J216,'07-Paper Priority'!$B$5:$B$26,0),OR(AND($E216&lt;='07-Paper Priority'!$C$8,$F216&lt;='07-Paper Priority'!$D$8),AND($E216&lt;='07-Paper Priority'!$D$8,$F216&lt;='07-Paper Priority'!$C$8))),'07-Paper Priority'!$A$8,"")</f>
        <v/>
      </c>
      <c r="W216" t="str">
        <f>IF(AND('07-Paper Priority'!$A$9&gt;=MATCH($J216,'07-Paper Priority'!$B$5:$B$26,0),OR(AND($E216&lt;='07-Paper Priority'!$C$9,$F216&lt;='07-Paper Priority'!$D$9),AND($E216&lt;='07-Paper Priority'!$D$9,$F216&lt;='07-Paper Priority'!$C$9))),'07-Paper Priority'!$A$9,"")</f>
        <v/>
      </c>
      <c r="X216" t="str">
        <f>IF(AND('07-Paper Priority'!$A$10&gt;=MATCH($J216,'07-Paper Priority'!$B$5:$B$26,0),OR(AND($E216&lt;='07-Paper Priority'!$C$10,$F216&lt;='07-Paper Priority'!$D$10),AND($E216&lt;='07-Paper Priority'!$D$10,$F216&lt;='07-Paper Priority'!$C$10))),'07-Paper Priority'!$A$10,"")</f>
        <v/>
      </c>
      <c r="Y216" t="str">
        <f>IF(AND('07-Paper Priority'!$A$11&gt;=MATCH($J216,'07-Paper Priority'!$B$5:$B$26,0),OR(AND($E216&lt;='07-Paper Priority'!$C$11,$F216&lt;='07-Paper Priority'!$D$11),AND($E216&lt;='07-Paper Priority'!$D$11,$F216&lt;='07-Paper Priority'!$C$11))),'07-Paper Priority'!$A$11,"")</f>
        <v/>
      </c>
      <c r="Z216" t="str">
        <f>IF(AND('07-Paper Priority'!$A$12&gt;=MATCH($J216,'07-Paper Priority'!$B$5:$B$26,0),OR(AND($E216&lt;='07-Paper Priority'!$C$12,$F216&lt;='07-Paper Priority'!$D$12),AND($E216&lt;='07-Paper Priority'!$D$12,$F216&lt;='07-Paper Priority'!$C$12))),'07-Paper Priority'!$A$12,"")</f>
        <v/>
      </c>
      <c r="AA216" t="str">
        <f>IF(AND('07-Paper Priority'!$A$13&gt;=MATCH($J216,'07-Paper Priority'!$B$5:$B$26,0),OR(AND($E216&lt;='07-Paper Priority'!$C$13,$F216&lt;='07-Paper Priority'!$D$13),AND($E216&lt;='07-Paper Priority'!$D$13,$F216&lt;='07-Paper Priority'!$C$13))),'07-Paper Priority'!$A$13,"")</f>
        <v/>
      </c>
      <c r="AB216" t="str">
        <f>IF(AND('07-Paper Priority'!$A$14&gt;=MATCH($J216,'07-Paper Priority'!$B$5:$B$26,0),OR(AND($E216&lt;='07-Paper Priority'!$C$14,$F216&lt;='07-Paper Priority'!$D$14),AND($E216&lt;='07-Paper Priority'!$D$14,$F216&lt;='07-Paper Priority'!$C$14))),'07-Paper Priority'!$A$14,"")</f>
        <v/>
      </c>
      <c r="AC216" t="str">
        <f>IF(AND('07-Paper Priority'!$A$15&gt;=MATCH($J216,'07-Paper Priority'!$B$5:$B$26,0),OR(AND($E216&lt;='07-Paper Priority'!$C$15,$F216&lt;='07-Paper Priority'!$D$15),AND($E216&lt;='07-Paper Priority'!$D$15,$F216&lt;='07-Paper Priority'!$C$15))),'07-Paper Priority'!$A$15,"")</f>
        <v/>
      </c>
      <c r="AD216" t="str">
        <f>IF(AND('07-Paper Priority'!$A$16&gt;=MATCH($J216,'07-Paper Priority'!$B$5:$B$26,0),OR(AND($E216&lt;='07-Paper Priority'!$C$16,$F216&lt;='07-Paper Priority'!$D$16),AND($E216&lt;='07-Paper Priority'!$D$16,$F216&lt;='07-Paper Priority'!$C$16))),'07-Paper Priority'!$A$16,"")</f>
        <v/>
      </c>
      <c r="AE216">
        <f>IF(AND('07-Paper Priority'!$A$17&gt;=MATCH($J216,'07-Paper Priority'!$B$5:$B$26,0),OR(AND($E216&lt;='07-Paper Priority'!$C$17,$F216&lt;='07-Paper Priority'!$D$17),AND($E216&lt;='07-Paper Priority'!$D$17,$F216&lt;='07-Paper Priority'!$C$17))),'07-Paper Priority'!$A$17,"")</f>
        <v>13</v>
      </c>
      <c r="AF216">
        <f>IF(AND('07-Paper Priority'!$A$18&gt;=MATCH($J216,'07-Paper Priority'!$B$5:$B$26,0),OR(AND($E216&lt;='07-Paper Priority'!$C$18,$F216&lt;='07-Paper Priority'!$D$18),AND($E216&lt;='07-Paper Priority'!$D$18,$F216&lt;='07-Paper Priority'!$C$18))),'07-Paper Priority'!$A$18,"")</f>
        <v>14</v>
      </c>
      <c r="AG216">
        <f>IF(AND('07-Paper Priority'!$A$19&gt;=MATCH($J216,'07-Paper Priority'!$B$5:$B$26,0),OR(AND($E216&lt;='07-Paper Priority'!$C$19,$F216&lt;='07-Paper Priority'!$D$19),AND($E216&lt;='07-Paper Priority'!$D$19,$F216&lt;='07-Paper Priority'!$C$19))),'07-Paper Priority'!$A$19,"")</f>
        <v>15</v>
      </c>
      <c r="AH216">
        <f>IF(AND('07-Paper Priority'!$A$20&gt;=MATCH($J216,'07-Paper Priority'!$B$5:$B$26,0),OR(AND($E216&lt;='07-Paper Priority'!$C$20,$F216&lt;='07-Paper Priority'!$D$20),AND($E216&lt;='07-Paper Priority'!$D$20,$F216&lt;='07-Paper Priority'!$C$20))),'07-Paper Priority'!$A$20,"")</f>
        <v>16</v>
      </c>
      <c r="AI216">
        <f>IF(AND('07-Paper Priority'!$A$21&gt;=MATCH($J216,'07-Paper Priority'!$B$5:$B$26,0),OR(AND($E216&lt;='07-Paper Priority'!$C$21,$F216&lt;='07-Paper Priority'!$D$21),AND($E216&lt;='07-Paper Priority'!$D$21,$F216&lt;='07-Paper Priority'!$C$21))),'07-Paper Priority'!$A$21,"")</f>
        <v>17</v>
      </c>
      <c r="AJ216">
        <f>IF(AND('07-Paper Priority'!$A$22&gt;=MATCH($J216,'07-Paper Priority'!$B$5:$B$26,0),OR(AND($E216&lt;='07-Paper Priority'!$C$22,$F216&lt;='07-Paper Priority'!$D$22),AND($E216&lt;='07-Paper Priority'!$D$22,$F216&lt;='07-Paper Priority'!$C$22))),'07-Paper Priority'!$A$22,"")</f>
        <v>18</v>
      </c>
      <c r="AK216">
        <f>IF(AND('07-Paper Priority'!$A$23&gt;=MATCH($J216,'07-Paper Priority'!$B$5:$B$26,0),OR(AND($E216&lt;='07-Paper Priority'!$C$23,$F216&lt;='07-Paper Priority'!$D$23),AND($E216&lt;='07-Paper Priority'!$D$23,$F216&lt;='07-Paper Priority'!$C$23))),'07-Paper Priority'!$A$23,"")</f>
        <v>19</v>
      </c>
      <c r="AL216">
        <f>IF(AND('07-Paper Priority'!$A$24&gt;=MATCH($J216,'07-Paper Priority'!$B$5:$B$26,0),OR(AND($E216&lt;='07-Paper Priority'!$C$24,$F216&lt;='07-Paper Priority'!$D$24),AND($E216&lt;='07-Paper Priority'!$D$24,$F216&lt;='07-Paper Priority'!$C$24))),'07-Paper Priority'!$A$24,"")</f>
        <v>20</v>
      </c>
      <c r="AM216">
        <f>IF(AND('07-Paper Priority'!$A$25&gt;=MATCH($J216,'07-Paper Priority'!$B$5:$B$26,0),OR(AND($E216&lt;='07-Paper Priority'!$C$25,$F216&lt;='07-Paper Priority'!$D$25),AND($E216&lt;='07-Paper Priority'!$D$25,$F216&lt;='07-Paper Priority'!$C$25))),'07-Paper Priority'!$A$25,"")</f>
        <v>21</v>
      </c>
      <c r="AN216">
        <f>IF(AND('07-Paper Priority'!$A$26&gt;=MATCH($J216,'07-Paper Priority'!$B$5:$B$26,0),OR(AND($E216&lt;='07-Paper Priority'!$C$26,$F216&lt;='07-Paper Priority'!$D$26),AND($E216&lt;='07-Paper Priority'!$D$26,$F216&lt;='07-Paper Priority'!$C$26))),'07-Paper Priority'!$A$26,"")</f>
        <v>22</v>
      </c>
    </row>
    <row r="217" spans="1:40" ht="33.950000000000003" customHeight="1">
      <c r="A217" s="32" t="s">
        <v>2792</v>
      </c>
      <c r="B217" s="32" t="s">
        <v>2774</v>
      </c>
      <c r="C217" s="32" t="s">
        <v>2549</v>
      </c>
      <c r="D217" s="32" t="s">
        <v>2611</v>
      </c>
      <c r="E217" s="23">
        <v>70</v>
      </c>
      <c r="F217" s="23">
        <v>280</v>
      </c>
      <c r="G217" s="32" t="s">
        <v>2612</v>
      </c>
      <c r="H217" s="32" t="s">
        <v>2793</v>
      </c>
      <c r="I217" s="24" t="s">
        <v>2568</v>
      </c>
      <c r="J217" s="25" t="s">
        <v>504</v>
      </c>
      <c r="K217" s="26" t="str">
        <f>IF(COUNT(S217:AN217)=0,"NO FIT",INDEX('07-Paper Priority'!$B$5:$B$26,MIN(S217:AN217)))</f>
        <v>A4</v>
      </c>
      <c r="L217" s="26" t="str">
        <f>IF($K217="NO FIT","",IF(AND($E217&lt;=INDEX('07-Paper Priority'!$C$5:$C$26,MATCH($K217,'07-Paper Priority'!$B$5:$B$26,0)),$F217&lt;=INDEX('07-Paper Priority'!$D$5:$D$26,MATCH($K217,'07-Paper Priority'!$B$5:$B$26,0))),"PORTRAIT","ROTATED"))</f>
        <v>PORTRAIT</v>
      </c>
      <c r="M217" s="27">
        <f>IF($K217="NO FIT","",IF($L217="PORTRAIT",INDEX('07-Paper Priority'!$C$5:$C$26,MATCH($K217,'07-Paper Priority'!$B$5:$B$26,0)),INDEX('07-Paper Priority'!$D$5:$D$26,MATCH($K217,'07-Paper Priority'!$B$5:$B$26,0))))</f>
        <v>210</v>
      </c>
      <c r="N217" s="27">
        <f>IF($K217="NO FIT","",IF($L217="PORTRAIT",INDEX('07-Paper Priority'!$D$5:$D$26,MATCH($K217,'07-Paper Priority'!$B$5:$B$26,0)),INDEX('07-Paper Priority'!$C$5:$C$26,MATCH($K217,'07-Paper Priority'!$B$5:$B$26,0))))</f>
        <v>297</v>
      </c>
      <c r="O217" s="27">
        <f>IF($K217="NO FIT","",$M217-$E217)</f>
        <v>140</v>
      </c>
      <c r="P217" s="27">
        <f>IF($K217="NO FIT","",$N217-$F217)</f>
        <v>17</v>
      </c>
      <c r="Q217" s="28" t="str">
        <f>IF($K217="NO FIT","REVIEW - NO PAPER FIT",IF(OR($O217&lt;0,$P217&lt;0),"ERROR - FIT",IF(COUNTIF('02-Printing Size'!$A$2:$A$2169,$K217)=0,"ERROR - CODE MISSING","VALID - LOWEST PAPER")))</f>
        <v>VALID - LOWEST PAPER</v>
      </c>
      <c r="R217" s="32" t="s">
        <v>2746</v>
      </c>
      <c r="S217" t="str">
        <f>IF(AND('07-Paper Priority'!$A$5&gt;=MATCH($J217,'07-Paper Priority'!$B$5:$B$26,0),OR(AND($E217&lt;='07-Paper Priority'!$C$5,$F217&lt;='07-Paper Priority'!$D$5),AND($E217&lt;='07-Paper Priority'!$D$5,$F217&lt;='07-Paper Priority'!$C$5))),'07-Paper Priority'!$A$5,"")</f>
        <v/>
      </c>
      <c r="T217" t="str">
        <f>IF(AND('07-Paper Priority'!$A$6&gt;=MATCH($J217,'07-Paper Priority'!$B$5:$B$26,0),OR(AND($E217&lt;='07-Paper Priority'!$C$6,$F217&lt;='07-Paper Priority'!$D$6),AND($E217&lt;='07-Paper Priority'!$D$6,$F217&lt;='07-Paper Priority'!$C$6))),'07-Paper Priority'!$A$6,"")</f>
        <v/>
      </c>
      <c r="U217" t="str">
        <f>IF(AND('07-Paper Priority'!$A$7&gt;=MATCH($J217,'07-Paper Priority'!$B$5:$B$26,0),OR(AND($E217&lt;='07-Paper Priority'!$C$7,$F217&lt;='07-Paper Priority'!$D$7),AND($E217&lt;='07-Paper Priority'!$D$7,$F217&lt;='07-Paper Priority'!$C$7))),'07-Paper Priority'!$A$7,"")</f>
        <v/>
      </c>
      <c r="V217" t="str">
        <f>IF(AND('07-Paper Priority'!$A$8&gt;=MATCH($J217,'07-Paper Priority'!$B$5:$B$26,0),OR(AND($E217&lt;='07-Paper Priority'!$C$8,$F217&lt;='07-Paper Priority'!$D$8),AND($E217&lt;='07-Paper Priority'!$D$8,$F217&lt;='07-Paper Priority'!$C$8))),'07-Paper Priority'!$A$8,"")</f>
        <v/>
      </c>
      <c r="W217" t="str">
        <f>IF(AND('07-Paper Priority'!$A$9&gt;=MATCH($J217,'07-Paper Priority'!$B$5:$B$26,0),OR(AND($E217&lt;='07-Paper Priority'!$C$9,$F217&lt;='07-Paper Priority'!$D$9),AND($E217&lt;='07-Paper Priority'!$D$9,$F217&lt;='07-Paper Priority'!$C$9))),'07-Paper Priority'!$A$9,"")</f>
        <v/>
      </c>
      <c r="X217" t="str">
        <f>IF(AND('07-Paper Priority'!$A$10&gt;=MATCH($J217,'07-Paper Priority'!$B$5:$B$26,0),OR(AND($E217&lt;='07-Paper Priority'!$C$10,$F217&lt;='07-Paper Priority'!$D$10),AND($E217&lt;='07-Paper Priority'!$D$10,$F217&lt;='07-Paper Priority'!$C$10))),'07-Paper Priority'!$A$10,"")</f>
        <v/>
      </c>
      <c r="Y217" t="str">
        <f>IF(AND('07-Paper Priority'!$A$11&gt;=MATCH($J217,'07-Paper Priority'!$B$5:$B$26,0),OR(AND($E217&lt;='07-Paper Priority'!$C$11,$F217&lt;='07-Paper Priority'!$D$11),AND($E217&lt;='07-Paper Priority'!$D$11,$F217&lt;='07-Paper Priority'!$C$11))),'07-Paper Priority'!$A$11,"")</f>
        <v/>
      </c>
      <c r="Z217" t="str">
        <f>IF(AND('07-Paper Priority'!$A$12&gt;=MATCH($J217,'07-Paper Priority'!$B$5:$B$26,0),OR(AND($E217&lt;='07-Paper Priority'!$C$12,$F217&lt;='07-Paper Priority'!$D$12),AND($E217&lt;='07-Paper Priority'!$D$12,$F217&lt;='07-Paper Priority'!$C$12))),'07-Paper Priority'!$A$12,"")</f>
        <v/>
      </c>
      <c r="AA217" t="str">
        <f>IF(AND('07-Paper Priority'!$A$13&gt;=MATCH($J217,'07-Paper Priority'!$B$5:$B$26,0),OR(AND($E217&lt;='07-Paper Priority'!$C$13,$F217&lt;='07-Paper Priority'!$D$13),AND($E217&lt;='07-Paper Priority'!$D$13,$F217&lt;='07-Paper Priority'!$C$13))),'07-Paper Priority'!$A$13,"")</f>
        <v/>
      </c>
      <c r="AB217" t="str">
        <f>IF(AND('07-Paper Priority'!$A$14&gt;=MATCH($J217,'07-Paper Priority'!$B$5:$B$26,0),OR(AND($E217&lt;='07-Paper Priority'!$C$14,$F217&lt;='07-Paper Priority'!$D$14),AND($E217&lt;='07-Paper Priority'!$D$14,$F217&lt;='07-Paper Priority'!$C$14))),'07-Paper Priority'!$A$14,"")</f>
        <v/>
      </c>
      <c r="AC217" t="str">
        <f>IF(AND('07-Paper Priority'!$A$15&gt;=MATCH($J217,'07-Paper Priority'!$B$5:$B$26,0),OR(AND($E217&lt;='07-Paper Priority'!$C$15,$F217&lt;='07-Paper Priority'!$D$15),AND($E217&lt;='07-Paper Priority'!$D$15,$F217&lt;='07-Paper Priority'!$C$15))),'07-Paper Priority'!$A$15,"")</f>
        <v/>
      </c>
      <c r="AD217" t="str">
        <f>IF(AND('07-Paper Priority'!$A$16&gt;=MATCH($J217,'07-Paper Priority'!$B$5:$B$26,0),OR(AND($E217&lt;='07-Paper Priority'!$C$16,$F217&lt;='07-Paper Priority'!$D$16),AND($E217&lt;='07-Paper Priority'!$D$16,$F217&lt;='07-Paper Priority'!$C$16))),'07-Paper Priority'!$A$16,"")</f>
        <v/>
      </c>
      <c r="AE217">
        <f>IF(AND('07-Paper Priority'!$A$17&gt;=MATCH($J217,'07-Paper Priority'!$B$5:$B$26,0),OR(AND($E217&lt;='07-Paper Priority'!$C$17,$F217&lt;='07-Paper Priority'!$D$17),AND($E217&lt;='07-Paper Priority'!$D$17,$F217&lt;='07-Paper Priority'!$C$17))),'07-Paper Priority'!$A$17,"")</f>
        <v>13</v>
      </c>
      <c r="AF217">
        <f>IF(AND('07-Paper Priority'!$A$18&gt;=MATCH($J217,'07-Paper Priority'!$B$5:$B$26,0),OR(AND($E217&lt;='07-Paper Priority'!$C$18,$F217&lt;='07-Paper Priority'!$D$18),AND($E217&lt;='07-Paper Priority'!$D$18,$F217&lt;='07-Paper Priority'!$C$18))),'07-Paper Priority'!$A$18,"")</f>
        <v>14</v>
      </c>
      <c r="AG217">
        <f>IF(AND('07-Paper Priority'!$A$19&gt;=MATCH($J217,'07-Paper Priority'!$B$5:$B$26,0),OR(AND($E217&lt;='07-Paper Priority'!$C$19,$F217&lt;='07-Paper Priority'!$D$19),AND($E217&lt;='07-Paper Priority'!$D$19,$F217&lt;='07-Paper Priority'!$C$19))),'07-Paper Priority'!$A$19,"")</f>
        <v>15</v>
      </c>
      <c r="AH217">
        <f>IF(AND('07-Paper Priority'!$A$20&gt;=MATCH($J217,'07-Paper Priority'!$B$5:$B$26,0),OR(AND($E217&lt;='07-Paper Priority'!$C$20,$F217&lt;='07-Paper Priority'!$D$20),AND($E217&lt;='07-Paper Priority'!$D$20,$F217&lt;='07-Paper Priority'!$C$20))),'07-Paper Priority'!$A$20,"")</f>
        <v>16</v>
      </c>
      <c r="AI217">
        <f>IF(AND('07-Paper Priority'!$A$21&gt;=MATCH($J217,'07-Paper Priority'!$B$5:$B$26,0),OR(AND($E217&lt;='07-Paper Priority'!$C$21,$F217&lt;='07-Paper Priority'!$D$21),AND($E217&lt;='07-Paper Priority'!$D$21,$F217&lt;='07-Paper Priority'!$C$21))),'07-Paper Priority'!$A$21,"")</f>
        <v>17</v>
      </c>
      <c r="AJ217">
        <f>IF(AND('07-Paper Priority'!$A$22&gt;=MATCH($J217,'07-Paper Priority'!$B$5:$B$26,0),OR(AND($E217&lt;='07-Paper Priority'!$C$22,$F217&lt;='07-Paper Priority'!$D$22),AND($E217&lt;='07-Paper Priority'!$D$22,$F217&lt;='07-Paper Priority'!$C$22))),'07-Paper Priority'!$A$22,"")</f>
        <v>18</v>
      </c>
      <c r="AK217">
        <f>IF(AND('07-Paper Priority'!$A$23&gt;=MATCH($J217,'07-Paper Priority'!$B$5:$B$26,0),OR(AND($E217&lt;='07-Paper Priority'!$C$23,$F217&lt;='07-Paper Priority'!$D$23),AND($E217&lt;='07-Paper Priority'!$D$23,$F217&lt;='07-Paper Priority'!$C$23))),'07-Paper Priority'!$A$23,"")</f>
        <v>19</v>
      </c>
      <c r="AL217">
        <f>IF(AND('07-Paper Priority'!$A$24&gt;=MATCH($J217,'07-Paper Priority'!$B$5:$B$26,0),OR(AND($E217&lt;='07-Paper Priority'!$C$24,$F217&lt;='07-Paper Priority'!$D$24),AND($E217&lt;='07-Paper Priority'!$D$24,$F217&lt;='07-Paper Priority'!$C$24))),'07-Paper Priority'!$A$24,"")</f>
        <v>20</v>
      </c>
      <c r="AM217">
        <f>IF(AND('07-Paper Priority'!$A$25&gt;=MATCH($J217,'07-Paper Priority'!$B$5:$B$26,0),OR(AND($E217&lt;='07-Paper Priority'!$C$25,$F217&lt;='07-Paper Priority'!$D$25),AND($E217&lt;='07-Paper Priority'!$D$25,$F217&lt;='07-Paper Priority'!$C$25))),'07-Paper Priority'!$A$25,"")</f>
        <v>21</v>
      </c>
      <c r="AN217">
        <f>IF(AND('07-Paper Priority'!$A$26&gt;=MATCH($J217,'07-Paper Priority'!$B$5:$B$26,0),OR(AND($E217&lt;='07-Paper Priority'!$C$26,$F217&lt;='07-Paper Priority'!$D$26),AND($E217&lt;='07-Paper Priority'!$D$26,$F217&lt;='07-Paper Priority'!$C$26))),'07-Paper Priority'!$A$26,"")</f>
        <v>22</v>
      </c>
    </row>
    <row r="218" spans="1:40" ht="33.950000000000003" customHeight="1">
      <c r="A218" s="32" t="s">
        <v>2794</v>
      </c>
      <c r="B218" s="32" t="s">
        <v>2774</v>
      </c>
      <c r="C218" s="32" t="s">
        <v>2549</v>
      </c>
      <c r="D218" s="32" t="s">
        <v>2611</v>
      </c>
      <c r="E218" s="23">
        <v>80</v>
      </c>
      <c r="F218" s="23">
        <v>50</v>
      </c>
      <c r="G218" s="32" t="s">
        <v>2616</v>
      </c>
      <c r="H218" s="32" t="s">
        <v>2795</v>
      </c>
      <c r="I218" s="24" t="s">
        <v>2553</v>
      </c>
      <c r="J218" s="25" t="s">
        <v>800</v>
      </c>
      <c r="K218" s="26" t="str">
        <f>IF(COUNT(S218:AN218)=0,"NO FIT",INDEX('07-Paper Priority'!$B$5:$B$26,MIN(S218:AN218)))</f>
        <v>B8</v>
      </c>
      <c r="L218" s="26" t="str">
        <f>IF($K218="NO FIT","",IF(AND($E218&lt;=INDEX('07-Paper Priority'!$C$5:$C$26,MATCH($K218,'07-Paper Priority'!$B$5:$B$26,0)),$F218&lt;=INDEX('07-Paper Priority'!$D$5:$D$26,MATCH($K218,'07-Paper Priority'!$B$5:$B$26,0))),"PORTRAIT","ROTATED"))</f>
        <v>ROTATED</v>
      </c>
      <c r="M218" s="27">
        <f>IF($K218="NO FIT","",IF($L218="PORTRAIT",INDEX('07-Paper Priority'!$C$5:$C$26,MATCH($K218,'07-Paper Priority'!$B$5:$B$26,0)),INDEX('07-Paper Priority'!$D$5:$D$26,MATCH($K218,'07-Paper Priority'!$B$5:$B$26,0))))</f>
        <v>88</v>
      </c>
      <c r="N218" s="27">
        <f>IF($K218="NO FIT","",IF($L218="PORTRAIT",INDEX('07-Paper Priority'!$D$5:$D$26,MATCH($K218,'07-Paper Priority'!$B$5:$B$26,0)),INDEX('07-Paper Priority'!$C$5:$C$26,MATCH($K218,'07-Paper Priority'!$B$5:$B$26,0))))</f>
        <v>62</v>
      </c>
      <c r="O218" s="27">
        <f>IF($K218="NO FIT","",$M218-$E218)</f>
        <v>8</v>
      </c>
      <c r="P218" s="27">
        <f>IF($K218="NO FIT","",$N218-$F218)</f>
        <v>12</v>
      </c>
      <c r="Q218" s="28" t="str">
        <f>IF($K218="NO FIT","REVIEW - NO PAPER FIT",IF(OR($O218&lt;0,$P218&lt;0),"ERROR - FIT",IF(COUNTIF('02-Printing Size'!$A$2:$A$2169,$K218)=0,"ERROR - CODE MISSING","VALID - LOWEST PAPER")))</f>
        <v>VALID - LOWEST PAPER</v>
      </c>
      <c r="R218" s="32" t="s">
        <v>2749</v>
      </c>
      <c r="S218" t="str">
        <f>IF(AND('07-Paper Priority'!$A$5&gt;=MATCH($J218,'07-Paper Priority'!$B$5:$B$26,0),OR(AND($E218&lt;='07-Paper Priority'!$C$5,$F218&lt;='07-Paper Priority'!$D$5),AND($E218&lt;='07-Paper Priority'!$D$5,$F218&lt;='07-Paper Priority'!$C$5))),'07-Paper Priority'!$A$5,"")</f>
        <v/>
      </c>
      <c r="T218" t="str">
        <f>IF(AND('07-Paper Priority'!$A$6&gt;=MATCH($J218,'07-Paper Priority'!$B$5:$B$26,0),OR(AND($E218&lt;='07-Paper Priority'!$C$6,$F218&lt;='07-Paper Priority'!$D$6),AND($E218&lt;='07-Paper Priority'!$D$6,$F218&lt;='07-Paper Priority'!$C$6))),'07-Paper Priority'!$A$6,"")</f>
        <v/>
      </c>
      <c r="U218" t="str">
        <f>IF(AND('07-Paper Priority'!$A$7&gt;=MATCH($J218,'07-Paper Priority'!$B$5:$B$26,0),OR(AND($E218&lt;='07-Paper Priority'!$C$7,$F218&lt;='07-Paper Priority'!$D$7),AND($E218&lt;='07-Paper Priority'!$D$7,$F218&lt;='07-Paper Priority'!$C$7))),'07-Paper Priority'!$A$7,"")</f>
        <v/>
      </c>
      <c r="V218" t="str">
        <f>IF(AND('07-Paper Priority'!$A$8&gt;=MATCH($J218,'07-Paper Priority'!$B$5:$B$26,0),OR(AND($E218&lt;='07-Paper Priority'!$C$8,$F218&lt;='07-Paper Priority'!$D$8),AND($E218&lt;='07-Paper Priority'!$D$8,$F218&lt;='07-Paper Priority'!$C$8))),'07-Paper Priority'!$A$8,"")</f>
        <v/>
      </c>
      <c r="W218" t="str">
        <f>IF(AND('07-Paper Priority'!$A$9&gt;=MATCH($J218,'07-Paper Priority'!$B$5:$B$26,0),OR(AND($E218&lt;='07-Paper Priority'!$C$9,$F218&lt;='07-Paper Priority'!$D$9),AND($E218&lt;='07-Paper Priority'!$D$9,$F218&lt;='07-Paper Priority'!$C$9))),'07-Paper Priority'!$A$9,"")</f>
        <v/>
      </c>
      <c r="X218">
        <f>IF(AND('07-Paper Priority'!$A$10&gt;=MATCH($J218,'07-Paper Priority'!$B$5:$B$26,0),OR(AND($E218&lt;='07-Paper Priority'!$C$10,$F218&lt;='07-Paper Priority'!$D$10),AND($E218&lt;='07-Paper Priority'!$D$10,$F218&lt;='07-Paper Priority'!$C$10))),'07-Paper Priority'!$A$10,"")</f>
        <v>6</v>
      </c>
      <c r="Y218">
        <f>IF(AND('07-Paper Priority'!$A$11&gt;=MATCH($J218,'07-Paper Priority'!$B$5:$B$26,0),OR(AND($E218&lt;='07-Paper Priority'!$C$11,$F218&lt;='07-Paper Priority'!$D$11),AND($E218&lt;='07-Paper Priority'!$D$11,$F218&lt;='07-Paper Priority'!$C$11))),'07-Paper Priority'!$A$11,"")</f>
        <v>7</v>
      </c>
      <c r="Z218">
        <f>IF(AND('07-Paper Priority'!$A$12&gt;=MATCH($J218,'07-Paper Priority'!$B$5:$B$26,0),OR(AND($E218&lt;='07-Paper Priority'!$C$12,$F218&lt;='07-Paper Priority'!$D$12),AND($E218&lt;='07-Paper Priority'!$D$12,$F218&lt;='07-Paper Priority'!$C$12))),'07-Paper Priority'!$A$12,"")</f>
        <v>8</v>
      </c>
      <c r="AA218">
        <f>IF(AND('07-Paper Priority'!$A$13&gt;=MATCH($J218,'07-Paper Priority'!$B$5:$B$26,0),OR(AND($E218&lt;='07-Paper Priority'!$C$13,$F218&lt;='07-Paper Priority'!$D$13),AND($E218&lt;='07-Paper Priority'!$D$13,$F218&lt;='07-Paper Priority'!$C$13))),'07-Paper Priority'!$A$13,"")</f>
        <v>9</v>
      </c>
      <c r="AB218">
        <f>IF(AND('07-Paper Priority'!$A$14&gt;=MATCH($J218,'07-Paper Priority'!$B$5:$B$26,0),OR(AND($E218&lt;='07-Paper Priority'!$C$14,$F218&lt;='07-Paper Priority'!$D$14),AND($E218&lt;='07-Paper Priority'!$D$14,$F218&lt;='07-Paper Priority'!$C$14))),'07-Paper Priority'!$A$14,"")</f>
        <v>10</v>
      </c>
      <c r="AC218">
        <f>IF(AND('07-Paper Priority'!$A$15&gt;=MATCH($J218,'07-Paper Priority'!$B$5:$B$26,0),OR(AND($E218&lt;='07-Paper Priority'!$C$15,$F218&lt;='07-Paper Priority'!$D$15),AND($E218&lt;='07-Paper Priority'!$D$15,$F218&lt;='07-Paper Priority'!$C$15))),'07-Paper Priority'!$A$15,"")</f>
        <v>11</v>
      </c>
      <c r="AD218">
        <f>IF(AND('07-Paper Priority'!$A$16&gt;=MATCH($J218,'07-Paper Priority'!$B$5:$B$26,0),OR(AND($E218&lt;='07-Paper Priority'!$C$16,$F218&lt;='07-Paper Priority'!$D$16),AND($E218&lt;='07-Paper Priority'!$D$16,$F218&lt;='07-Paper Priority'!$C$16))),'07-Paper Priority'!$A$16,"")</f>
        <v>12</v>
      </c>
      <c r="AE218">
        <f>IF(AND('07-Paper Priority'!$A$17&gt;=MATCH($J218,'07-Paper Priority'!$B$5:$B$26,0),OR(AND($E218&lt;='07-Paper Priority'!$C$17,$F218&lt;='07-Paper Priority'!$D$17),AND($E218&lt;='07-Paper Priority'!$D$17,$F218&lt;='07-Paper Priority'!$C$17))),'07-Paper Priority'!$A$17,"")</f>
        <v>13</v>
      </c>
      <c r="AF218">
        <f>IF(AND('07-Paper Priority'!$A$18&gt;=MATCH($J218,'07-Paper Priority'!$B$5:$B$26,0),OR(AND($E218&lt;='07-Paper Priority'!$C$18,$F218&lt;='07-Paper Priority'!$D$18),AND($E218&lt;='07-Paper Priority'!$D$18,$F218&lt;='07-Paper Priority'!$C$18))),'07-Paper Priority'!$A$18,"")</f>
        <v>14</v>
      </c>
      <c r="AG218">
        <f>IF(AND('07-Paper Priority'!$A$19&gt;=MATCH($J218,'07-Paper Priority'!$B$5:$B$26,0),OR(AND($E218&lt;='07-Paper Priority'!$C$19,$F218&lt;='07-Paper Priority'!$D$19),AND($E218&lt;='07-Paper Priority'!$D$19,$F218&lt;='07-Paper Priority'!$C$19))),'07-Paper Priority'!$A$19,"")</f>
        <v>15</v>
      </c>
      <c r="AH218">
        <f>IF(AND('07-Paper Priority'!$A$20&gt;=MATCH($J218,'07-Paper Priority'!$B$5:$B$26,0),OR(AND($E218&lt;='07-Paper Priority'!$C$20,$F218&lt;='07-Paper Priority'!$D$20),AND($E218&lt;='07-Paper Priority'!$D$20,$F218&lt;='07-Paper Priority'!$C$20))),'07-Paper Priority'!$A$20,"")</f>
        <v>16</v>
      </c>
      <c r="AI218">
        <f>IF(AND('07-Paper Priority'!$A$21&gt;=MATCH($J218,'07-Paper Priority'!$B$5:$B$26,0),OR(AND($E218&lt;='07-Paper Priority'!$C$21,$F218&lt;='07-Paper Priority'!$D$21),AND($E218&lt;='07-Paper Priority'!$D$21,$F218&lt;='07-Paper Priority'!$C$21))),'07-Paper Priority'!$A$21,"")</f>
        <v>17</v>
      </c>
      <c r="AJ218">
        <f>IF(AND('07-Paper Priority'!$A$22&gt;=MATCH($J218,'07-Paper Priority'!$B$5:$B$26,0),OR(AND($E218&lt;='07-Paper Priority'!$C$22,$F218&lt;='07-Paper Priority'!$D$22),AND($E218&lt;='07-Paper Priority'!$D$22,$F218&lt;='07-Paper Priority'!$C$22))),'07-Paper Priority'!$A$22,"")</f>
        <v>18</v>
      </c>
      <c r="AK218">
        <f>IF(AND('07-Paper Priority'!$A$23&gt;=MATCH($J218,'07-Paper Priority'!$B$5:$B$26,0),OR(AND($E218&lt;='07-Paper Priority'!$C$23,$F218&lt;='07-Paper Priority'!$D$23),AND($E218&lt;='07-Paper Priority'!$D$23,$F218&lt;='07-Paper Priority'!$C$23))),'07-Paper Priority'!$A$23,"")</f>
        <v>19</v>
      </c>
      <c r="AL218">
        <f>IF(AND('07-Paper Priority'!$A$24&gt;=MATCH($J218,'07-Paper Priority'!$B$5:$B$26,0),OR(AND($E218&lt;='07-Paper Priority'!$C$24,$F218&lt;='07-Paper Priority'!$D$24),AND($E218&lt;='07-Paper Priority'!$D$24,$F218&lt;='07-Paper Priority'!$C$24))),'07-Paper Priority'!$A$24,"")</f>
        <v>20</v>
      </c>
      <c r="AM218">
        <f>IF(AND('07-Paper Priority'!$A$25&gt;=MATCH($J218,'07-Paper Priority'!$B$5:$B$26,0),OR(AND($E218&lt;='07-Paper Priority'!$C$25,$F218&lt;='07-Paper Priority'!$D$25),AND($E218&lt;='07-Paper Priority'!$D$25,$F218&lt;='07-Paper Priority'!$C$25))),'07-Paper Priority'!$A$25,"")</f>
        <v>21</v>
      </c>
      <c r="AN218">
        <f>IF(AND('07-Paper Priority'!$A$26&gt;=MATCH($J218,'07-Paper Priority'!$B$5:$B$26,0),OR(AND($E218&lt;='07-Paper Priority'!$C$26,$F218&lt;='07-Paper Priority'!$D$26),AND($E218&lt;='07-Paper Priority'!$D$26,$F218&lt;='07-Paper Priority'!$C$26))),'07-Paper Priority'!$A$26,"")</f>
        <v>22</v>
      </c>
    </row>
    <row r="219" spans="1:40" ht="33.950000000000003" customHeight="1">
      <c r="A219" s="32" t="s">
        <v>2796</v>
      </c>
      <c r="B219" s="32" t="s">
        <v>2774</v>
      </c>
      <c r="C219" s="32" t="s">
        <v>2596</v>
      </c>
      <c r="D219" s="32" t="s">
        <v>2611</v>
      </c>
      <c r="E219" s="23">
        <v>70</v>
      </c>
      <c r="F219" s="23">
        <v>70</v>
      </c>
      <c r="G219" s="32" t="s">
        <v>2597</v>
      </c>
      <c r="H219" s="32" t="s">
        <v>2797</v>
      </c>
      <c r="I219" s="24" t="s">
        <v>2599</v>
      </c>
      <c r="J219" s="25" t="s">
        <v>726</v>
      </c>
      <c r="K219" s="26" t="str">
        <f>IF(COUNT(S219:AN219)=0,"NO FIT",INDEX('07-Paper Priority'!$B$5:$B$26,MIN(S219:AN219)))</f>
        <v>A7</v>
      </c>
      <c r="L219" s="26" t="str">
        <f>IF($K219="NO FIT","",IF(AND($E219&lt;=INDEX('07-Paper Priority'!$C$5:$C$26,MATCH($K219,'07-Paper Priority'!$B$5:$B$26,0)),$F219&lt;=INDEX('07-Paper Priority'!$D$5:$D$26,MATCH($K219,'07-Paper Priority'!$B$5:$B$26,0))),"PORTRAIT","ROTATED"))</f>
        <v>PORTRAIT</v>
      </c>
      <c r="M219" s="27">
        <f>IF($K219="NO FIT","",IF($L219="PORTRAIT",INDEX('07-Paper Priority'!$C$5:$C$26,MATCH($K219,'07-Paper Priority'!$B$5:$B$26,0)),INDEX('07-Paper Priority'!$D$5:$D$26,MATCH($K219,'07-Paper Priority'!$B$5:$B$26,0))))</f>
        <v>74</v>
      </c>
      <c r="N219" s="27">
        <f>IF($K219="NO FIT","",IF($L219="PORTRAIT",INDEX('07-Paper Priority'!$D$5:$D$26,MATCH($K219,'07-Paper Priority'!$B$5:$B$26,0)),INDEX('07-Paper Priority'!$C$5:$C$26,MATCH($K219,'07-Paper Priority'!$B$5:$B$26,0))))</f>
        <v>105</v>
      </c>
      <c r="O219" s="27">
        <f>IF($K219="NO FIT","",$M219-$E219)</f>
        <v>4</v>
      </c>
      <c r="P219" s="27">
        <f>IF($K219="NO FIT","",$N219-$F219)</f>
        <v>35</v>
      </c>
      <c r="Q219" s="28" t="str">
        <f>IF($K219="NO FIT","REVIEW - NO PAPER FIT",IF(OR($O219&lt;0,$P219&lt;0),"ERROR - FIT",IF(COUNTIF('02-Printing Size'!$A$2:$A$2169,$K219)=0,"ERROR - CODE MISSING","VALID - LOWEST PAPER")))</f>
        <v>VALID - LOWEST PAPER</v>
      </c>
      <c r="R219" s="32" t="s">
        <v>2752</v>
      </c>
      <c r="S219" t="str">
        <f>IF(AND('07-Paper Priority'!$A$5&gt;=MATCH($J219,'07-Paper Priority'!$B$5:$B$26,0),OR(AND($E219&lt;='07-Paper Priority'!$C$5,$F219&lt;='07-Paper Priority'!$D$5),AND($E219&lt;='07-Paper Priority'!$D$5,$F219&lt;='07-Paper Priority'!$C$5))),'07-Paper Priority'!$A$5,"")</f>
        <v/>
      </c>
      <c r="T219" t="str">
        <f>IF(AND('07-Paper Priority'!$A$6&gt;=MATCH($J219,'07-Paper Priority'!$B$5:$B$26,0),OR(AND($E219&lt;='07-Paper Priority'!$C$6,$F219&lt;='07-Paper Priority'!$D$6),AND($E219&lt;='07-Paper Priority'!$D$6,$F219&lt;='07-Paper Priority'!$C$6))),'07-Paper Priority'!$A$6,"")</f>
        <v/>
      </c>
      <c r="U219" t="str">
        <f>IF(AND('07-Paper Priority'!$A$7&gt;=MATCH($J219,'07-Paper Priority'!$B$5:$B$26,0),OR(AND($E219&lt;='07-Paper Priority'!$C$7,$F219&lt;='07-Paper Priority'!$D$7),AND($E219&lt;='07-Paper Priority'!$D$7,$F219&lt;='07-Paper Priority'!$C$7))),'07-Paper Priority'!$A$7,"")</f>
        <v/>
      </c>
      <c r="V219" t="str">
        <f>IF(AND('07-Paper Priority'!$A$8&gt;=MATCH($J219,'07-Paper Priority'!$B$5:$B$26,0),OR(AND($E219&lt;='07-Paper Priority'!$C$8,$F219&lt;='07-Paper Priority'!$D$8),AND($E219&lt;='07-Paper Priority'!$D$8,$F219&lt;='07-Paper Priority'!$C$8))),'07-Paper Priority'!$A$8,"")</f>
        <v/>
      </c>
      <c r="W219" t="str">
        <f>IF(AND('07-Paper Priority'!$A$9&gt;=MATCH($J219,'07-Paper Priority'!$B$5:$B$26,0),OR(AND($E219&lt;='07-Paper Priority'!$C$9,$F219&lt;='07-Paper Priority'!$D$9),AND($E219&lt;='07-Paper Priority'!$D$9,$F219&lt;='07-Paper Priority'!$C$9))),'07-Paper Priority'!$A$9,"")</f>
        <v/>
      </c>
      <c r="X219" t="str">
        <f>IF(AND('07-Paper Priority'!$A$10&gt;=MATCH($J219,'07-Paper Priority'!$B$5:$B$26,0),OR(AND($E219&lt;='07-Paper Priority'!$C$10,$F219&lt;='07-Paper Priority'!$D$10),AND($E219&lt;='07-Paper Priority'!$D$10,$F219&lt;='07-Paper Priority'!$C$10))),'07-Paper Priority'!$A$10,"")</f>
        <v/>
      </c>
      <c r="Y219">
        <f>IF(AND('07-Paper Priority'!$A$11&gt;=MATCH($J219,'07-Paper Priority'!$B$5:$B$26,0),OR(AND($E219&lt;='07-Paper Priority'!$C$11,$F219&lt;='07-Paper Priority'!$D$11),AND($E219&lt;='07-Paper Priority'!$D$11,$F219&lt;='07-Paper Priority'!$C$11))),'07-Paper Priority'!$A$11,"")</f>
        <v>7</v>
      </c>
      <c r="Z219">
        <f>IF(AND('07-Paper Priority'!$A$12&gt;=MATCH($J219,'07-Paper Priority'!$B$5:$B$26,0),OR(AND($E219&lt;='07-Paper Priority'!$C$12,$F219&lt;='07-Paper Priority'!$D$12),AND($E219&lt;='07-Paper Priority'!$D$12,$F219&lt;='07-Paper Priority'!$C$12))),'07-Paper Priority'!$A$12,"")</f>
        <v>8</v>
      </c>
      <c r="AA219">
        <f>IF(AND('07-Paper Priority'!$A$13&gt;=MATCH($J219,'07-Paper Priority'!$B$5:$B$26,0),OR(AND($E219&lt;='07-Paper Priority'!$C$13,$F219&lt;='07-Paper Priority'!$D$13),AND($E219&lt;='07-Paper Priority'!$D$13,$F219&lt;='07-Paper Priority'!$C$13))),'07-Paper Priority'!$A$13,"")</f>
        <v>9</v>
      </c>
      <c r="AB219">
        <f>IF(AND('07-Paper Priority'!$A$14&gt;=MATCH($J219,'07-Paper Priority'!$B$5:$B$26,0),OR(AND($E219&lt;='07-Paper Priority'!$C$14,$F219&lt;='07-Paper Priority'!$D$14),AND($E219&lt;='07-Paper Priority'!$D$14,$F219&lt;='07-Paper Priority'!$C$14))),'07-Paper Priority'!$A$14,"")</f>
        <v>10</v>
      </c>
      <c r="AC219">
        <f>IF(AND('07-Paper Priority'!$A$15&gt;=MATCH($J219,'07-Paper Priority'!$B$5:$B$26,0),OR(AND($E219&lt;='07-Paper Priority'!$C$15,$F219&lt;='07-Paper Priority'!$D$15),AND($E219&lt;='07-Paper Priority'!$D$15,$F219&lt;='07-Paper Priority'!$C$15))),'07-Paper Priority'!$A$15,"")</f>
        <v>11</v>
      </c>
      <c r="AD219">
        <f>IF(AND('07-Paper Priority'!$A$16&gt;=MATCH($J219,'07-Paper Priority'!$B$5:$B$26,0),OR(AND($E219&lt;='07-Paper Priority'!$C$16,$F219&lt;='07-Paper Priority'!$D$16),AND($E219&lt;='07-Paper Priority'!$D$16,$F219&lt;='07-Paper Priority'!$C$16))),'07-Paper Priority'!$A$16,"")</f>
        <v>12</v>
      </c>
      <c r="AE219">
        <f>IF(AND('07-Paper Priority'!$A$17&gt;=MATCH($J219,'07-Paper Priority'!$B$5:$B$26,0),OR(AND($E219&lt;='07-Paper Priority'!$C$17,$F219&lt;='07-Paper Priority'!$D$17),AND($E219&lt;='07-Paper Priority'!$D$17,$F219&lt;='07-Paper Priority'!$C$17))),'07-Paper Priority'!$A$17,"")</f>
        <v>13</v>
      </c>
      <c r="AF219">
        <f>IF(AND('07-Paper Priority'!$A$18&gt;=MATCH($J219,'07-Paper Priority'!$B$5:$B$26,0),OR(AND($E219&lt;='07-Paper Priority'!$C$18,$F219&lt;='07-Paper Priority'!$D$18),AND($E219&lt;='07-Paper Priority'!$D$18,$F219&lt;='07-Paper Priority'!$C$18))),'07-Paper Priority'!$A$18,"")</f>
        <v>14</v>
      </c>
      <c r="AG219">
        <f>IF(AND('07-Paper Priority'!$A$19&gt;=MATCH($J219,'07-Paper Priority'!$B$5:$B$26,0),OR(AND($E219&lt;='07-Paper Priority'!$C$19,$F219&lt;='07-Paper Priority'!$D$19),AND($E219&lt;='07-Paper Priority'!$D$19,$F219&lt;='07-Paper Priority'!$C$19))),'07-Paper Priority'!$A$19,"")</f>
        <v>15</v>
      </c>
      <c r="AH219">
        <f>IF(AND('07-Paper Priority'!$A$20&gt;=MATCH($J219,'07-Paper Priority'!$B$5:$B$26,0),OR(AND($E219&lt;='07-Paper Priority'!$C$20,$F219&lt;='07-Paper Priority'!$D$20),AND($E219&lt;='07-Paper Priority'!$D$20,$F219&lt;='07-Paper Priority'!$C$20))),'07-Paper Priority'!$A$20,"")</f>
        <v>16</v>
      </c>
      <c r="AI219">
        <f>IF(AND('07-Paper Priority'!$A$21&gt;=MATCH($J219,'07-Paper Priority'!$B$5:$B$26,0),OR(AND($E219&lt;='07-Paper Priority'!$C$21,$F219&lt;='07-Paper Priority'!$D$21),AND($E219&lt;='07-Paper Priority'!$D$21,$F219&lt;='07-Paper Priority'!$C$21))),'07-Paper Priority'!$A$21,"")</f>
        <v>17</v>
      </c>
      <c r="AJ219">
        <f>IF(AND('07-Paper Priority'!$A$22&gt;=MATCH($J219,'07-Paper Priority'!$B$5:$B$26,0),OR(AND($E219&lt;='07-Paper Priority'!$C$22,$F219&lt;='07-Paper Priority'!$D$22),AND($E219&lt;='07-Paper Priority'!$D$22,$F219&lt;='07-Paper Priority'!$C$22))),'07-Paper Priority'!$A$22,"")</f>
        <v>18</v>
      </c>
      <c r="AK219">
        <f>IF(AND('07-Paper Priority'!$A$23&gt;=MATCH($J219,'07-Paper Priority'!$B$5:$B$26,0),OR(AND($E219&lt;='07-Paper Priority'!$C$23,$F219&lt;='07-Paper Priority'!$D$23),AND($E219&lt;='07-Paper Priority'!$D$23,$F219&lt;='07-Paper Priority'!$C$23))),'07-Paper Priority'!$A$23,"")</f>
        <v>19</v>
      </c>
      <c r="AL219">
        <f>IF(AND('07-Paper Priority'!$A$24&gt;=MATCH($J219,'07-Paper Priority'!$B$5:$B$26,0),OR(AND($E219&lt;='07-Paper Priority'!$C$24,$F219&lt;='07-Paper Priority'!$D$24),AND($E219&lt;='07-Paper Priority'!$D$24,$F219&lt;='07-Paper Priority'!$C$24))),'07-Paper Priority'!$A$24,"")</f>
        <v>20</v>
      </c>
      <c r="AM219">
        <f>IF(AND('07-Paper Priority'!$A$25&gt;=MATCH($J219,'07-Paper Priority'!$B$5:$B$26,0),OR(AND($E219&lt;='07-Paper Priority'!$C$25,$F219&lt;='07-Paper Priority'!$D$25),AND($E219&lt;='07-Paper Priority'!$D$25,$F219&lt;='07-Paper Priority'!$C$25))),'07-Paper Priority'!$A$25,"")</f>
        <v>21</v>
      </c>
      <c r="AN219">
        <f>IF(AND('07-Paper Priority'!$A$26&gt;=MATCH($J219,'07-Paper Priority'!$B$5:$B$26,0),OR(AND($E219&lt;='07-Paper Priority'!$C$26,$F219&lt;='07-Paper Priority'!$D$26),AND($E219&lt;='07-Paper Priority'!$D$26,$F219&lt;='07-Paper Priority'!$C$26))),'07-Paper Priority'!$A$26,"")</f>
        <v>22</v>
      </c>
    </row>
    <row r="220" spans="1:40" ht="33.950000000000003" customHeight="1">
      <c r="A220" s="32" t="s">
        <v>2798</v>
      </c>
      <c r="B220" s="32" t="s">
        <v>2774</v>
      </c>
      <c r="C220" s="32" t="s">
        <v>2627</v>
      </c>
      <c r="D220" s="32" t="s">
        <v>2757</v>
      </c>
      <c r="E220" s="23">
        <v>250</v>
      </c>
      <c r="F220" s="23">
        <v>300</v>
      </c>
      <c r="G220" s="32" t="s">
        <v>2642</v>
      </c>
      <c r="H220" s="32" t="s">
        <v>2799</v>
      </c>
      <c r="I220" s="24" t="s">
        <v>64</v>
      </c>
      <c r="J220" s="25" t="s">
        <v>1980</v>
      </c>
      <c r="K220" s="26" t="str">
        <f>IF(COUNT(S220:AN220)=0,"NO FIT",INDEX('07-Paper Priority'!$B$5:$B$26,MIN(S220:AN220)))</f>
        <v>B4</v>
      </c>
      <c r="L220" s="26" t="str">
        <f>IF($K220="NO FIT","",IF(AND($E220&lt;=INDEX('07-Paper Priority'!$C$5:$C$26,MATCH($K220,'07-Paper Priority'!$B$5:$B$26,0)),$F220&lt;=INDEX('07-Paper Priority'!$D$5:$D$26,MATCH($K220,'07-Paper Priority'!$B$5:$B$26,0))),"PORTRAIT","ROTATED"))</f>
        <v>PORTRAIT</v>
      </c>
      <c r="M220" s="27">
        <f>IF($K220="NO FIT","",IF($L220="PORTRAIT",INDEX('07-Paper Priority'!$C$5:$C$26,MATCH($K220,'07-Paper Priority'!$B$5:$B$26,0)),INDEX('07-Paper Priority'!$D$5:$D$26,MATCH($K220,'07-Paper Priority'!$B$5:$B$26,0))))</f>
        <v>250</v>
      </c>
      <c r="N220" s="27">
        <f>IF($K220="NO FIT","",IF($L220="PORTRAIT",INDEX('07-Paper Priority'!$D$5:$D$26,MATCH($K220,'07-Paper Priority'!$B$5:$B$26,0)),INDEX('07-Paper Priority'!$C$5:$C$26,MATCH($K220,'07-Paper Priority'!$B$5:$B$26,0))))</f>
        <v>353</v>
      </c>
      <c r="O220" s="27">
        <f>IF($K220="NO FIT","",$M220-$E220)</f>
        <v>0</v>
      </c>
      <c r="P220" s="27">
        <f>IF($K220="NO FIT","",$N220-$F220)</f>
        <v>53</v>
      </c>
      <c r="Q220" s="28" t="str">
        <f>IF($K220="NO FIT","REVIEW - NO PAPER FIT",IF(OR($O220&lt;0,$P220&lt;0),"ERROR - FIT",IF(COUNTIF('02-Printing Size'!$A$2:$A$2169,$K220)=0,"ERROR - CODE MISSING","VALID - LOWEST PAPER")))</f>
        <v>VALID - LOWEST PAPER</v>
      </c>
      <c r="R220" s="32" t="s">
        <v>2800</v>
      </c>
      <c r="S220" t="str">
        <f>IF(AND('07-Paper Priority'!$A$5&gt;=MATCH($J220,'07-Paper Priority'!$B$5:$B$26,0),OR(AND($E220&lt;='07-Paper Priority'!$C$5,$F220&lt;='07-Paper Priority'!$D$5),AND($E220&lt;='07-Paper Priority'!$D$5,$F220&lt;='07-Paper Priority'!$C$5))),'07-Paper Priority'!$A$5,"")</f>
        <v/>
      </c>
      <c r="T220" t="str">
        <f>IF(AND('07-Paper Priority'!$A$6&gt;=MATCH($J220,'07-Paper Priority'!$B$5:$B$26,0),OR(AND($E220&lt;='07-Paper Priority'!$C$6,$F220&lt;='07-Paper Priority'!$D$6),AND($E220&lt;='07-Paper Priority'!$D$6,$F220&lt;='07-Paper Priority'!$C$6))),'07-Paper Priority'!$A$6,"")</f>
        <v/>
      </c>
      <c r="U220" t="str">
        <f>IF(AND('07-Paper Priority'!$A$7&gt;=MATCH($J220,'07-Paper Priority'!$B$5:$B$26,0),OR(AND($E220&lt;='07-Paper Priority'!$C$7,$F220&lt;='07-Paper Priority'!$D$7),AND($E220&lt;='07-Paper Priority'!$D$7,$F220&lt;='07-Paper Priority'!$C$7))),'07-Paper Priority'!$A$7,"")</f>
        <v/>
      </c>
      <c r="V220" t="str">
        <f>IF(AND('07-Paper Priority'!$A$8&gt;=MATCH($J220,'07-Paper Priority'!$B$5:$B$26,0),OR(AND($E220&lt;='07-Paper Priority'!$C$8,$F220&lt;='07-Paper Priority'!$D$8),AND($E220&lt;='07-Paper Priority'!$D$8,$F220&lt;='07-Paper Priority'!$C$8))),'07-Paper Priority'!$A$8,"")</f>
        <v/>
      </c>
      <c r="W220" t="str">
        <f>IF(AND('07-Paper Priority'!$A$9&gt;=MATCH($J220,'07-Paper Priority'!$B$5:$B$26,0),OR(AND($E220&lt;='07-Paper Priority'!$C$9,$F220&lt;='07-Paper Priority'!$D$9),AND($E220&lt;='07-Paper Priority'!$D$9,$F220&lt;='07-Paper Priority'!$C$9))),'07-Paper Priority'!$A$9,"")</f>
        <v/>
      </c>
      <c r="X220" t="str">
        <f>IF(AND('07-Paper Priority'!$A$10&gt;=MATCH($J220,'07-Paper Priority'!$B$5:$B$26,0),OR(AND($E220&lt;='07-Paper Priority'!$C$10,$F220&lt;='07-Paper Priority'!$D$10),AND($E220&lt;='07-Paper Priority'!$D$10,$F220&lt;='07-Paper Priority'!$C$10))),'07-Paper Priority'!$A$10,"")</f>
        <v/>
      </c>
      <c r="Y220" t="str">
        <f>IF(AND('07-Paper Priority'!$A$11&gt;=MATCH($J220,'07-Paper Priority'!$B$5:$B$26,0),OR(AND($E220&lt;='07-Paper Priority'!$C$11,$F220&lt;='07-Paper Priority'!$D$11),AND($E220&lt;='07-Paper Priority'!$D$11,$F220&lt;='07-Paper Priority'!$C$11))),'07-Paper Priority'!$A$11,"")</f>
        <v/>
      </c>
      <c r="Z220" t="str">
        <f>IF(AND('07-Paper Priority'!$A$12&gt;=MATCH($J220,'07-Paper Priority'!$B$5:$B$26,0),OR(AND($E220&lt;='07-Paper Priority'!$C$12,$F220&lt;='07-Paper Priority'!$D$12),AND($E220&lt;='07-Paper Priority'!$D$12,$F220&lt;='07-Paper Priority'!$C$12))),'07-Paper Priority'!$A$12,"")</f>
        <v/>
      </c>
      <c r="AA220" t="str">
        <f>IF(AND('07-Paper Priority'!$A$13&gt;=MATCH($J220,'07-Paper Priority'!$B$5:$B$26,0),OR(AND($E220&lt;='07-Paper Priority'!$C$13,$F220&lt;='07-Paper Priority'!$D$13),AND($E220&lt;='07-Paper Priority'!$D$13,$F220&lt;='07-Paper Priority'!$C$13))),'07-Paper Priority'!$A$13,"")</f>
        <v/>
      </c>
      <c r="AB220" t="str">
        <f>IF(AND('07-Paper Priority'!$A$14&gt;=MATCH($J220,'07-Paper Priority'!$B$5:$B$26,0),OR(AND($E220&lt;='07-Paper Priority'!$C$14,$F220&lt;='07-Paper Priority'!$D$14),AND($E220&lt;='07-Paper Priority'!$D$14,$F220&lt;='07-Paper Priority'!$C$14))),'07-Paper Priority'!$A$14,"")</f>
        <v/>
      </c>
      <c r="AC220" t="str">
        <f>IF(AND('07-Paper Priority'!$A$15&gt;=MATCH($J220,'07-Paper Priority'!$B$5:$B$26,0),OR(AND($E220&lt;='07-Paper Priority'!$C$15,$F220&lt;='07-Paper Priority'!$D$15),AND($E220&lt;='07-Paper Priority'!$D$15,$F220&lt;='07-Paper Priority'!$C$15))),'07-Paper Priority'!$A$15,"")</f>
        <v/>
      </c>
      <c r="AD220" t="str">
        <f>IF(AND('07-Paper Priority'!$A$16&gt;=MATCH($J220,'07-Paper Priority'!$B$5:$B$26,0),OR(AND($E220&lt;='07-Paper Priority'!$C$16,$F220&lt;='07-Paper Priority'!$D$16),AND($E220&lt;='07-Paper Priority'!$D$16,$F220&lt;='07-Paper Priority'!$C$16))),'07-Paper Priority'!$A$16,"")</f>
        <v/>
      </c>
      <c r="AE220" t="str">
        <f>IF(AND('07-Paper Priority'!$A$17&gt;=MATCH($J220,'07-Paper Priority'!$B$5:$B$26,0),OR(AND($E220&lt;='07-Paper Priority'!$C$17,$F220&lt;='07-Paper Priority'!$D$17),AND($E220&lt;='07-Paper Priority'!$D$17,$F220&lt;='07-Paper Priority'!$C$17))),'07-Paper Priority'!$A$17,"")</f>
        <v/>
      </c>
      <c r="AF220">
        <f>IF(AND('07-Paper Priority'!$A$18&gt;=MATCH($J220,'07-Paper Priority'!$B$5:$B$26,0),OR(AND($E220&lt;='07-Paper Priority'!$C$18,$F220&lt;='07-Paper Priority'!$D$18),AND($E220&lt;='07-Paper Priority'!$D$18,$F220&lt;='07-Paper Priority'!$C$18))),'07-Paper Priority'!$A$18,"")</f>
        <v>14</v>
      </c>
      <c r="AG220">
        <f>IF(AND('07-Paper Priority'!$A$19&gt;=MATCH($J220,'07-Paper Priority'!$B$5:$B$26,0),OR(AND($E220&lt;='07-Paper Priority'!$C$19,$F220&lt;='07-Paper Priority'!$D$19),AND($E220&lt;='07-Paper Priority'!$D$19,$F220&lt;='07-Paper Priority'!$C$19))),'07-Paper Priority'!$A$19,"")</f>
        <v>15</v>
      </c>
      <c r="AH220">
        <f>IF(AND('07-Paper Priority'!$A$20&gt;=MATCH($J220,'07-Paper Priority'!$B$5:$B$26,0),OR(AND($E220&lt;='07-Paper Priority'!$C$20,$F220&lt;='07-Paper Priority'!$D$20),AND($E220&lt;='07-Paper Priority'!$D$20,$F220&lt;='07-Paper Priority'!$C$20))),'07-Paper Priority'!$A$20,"")</f>
        <v>16</v>
      </c>
      <c r="AI220">
        <f>IF(AND('07-Paper Priority'!$A$21&gt;=MATCH($J220,'07-Paper Priority'!$B$5:$B$26,0),OR(AND($E220&lt;='07-Paper Priority'!$C$21,$F220&lt;='07-Paper Priority'!$D$21),AND($E220&lt;='07-Paper Priority'!$D$21,$F220&lt;='07-Paper Priority'!$C$21))),'07-Paper Priority'!$A$21,"")</f>
        <v>17</v>
      </c>
      <c r="AJ220">
        <f>IF(AND('07-Paper Priority'!$A$22&gt;=MATCH($J220,'07-Paper Priority'!$B$5:$B$26,0),OR(AND($E220&lt;='07-Paper Priority'!$C$22,$F220&lt;='07-Paper Priority'!$D$22),AND($E220&lt;='07-Paper Priority'!$D$22,$F220&lt;='07-Paper Priority'!$C$22))),'07-Paper Priority'!$A$22,"")</f>
        <v>18</v>
      </c>
      <c r="AK220">
        <f>IF(AND('07-Paper Priority'!$A$23&gt;=MATCH($J220,'07-Paper Priority'!$B$5:$B$26,0),OR(AND($E220&lt;='07-Paper Priority'!$C$23,$F220&lt;='07-Paper Priority'!$D$23),AND($E220&lt;='07-Paper Priority'!$D$23,$F220&lt;='07-Paper Priority'!$C$23))),'07-Paper Priority'!$A$23,"")</f>
        <v>19</v>
      </c>
      <c r="AL220">
        <f>IF(AND('07-Paper Priority'!$A$24&gt;=MATCH($J220,'07-Paper Priority'!$B$5:$B$26,0),OR(AND($E220&lt;='07-Paper Priority'!$C$24,$F220&lt;='07-Paper Priority'!$D$24),AND($E220&lt;='07-Paper Priority'!$D$24,$F220&lt;='07-Paper Priority'!$C$24))),'07-Paper Priority'!$A$24,"")</f>
        <v>20</v>
      </c>
      <c r="AM220">
        <f>IF(AND('07-Paper Priority'!$A$25&gt;=MATCH($J220,'07-Paper Priority'!$B$5:$B$26,0),OR(AND($E220&lt;='07-Paper Priority'!$C$25,$F220&lt;='07-Paper Priority'!$D$25),AND($E220&lt;='07-Paper Priority'!$D$25,$F220&lt;='07-Paper Priority'!$C$25))),'07-Paper Priority'!$A$25,"")</f>
        <v>21</v>
      </c>
      <c r="AN220">
        <f>IF(AND('07-Paper Priority'!$A$26&gt;=MATCH($J220,'07-Paper Priority'!$B$5:$B$26,0),OR(AND($E220&lt;='07-Paper Priority'!$C$26,$F220&lt;='07-Paper Priority'!$D$26),AND($E220&lt;='07-Paper Priority'!$D$26,$F220&lt;='07-Paper Priority'!$C$26))),'07-Paper Priority'!$A$26,"")</f>
        <v>22</v>
      </c>
    </row>
    <row r="221" spans="1:40" ht="33.950000000000003" customHeight="1">
      <c r="A221" s="32" t="s">
        <v>2801</v>
      </c>
      <c r="B221" s="32" t="s">
        <v>2774</v>
      </c>
      <c r="C221" s="32" t="s">
        <v>2641</v>
      </c>
      <c r="D221" s="32" t="s">
        <v>2655</v>
      </c>
      <c r="E221" s="23">
        <v>220</v>
      </c>
      <c r="F221" s="23">
        <v>260</v>
      </c>
      <c r="G221" s="32" t="s">
        <v>2642</v>
      </c>
      <c r="H221" s="32" t="s">
        <v>2802</v>
      </c>
      <c r="I221" s="24" t="s">
        <v>64</v>
      </c>
      <c r="J221" s="25" t="s">
        <v>1980</v>
      </c>
      <c r="K221" s="26" t="str">
        <f>IF(COUNT(S221:AN221)=0,"NO FIT",INDEX('07-Paper Priority'!$B$5:$B$26,MIN(S221:AN221)))</f>
        <v>B4</v>
      </c>
      <c r="L221" s="26" t="str">
        <f>IF($K221="NO FIT","",IF(AND($E221&lt;=INDEX('07-Paper Priority'!$C$5:$C$26,MATCH($K221,'07-Paper Priority'!$B$5:$B$26,0)),$F221&lt;=INDEX('07-Paper Priority'!$D$5:$D$26,MATCH($K221,'07-Paper Priority'!$B$5:$B$26,0))),"PORTRAIT","ROTATED"))</f>
        <v>PORTRAIT</v>
      </c>
      <c r="M221" s="27">
        <f>IF($K221="NO FIT","",IF($L221="PORTRAIT",INDEX('07-Paper Priority'!$C$5:$C$26,MATCH($K221,'07-Paper Priority'!$B$5:$B$26,0)),INDEX('07-Paper Priority'!$D$5:$D$26,MATCH($K221,'07-Paper Priority'!$B$5:$B$26,0))))</f>
        <v>250</v>
      </c>
      <c r="N221" s="27">
        <f>IF($K221="NO FIT","",IF($L221="PORTRAIT",INDEX('07-Paper Priority'!$D$5:$D$26,MATCH($K221,'07-Paper Priority'!$B$5:$B$26,0)),INDEX('07-Paper Priority'!$C$5:$C$26,MATCH($K221,'07-Paper Priority'!$B$5:$B$26,0))))</f>
        <v>353</v>
      </c>
      <c r="O221" s="27">
        <f>IF($K221="NO FIT","",$M221-$E221)</f>
        <v>30</v>
      </c>
      <c r="P221" s="27">
        <f>IF($K221="NO FIT","",$N221-$F221)</f>
        <v>93</v>
      </c>
      <c r="Q221" s="28" t="str">
        <f>IF($K221="NO FIT","REVIEW - NO PAPER FIT",IF(OR($O221&lt;0,$P221&lt;0),"ERROR - FIT",IF(COUNTIF('02-Printing Size'!$A$2:$A$2169,$K221)=0,"ERROR - CODE MISSING","VALID - LOWEST PAPER")))</f>
        <v>VALID - LOWEST PAPER</v>
      </c>
      <c r="R221" s="32" t="s">
        <v>2803</v>
      </c>
      <c r="S221" t="str">
        <f>IF(AND('07-Paper Priority'!$A$5&gt;=MATCH($J221,'07-Paper Priority'!$B$5:$B$26,0),OR(AND($E221&lt;='07-Paper Priority'!$C$5,$F221&lt;='07-Paper Priority'!$D$5),AND($E221&lt;='07-Paper Priority'!$D$5,$F221&lt;='07-Paper Priority'!$C$5))),'07-Paper Priority'!$A$5,"")</f>
        <v/>
      </c>
      <c r="T221" t="str">
        <f>IF(AND('07-Paper Priority'!$A$6&gt;=MATCH($J221,'07-Paper Priority'!$B$5:$B$26,0),OR(AND($E221&lt;='07-Paper Priority'!$C$6,$F221&lt;='07-Paper Priority'!$D$6),AND($E221&lt;='07-Paper Priority'!$D$6,$F221&lt;='07-Paper Priority'!$C$6))),'07-Paper Priority'!$A$6,"")</f>
        <v/>
      </c>
      <c r="U221" t="str">
        <f>IF(AND('07-Paper Priority'!$A$7&gt;=MATCH($J221,'07-Paper Priority'!$B$5:$B$26,0),OR(AND($E221&lt;='07-Paper Priority'!$C$7,$F221&lt;='07-Paper Priority'!$D$7),AND($E221&lt;='07-Paper Priority'!$D$7,$F221&lt;='07-Paper Priority'!$C$7))),'07-Paper Priority'!$A$7,"")</f>
        <v/>
      </c>
      <c r="V221" t="str">
        <f>IF(AND('07-Paper Priority'!$A$8&gt;=MATCH($J221,'07-Paper Priority'!$B$5:$B$26,0),OR(AND($E221&lt;='07-Paper Priority'!$C$8,$F221&lt;='07-Paper Priority'!$D$8),AND($E221&lt;='07-Paper Priority'!$D$8,$F221&lt;='07-Paper Priority'!$C$8))),'07-Paper Priority'!$A$8,"")</f>
        <v/>
      </c>
      <c r="W221" t="str">
        <f>IF(AND('07-Paper Priority'!$A$9&gt;=MATCH($J221,'07-Paper Priority'!$B$5:$B$26,0),OR(AND($E221&lt;='07-Paper Priority'!$C$9,$F221&lt;='07-Paper Priority'!$D$9),AND($E221&lt;='07-Paper Priority'!$D$9,$F221&lt;='07-Paper Priority'!$C$9))),'07-Paper Priority'!$A$9,"")</f>
        <v/>
      </c>
      <c r="X221" t="str">
        <f>IF(AND('07-Paper Priority'!$A$10&gt;=MATCH($J221,'07-Paper Priority'!$B$5:$B$26,0),OR(AND($E221&lt;='07-Paper Priority'!$C$10,$F221&lt;='07-Paper Priority'!$D$10),AND($E221&lt;='07-Paper Priority'!$D$10,$F221&lt;='07-Paper Priority'!$C$10))),'07-Paper Priority'!$A$10,"")</f>
        <v/>
      </c>
      <c r="Y221" t="str">
        <f>IF(AND('07-Paper Priority'!$A$11&gt;=MATCH($J221,'07-Paper Priority'!$B$5:$B$26,0),OR(AND($E221&lt;='07-Paper Priority'!$C$11,$F221&lt;='07-Paper Priority'!$D$11),AND($E221&lt;='07-Paper Priority'!$D$11,$F221&lt;='07-Paper Priority'!$C$11))),'07-Paper Priority'!$A$11,"")</f>
        <v/>
      </c>
      <c r="Z221" t="str">
        <f>IF(AND('07-Paper Priority'!$A$12&gt;=MATCH($J221,'07-Paper Priority'!$B$5:$B$26,0),OR(AND($E221&lt;='07-Paper Priority'!$C$12,$F221&lt;='07-Paper Priority'!$D$12),AND($E221&lt;='07-Paper Priority'!$D$12,$F221&lt;='07-Paper Priority'!$C$12))),'07-Paper Priority'!$A$12,"")</f>
        <v/>
      </c>
      <c r="AA221" t="str">
        <f>IF(AND('07-Paper Priority'!$A$13&gt;=MATCH($J221,'07-Paper Priority'!$B$5:$B$26,0),OR(AND($E221&lt;='07-Paper Priority'!$C$13,$F221&lt;='07-Paper Priority'!$D$13),AND($E221&lt;='07-Paper Priority'!$D$13,$F221&lt;='07-Paper Priority'!$C$13))),'07-Paper Priority'!$A$13,"")</f>
        <v/>
      </c>
      <c r="AB221" t="str">
        <f>IF(AND('07-Paper Priority'!$A$14&gt;=MATCH($J221,'07-Paper Priority'!$B$5:$B$26,0),OR(AND($E221&lt;='07-Paper Priority'!$C$14,$F221&lt;='07-Paper Priority'!$D$14),AND($E221&lt;='07-Paper Priority'!$D$14,$F221&lt;='07-Paper Priority'!$C$14))),'07-Paper Priority'!$A$14,"")</f>
        <v/>
      </c>
      <c r="AC221" t="str">
        <f>IF(AND('07-Paper Priority'!$A$15&gt;=MATCH($J221,'07-Paper Priority'!$B$5:$B$26,0),OR(AND($E221&lt;='07-Paper Priority'!$C$15,$F221&lt;='07-Paper Priority'!$D$15),AND($E221&lt;='07-Paper Priority'!$D$15,$F221&lt;='07-Paper Priority'!$C$15))),'07-Paper Priority'!$A$15,"")</f>
        <v/>
      </c>
      <c r="AD221" t="str">
        <f>IF(AND('07-Paper Priority'!$A$16&gt;=MATCH($J221,'07-Paper Priority'!$B$5:$B$26,0),OR(AND($E221&lt;='07-Paper Priority'!$C$16,$F221&lt;='07-Paper Priority'!$D$16),AND($E221&lt;='07-Paper Priority'!$D$16,$F221&lt;='07-Paper Priority'!$C$16))),'07-Paper Priority'!$A$16,"")</f>
        <v/>
      </c>
      <c r="AE221" t="str">
        <f>IF(AND('07-Paper Priority'!$A$17&gt;=MATCH($J221,'07-Paper Priority'!$B$5:$B$26,0),OR(AND($E221&lt;='07-Paper Priority'!$C$17,$F221&lt;='07-Paper Priority'!$D$17),AND($E221&lt;='07-Paper Priority'!$D$17,$F221&lt;='07-Paper Priority'!$C$17))),'07-Paper Priority'!$A$17,"")</f>
        <v/>
      </c>
      <c r="AF221">
        <f>IF(AND('07-Paper Priority'!$A$18&gt;=MATCH($J221,'07-Paper Priority'!$B$5:$B$26,0),OR(AND($E221&lt;='07-Paper Priority'!$C$18,$F221&lt;='07-Paper Priority'!$D$18),AND($E221&lt;='07-Paper Priority'!$D$18,$F221&lt;='07-Paper Priority'!$C$18))),'07-Paper Priority'!$A$18,"")</f>
        <v>14</v>
      </c>
      <c r="AG221">
        <f>IF(AND('07-Paper Priority'!$A$19&gt;=MATCH($J221,'07-Paper Priority'!$B$5:$B$26,0),OR(AND($E221&lt;='07-Paper Priority'!$C$19,$F221&lt;='07-Paper Priority'!$D$19),AND($E221&lt;='07-Paper Priority'!$D$19,$F221&lt;='07-Paper Priority'!$C$19))),'07-Paper Priority'!$A$19,"")</f>
        <v>15</v>
      </c>
      <c r="AH221">
        <f>IF(AND('07-Paper Priority'!$A$20&gt;=MATCH($J221,'07-Paper Priority'!$B$5:$B$26,0),OR(AND($E221&lt;='07-Paper Priority'!$C$20,$F221&lt;='07-Paper Priority'!$D$20),AND($E221&lt;='07-Paper Priority'!$D$20,$F221&lt;='07-Paper Priority'!$C$20))),'07-Paper Priority'!$A$20,"")</f>
        <v>16</v>
      </c>
      <c r="AI221">
        <f>IF(AND('07-Paper Priority'!$A$21&gt;=MATCH($J221,'07-Paper Priority'!$B$5:$B$26,0),OR(AND($E221&lt;='07-Paper Priority'!$C$21,$F221&lt;='07-Paper Priority'!$D$21),AND($E221&lt;='07-Paper Priority'!$D$21,$F221&lt;='07-Paper Priority'!$C$21))),'07-Paper Priority'!$A$21,"")</f>
        <v>17</v>
      </c>
      <c r="AJ221">
        <f>IF(AND('07-Paper Priority'!$A$22&gt;=MATCH($J221,'07-Paper Priority'!$B$5:$B$26,0),OR(AND($E221&lt;='07-Paper Priority'!$C$22,$F221&lt;='07-Paper Priority'!$D$22),AND($E221&lt;='07-Paper Priority'!$D$22,$F221&lt;='07-Paper Priority'!$C$22))),'07-Paper Priority'!$A$22,"")</f>
        <v>18</v>
      </c>
      <c r="AK221">
        <f>IF(AND('07-Paper Priority'!$A$23&gt;=MATCH($J221,'07-Paper Priority'!$B$5:$B$26,0),OR(AND($E221&lt;='07-Paper Priority'!$C$23,$F221&lt;='07-Paper Priority'!$D$23),AND($E221&lt;='07-Paper Priority'!$D$23,$F221&lt;='07-Paper Priority'!$C$23))),'07-Paper Priority'!$A$23,"")</f>
        <v>19</v>
      </c>
      <c r="AL221">
        <f>IF(AND('07-Paper Priority'!$A$24&gt;=MATCH($J221,'07-Paper Priority'!$B$5:$B$26,0),OR(AND($E221&lt;='07-Paper Priority'!$C$24,$F221&lt;='07-Paper Priority'!$D$24),AND($E221&lt;='07-Paper Priority'!$D$24,$F221&lt;='07-Paper Priority'!$C$24))),'07-Paper Priority'!$A$24,"")</f>
        <v>20</v>
      </c>
      <c r="AM221">
        <f>IF(AND('07-Paper Priority'!$A$25&gt;=MATCH($J221,'07-Paper Priority'!$B$5:$B$26,0),OR(AND($E221&lt;='07-Paper Priority'!$C$25,$F221&lt;='07-Paper Priority'!$D$25),AND($E221&lt;='07-Paper Priority'!$D$25,$F221&lt;='07-Paper Priority'!$C$25))),'07-Paper Priority'!$A$25,"")</f>
        <v>21</v>
      </c>
      <c r="AN221">
        <f>IF(AND('07-Paper Priority'!$A$26&gt;=MATCH($J221,'07-Paper Priority'!$B$5:$B$26,0),OR(AND($E221&lt;='07-Paper Priority'!$C$26,$F221&lt;='07-Paper Priority'!$D$26),AND($E221&lt;='07-Paper Priority'!$D$26,$F221&lt;='07-Paper Priority'!$C$26))),'07-Paper Priority'!$A$26,"")</f>
        <v>22</v>
      </c>
    </row>
    <row r="222" spans="1:40" ht="33.950000000000003" customHeight="1">
      <c r="A222" s="32" t="s">
        <v>2804</v>
      </c>
      <c r="B222" s="32" t="s">
        <v>2774</v>
      </c>
      <c r="C222" s="32" t="s">
        <v>2641</v>
      </c>
      <c r="D222" s="32" t="s">
        <v>2655</v>
      </c>
      <c r="E222" s="23">
        <v>220</v>
      </c>
      <c r="F222" s="23">
        <v>280</v>
      </c>
      <c r="G222" s="32" t="s">
        <v>2656</v>
      </c>
      <c r="H222" s="32" t="s">
        <v>2657</v>
      </c>
      <c r="I222" s="24" t="s">
        <v>64</v>
      </c>
      <c r="J222" s="25" t="s">
        <v>1980</v>
      </c>
      <c r="K222" s="26" t="str">
        <f>IF(COUNT(S222:AN222)=0,"NO FIT",INDEX('07-Paper Priority'!$B$5:$B$26,MIN(S222:AN222)))</f>
        <v>B4</v>
      </c>
      <c r="L222" s="26" t="str">
        <f>IF($K222="NO FIT","",IF(AND($E222&lt;=INDEX('07-Paper Priority'!$C$5:$C$26,MATCH($K222,'07-Paper Priority'!$B$5:$B$26,0)),$F222&lt;=INDEX('07-Paper Priority'!$D$5:$D$26,MATCH($K222,'07-Paper Priority'!$B$5:$B$26,0))),"PORTRAIT","ROTATED"))</f>
        <v>PORTRAIT</v>
      </c>
      <c r="M222" s="27">
        <f>IF($K222="NO FIT","",IF($L222="PORTRAIT",INDEX('07-Paper Priority'!$C$5:$C$26,MATCH($K222,'07-Paper Priority'!$B$5:$B$26,0)),INDEX('07-Paper Priority'!$D$5:$D$26,MATCH($K222,'07-Paper Priority'!$B$5:$B$26,0))))</f>
        <v>250</v>
      </c>
      <c r="N222" s="27">
        <f>IF($K222="NO FIT","",IF($L222="PORTRAIT",INDEX('07-Paper Priority'!$D$5:$D$26,MATCH($K222,'07-Paper Priority'!$B$5:$B$26,0)),INDEX('07-Paper Priority'!$C$5:$C$26,MATCH($K222,'07-Paper Priority'!$B$5:$B$26,0))))</f>
        <v>353</v>
      </c>
      <c r="O222" s="27">
        <f>IF($K222="NO FIT","",$M222-$E222)</f>
        <v>30</v>
      </c>
      <c r="P222" s="27">
        <f>IF($K222="NO FIT","",$N222-$F222)</f>
        <v>73</v>
      </c>
      <c r="Q222" s="28" t="str">
        <f>IF($K222="NO FIT","REVIEW - NO PAPER FIT",IF(OR($O222&lt;0,$P222&lt;0),"ERROR - FIT",IF(COUNTIF('02-Printing Size'!$A$2:$A$2169,$K222)=0,"ERROR - CODE MISSING","VALID - LOWEST PAPER")))</f>
        <v>VALID - LOWEST PAPER</v>
      </c>
      <c r="R222" s="32" t="s">
        <v>2805</v>
      </c>
      <c r="S222" t="str">
        <f>IF(AND('07-Paper Priority'!$A$5&gt;=MATCH($J222,'07-Paper Priority'!$B$5:$B$26,0),OR(AND($E222&lt;='07-Paper Priority'!$C$5,$F222&lt;='07-Paper Priority'!$D$5),AND($E222&lt;='07-Paper Priority'!$D$5,$F222&lt;='07-Paper Priority'!$C$5))),'07-Paper Priority'!$A$5,"")</f>
        <v/>
      </c>
      <c r="T222" t="str">
        <f>IF(AND('07-Paper Priority'!$A$6&gt;=MATCH($J222,'07-Paper Priority'!$B$5:$B$26,0),OR(AND($E222&lt;='07-Paper Priority'!$C$6,$F222&lt;='07-Paper Priority'!$D$6),AND($E222&lt;='07-Paper Priority'!$D$6,$F222&lt;='07-Paper Priority'!$C$6))),'07-Paper Priority'!$A$6,"")</f>
        <v/>
      </c>
      <c r="U222" t="str">
        <f>IF(AND('07-Paper Priority'!$A$7&gt;=MATCH($J222,'07-Paper Priority'!$B$5:$B$26,0),OR(AND($E222&lt;='07-Paper Priority'!$C$7,$F222&lt;='07-Paper Priority'!$D$7),AND($E222&lt;='07-Paper Priority'!$D$7,$F222&lt;='07-Paper Priority'!$C$7))),'07-Paper Priority'!$A$7,"")</f>
        <v/>
      </c>
      <c r="V222" t="str">
        <f>IF(AND('07-Paper Priority'!$A$8&gt;=MATCH($J222,'07-Paper Priority'!$B$5:$B$26,0),OR(AND($E222&lt;='07-Paper Priority'!$C$8,$F222&lt;='07-Paper Priority'!$D$8),AND($E222&lt;='07-Paper Priority'!$D$8,$F222&lt;='07-Paper Priority'!$C$8))),'07-Paper Priority'!$A$8,"")</f>
        <v/>
      </c>
      <c r="W222" t="str">
        <f>IF(AND('07-Paper Priority'!$A$9&gt;=MATCH($J222,'07-Paper Priority'!$B$5:$B$26,0),OR(AND($E222&lt;='07-Paper Priority'!$C$9,$F222&lt;='07-Paper Priority'!$D$9),AND($E222&lt;='07-Paper Priority'!$D$9,$F222&lt;='07-Paper Priority'!$C$9))),'07-Paper Priority'!$A$9,"")</f>
        <v/>
      </c>
      <c r="X222" t="str">
        <f>IF(AND('07-Paper Priority'!$A$10&gt;=MATCH($J222,'07-Paper Priority'!$B$5:$B$26,0),OR(AND($E222&lt;='07-Paper Priority'!$C$10,$F222&lt;='07-Paper Priority'!$D$10),AND($E222&lt;='07-Paper Priority'!$D$10,$F222&lt;='07-Paper Priority'!$C$10))),'07-Paper Priority'!$A$10,"")</f>
        <v/>
      </c>
      <c r="Y222" t="str">
        <f>IF(AND('07-Paper Priority'!$A$11&gt;=MATCH($J222,'07-Paper Priority'!$B$5:$B$26,0),OR(AND($E222&lt;='07-Paper Priority'!$C$11,$F222&lt;='07-Paper Priority'!$D$11),AND($E222&lt;='07-Paper Priority'!$D$11,$F222&lt;='07-Paper Priority'!$C$11))),'07-Paper Priority'!$A$11,"")</f>
        <v/>
      </c>
      <c r="Z222" t="str">
        <f>IF(AND('07-Paper Priority'!$A$12&gt;=MATCH($J222,'07-Paper Priority'!$B$5:$B$26,0),OR(AND($E222&lt;='07-Paper Priority'!$C$12,$F222&lt;='07-Paper Priority'!$D$12),AND($E222&lt;='07-Paper Priority'!$D$12,$F222&lt;='07-Paper Priority'!$C$12))),'07-Paper Priority'!$A$12,"")</f>
        <v/>
      </c>
      <c r="AA222" t="str">
        <f>IF(AND('07-Paper Priority'!$A$13&gt;=MATCH($J222,'07-Paper Priority'!$B$5:$B$26,0),OR(AND($E222&lt;='07-Paper Priority'!$C$13,$F222&lt;='07-Paper Priority'!$D$13),AND($E222&lt;='07-Paper Priority'!$D$13,$F222&lt;='07-Paper Priority'!$C$13))),'07-Paper Priority'!$A$13,"")</f>
        <v/>
      </c>
      <c r="AB222" t="str">
        <f>IF(AND('07-Paper Priority'!$A$14&gt;=MATCH($J222,'07-Paper Priority'!$B$5:$B$26,0),OR(AND($E222&lt;='07-Paper Priority'!$C$14,$F222&lt;='07-Paper Priority'!$D$14),AND($E222&lt;='07-Paper Priority'!$D$14,$F222&lt;='07-Paper Priority'!$C$14))),'07-Paper Priority'!$A$14,"")</f>
        <v/>
      </c>
      <c r="AC222" t="str">
        <f>IF(AND('07-Paper Priority'!$A$15&gt;=MATCH($J222,'07-Paper Priority'!$B$5:$B$26,0),OR(AND($E222&lt;='07-Paper Priority'!$C$15,$F222&lt;='07-Paper Priority'!$D$15),AND($E222&lt;='07-Paper Priority'!$D$15,$F222&lt;='07-Paper Priority'!$C$15))),'07-Paper Priority'!$A$15,"")</f>
        <v/>
      </c>
      <c r="AD222" t="str">
        <f>IF(AND('07-Paper Priority'!$A$16&gt;=MATCH($J222,'07-Paper Priority'!$B$5:$B$26,0),OR(AND($E222&lt;='07-Paper Priority'!$C$16,$F222&lt;='07-Paper Priority'!$D$16),AND($E222&lt;='07-Paper Priority'!$D$16,$F222&lt;='07-Paper Priority'!$C$16))),'07-Paper Priority'!$A$16,"")</f>
        <v/>
      </c>
      <c r="AE222" t="str">
        <f>IF(AND('07-Paper Priority'!$A$17&gt;=MATCH($J222,'07-Paper Priority'!$B$5:$B$26,0),OR(AND($E222&lt;='07-Paper Priority'!$C$17,$F222&lt;='07-Paper Priority'!$D$17),AND($E222&lt;='07-Paper Priority'!$D$17,$F222&lt;='07-Paper Priority'!$C$17))),'07-Paper Priority'!$A$17,"")</f>
        <v/>
      </c>
      <c r="AF222">
        <f>IF(AND('07-Paper Priority'!$A$18&gt;=MATCH($J222,'07-Paper Priority'!$B$5:$B$26,0),OR(AND($E222&lt;='07-Paper Priority'!$C$18,$F222&lt;='07-Paper Priority'!$D$18),AND($E222&lt;='07-Paper Priority'!$D$18,$F222&lt;='07-Paper Priority'!$C$18))),'07-Paper Priority'!$A$18,"")</f>
        <v>14</v>
      </c>
      <c r="AG222">
        <f>IF(AND('07-Paper Priority'!$A$19&gt;=MATCH($J222,'07-Paper Priority'!$B$5:$B$26,0),OR(AND($E222&lt;='07-Paper Priority'!$C$19,$F222&lt;='07-Paper Priority'!$D$19),AND($E222&lt;='07-Paper Priority'!$D$19,$F222&lt;='07-Paper Priority'!$C$19))),'07-Paper Priority'!$A$19,"")</f>
        <v>15</v>
      </c>
      <c r="AH222">
        <f>IF(AND('07-Paper Priority'!$A$20&gt;=MATCH($J222,'07-Paper Priority'!$B$5:$B$26,0),OR(AND($E222&lt;='07-Paper Priority'!$C$20,$F222&lt;='07-Paper Priority'!$D$20),AND($E222&lt;='07-Paper Priority'!$D$20,$F222&lt;='07-Paper Priority'!$C$20))),'07-Paper Priority'!$A$20,"")</f>
        <v>16</v>
      </c>
      <c r="AI222">
        <f>IF(AND('07-Paper Priority'!$A$21&gt;=MATCH($J222,'07-Paper Priority'!$B$5:$B$26,0),OR(AND($E222&lt;='07-Paper Priority'!$C$21,$F222&lt;='07-Paper Priority'!$D$21),AND($E222&lt;='07-Paper Priority'!$D$21,$F222&lt;='07-Paper Priority'!$C$21))),'07-Paper Priority'!$A$21,"")</f>
        <v>17</v>
      </c>
      <c r="AJ222">
        <f>IF(AND('07-Paper Priority'!$A$22&gt;=MATCH($J222,'07-Paper Priority'!$B$5:$B$26,0),OR(AND($E222&lt;='07-Paper Priority'!$C$22,$F222&lt;='07-Paper Priority'!$D$22),AND($E222&lt;='07-Paper Priority'!$D$22,$F222&lt;='07-Paper Priority'!$C$22))),'07-Paper Priority'!$A$22,"")</f>
        <v>18</v>
      </c>
      <c r="AK222">
        <f>IF(AND('07-Paper Priority'!$A$23&gt;=MATCH($J222,'07-Paper Priority'!$B$5:$B$26,0),OR(AND($E222&lt;='07-Paper Priority'!$C$23,$F222&lt;='07-Paper Priority'!$D$23),AND($E222&lt;='07-Paper Priority'!$D$23,$F222&lt;='07-Paper Priority'!$C$23))),'07-Paper Priority'!$A$23,"")</f>
        <v>19</v>
      </c>
      <c r="AL222">
        <f>IF(AND('07-Paper Priority'!$A$24&gt;=MATCH($J222,'07-Paper Priority'!$B$5:$B$26,0),OR(AND($E222&lt;='07-Paper Priority'!$C$24,$F222&lt;='07-Paper Priority'!$D$24),AND($E222&lt;='07-Paper Priority'!$D$24,$F222&lt;='07-Paper Priority'!$C$24))),'07-Paper Priority'!$A$24,"")</f>
        <v>20</v>
      </c>
      <c r="AM222">
        <f>IF(AND('07-Paper Priority'!$A$25&gt;=MATCH($J222,'07-Paper Priority'!$B$5:$B$26,0),OR(AND($E222&lt;='07-Paper Priority'!$C$25,$F222&lt;='07-Paper Priority'!$D$25),AND($E222&lt;='07-Paper Priority'!$D$25,$F222&lt;='07-Paper Priority'!$C$25))),'07-Paper Priority'!$A$25,"")</f>
        <v>21</v>
      </c>
      <c r="AN222">
        <f>IF(AND('07-Paper Priority'!$A$26&gt;=MATCH($J222,'07-Paper Priority'!$B$5:$B$26,0),OR(AND($E222&lt;='07-Paper Priority'!$C$26,$F222&lt;='07-Paper Priority'!$D$26),AND($E222&lt;='07-Paper Priority'!$D$26,$F222&lt;='07-Paper Priority'!$C$26))),'07-Paper Priority'!$A$26,"")</f>
        <v>22</v>
      </c>
    </row>
    <row r="223" spans="1:40" ht="33.950000000000003" customHeight="1">
      <c r="A223" s="32" t="s">
        <v>2806</v>
      </c>
      <c r="B223" s="32" t="s">
        <v>2774</v>
      </c>
      <c r="C223" s="32" t="s">
        <v>2671</v>
      </c>
      <c r="D223" s="32" t="s">
        <v>2672</v>
      </c>
      <c r="E223" s="23">
        <v>180</v>
      </c>
      <c r="F223" s="23">
        <v>210</v>
      </c>
      <c r="G223" s="32" t="s">
        <v>2642</v>
      </c>
      <c r="H223" s="32" t="s">
        <v>2807</v>
      </c>
      <c r="I223" s="24" t="s">
        <v>64</v>
      </c>
      <c r="J223" s="25" t="s">
        <v>504</v>
      </c>
      <c r="K223" s="26" t="str">
        <f>IF(COUNT(S223:AN223)=0,"NO FIT",INDEX('07-Paper Priority'!$B$5:$B$26,MIN(S223:AN223)))</f>
        <v>A4</v>
      </c>
      <c r="L223" s="26" t="str">
        <f>IF($K223="NO FIT","",IF(AND($E223&lt;=INDEX('07-Paper Priority'!$C$5:$C$26,MATCH($K223,'07-Paper Priority'!$B$5:$B$26,0)),$F223&lt;=INDEX('07-Paper Priority'!$D$5:$D$26,MATCH($K223,'07-Paper Priority'!$B$5:$B$26,0))),"PORTRAIT","ROTATED"))</f>
        <v>PORTRAIT</v>
      </c>
      <c r="M223" s="27">
        <f>IF($K223="NO FIT","",IF($L223="PORTRAIT",INDEX('07-Paper Priority'!$C$5:$C$26,MATCH($K223,'07-Paper Priority'!$B$5:$B$26,0)),INDEX('07-Paper Priority'!$D$5:$D$26,MATCH($K223,'07-Paper Priority'!$B$5:$B$26,0))))</f>
        <v>210</v>
      </c>
      <c r="N223" s="27">
        <f>IF($K223="NO FIT","",IF($L223="PORTRAIT",INDEX('07-Paper Priority'!$D$5:$D$26,MATCH($K223,'07-Paper Priority'!$B$5:$B$26,0)),INDEX('07-Paper Priority'!$C$5:$C$26,MATCH($K223,'07-Paper Priority'!$B$5:$B$26,0))))</f>
        <v>297</v>
      </c>
      <c r="O223" s="27">
        <f>IF($K223="NO FIT","",$M223-$E223)</f>
        <v>30</v>
      </c>
      <c r="P223" s="27">
        <f>IF($K223="NO FIT","",$N223-$F223)</f>
        <v>87</v>
      </c>
      <c r="Q223" s="28" t="str">
        <f>IF($K223="NO FIT","REVIEW - NO PAPER FIT",IF(OR($O223&lt;0,$P223&lt;0),"ERROR - FIT",IF(COUNTIF('02-Printing Size'!$A$2:$A$2169,$K223)=0,"ERROR - CODE MISSING","VALID - LOWEST PAPER")))</f>
        <v>VALID - LOWEST PAPER</v>
      </c>
      <c r="R223" s="32" t="s">
        <v>2674</v>
      </c>
      <c r="S223" t="str">
        <f>IF(AND('07-Paper Priority'!$A$5&gt;=MATCH($J223,'07-Paper Priority'!$B$5:$B$26,0),OR(AND($E223&lt;='07-Paper Priority'!$C$5,$F223&lt;='07-Paper Priority'!$D$5),AND($E223&lt;='07-Paper Priority'!$D$5,$F223&lt;='07-Paper Priority'!$C$5))),'07-Paper Priority'!$A$5,"")</f>
        <v/>
      </c>
      <c r="T223" t="str">
        <f>IF(AND('07-Paper Priority'!$A$6&gt;=MATCH($J223,'07-Paper Priority'!$B$5:$B$26,0),OR(AND($E223&lt;='07-Paper Priority'!$C$6,$F223&lt;='07-Paper Priority'!$D$6),AND($E223&lt;='07-Paper Priority'!$D$6,$F223&lt;='07-Paper Priority'!$C$6))),'07-Paper Priority'!$A$6,"")</f>
        <v/>
      </c>
      <c r="U223" t="str">
        <f>IF(AND('07-Paper Priority'!$A$7&gt;=MATCH($J223,'07-Paper Priority'!$B$5:$B$26,0),OR(AND($E223&lt;='07-Paper Priority'!$C$7,$F223&lt;='07-Paper Priority'!$D$7),AND($E223&lt;='07-Paper Priority'!$D$7,$F223&lt;='07-Paper Priority'!$C$7))),'07-Paper Priority'!$A$7,"")</f>
        <v/>
      </c>
      <c r="V223" t="str">
        <f>IF(AND('07-Paper Priority'!$A$8&gt;=MATCH($J223,'07-Paper Priority'!$B$5:$B$26,0),OR(AND($E223&lt;='07-Paper Priority'!$C$8,$F223&lt;='07-Paper Priority'!$D$8),AND($E223&lt;='07-Paper Priority'!$D$8,$F223&lt;='07-Paper Priority'!$C$8))),'07-Paper Priority'!$A$8,"")</f>
        <v/>
      </c>
      <c r="W223" t="str">
        <f>IF(AND('07-Paper Priority'!$A$9&gt;=MATCH($J223,'07-Paper Priority'!$B$5:$B$26,0),OR(AND($E223&lt;='07-Paper Priority'!$C$9,$F223&lt;='07-Paper Priority'!$D$9),AND($E223&lt;='07-Paper Priority'!$D$9,$F223&lt;='07-Paper Priority'!$C$9))),'07-Paper Priority'!$A$9,"")</f>
        <v/>
      </c>
      <c r="X223" t="str">
        <f>IF(AND('07-Paper Priority'!$A$10&gt;=MATCH($J223,'07-Paper Priority'!$B$5:$B$26,0),OR(AND($E223&lt;='07-Paper Priority'!$C$10,$F223&lt;='07-Paper Priority'!$D$10),AND($E223&lt;='07-Paper Priority'!$D$10,$F223&lt;='07-Paper Priority'!$C$10))),'07-Paper Priority'!$A$10,"")</f>
        <v/>
      </c>
      <c r="Y223" t="str">
        <f>IF(AND('07-Paper Priority'!$A$11&gt;=MATCH($J223,'07-Paper Priority'!$B$5:$B$26,0),OR(AND($E223&lt;='07-Paper Priority'!$C$11,$F223&lt;='07-Paper Priority'!$D$11),AND($E223&lt;='07-Paper Priority'!$D$11,$F223&lt;='07-Paper Priority'!$C$11))),'07-Paper Priority'!$A$11,"")</f>
        <v/>
      </c>
      <c r="Z223" t="str">
        <f>IF(AND('07-Paper Priority'!$A$12&gt;=MATCH($J223,'07-Paper Priority'!$B$5:$B$26,0),OR(AND($E223&lt;='07-Paper Priority'!$C$12,$F223&lt;='07-Paper Priority'!$D$12),AND($E223&lt;='07-Paper Priority'!$D$12,$F223&lt;='07-Paper Priority'!$C$12))),'07-Paper Priority'!$A$12,"")</f>
        <v/>
      </c>
      <c r="AA223" t="str">
        <f>IF(AND('07-Paper Priority'!$A$13&gt;=MATCH($J223,'07-Paper Priority'!$B$5:$B$26,0),OR(AND($E223&lt;='07-Paper Priority'!$C$13,$F223&lt;='07-Paper Priority'!$D$13),AND($E223&lt;='07-Paper Priority'!$D$13,$F223&lt;='07-Paper Priority'!$C$13))),'07-Paper Priority'!$A$13,"")</f>
        <v/>
      </c>
      <c r="AB223" t="str">
        <f>IF(AND('07-Paper Priority'!$A$14&gt;=MATCH($J223,'07-Paper Priority'!$B$5:$B$26,0),OR(AND($E223&lt;='07-Paper Priority'!$C$14,$F223&lt;='07-Paper Priority'!$D$14),AND($E223&lt;='07-Paper Priority'!$D$14,$F223&lt;='07-Paper Priority'!$C$14))),'07-Paper Priority'!$A$14,"")</f>
        <v/>
      </c>
      <c r="AC223" t="str">
        <f>IF(AND('07-Paper Priority'!$A$15&gt;=MATCH($J223,'07-Paper Priority'!$B$5:$B$26,0),OR(AND($E223&lt;='07-Paper Priority'!$C$15,$F223&lt;='07-Paper Priority'!$D$15),AND($E223&lt;='07-Paper Priority'!$D$15,$F223&lt;='07-Paper Priority'!$C$15))),'07-Paper Priority'!$A$15,"")</f>
        <v/>
      </c>
      <c r="AD223" t="str">
        <f>IF(AND('07-Paper Priority'!$A$16&gt;=MATCH($J223,'07-Paper Priority'!$B$5:$B$26,0),OR(AND($E223&lt;='07-Paper Priority'!$C$16,$F223&lt;='07-Paper Priority'!$D$16),AND($E223&lt;='07-Paper Priority'!$D$16,$F223&lt;='07-Paper Priority'!$C$16))),'07-Paper Priority'!$A$16,"")</f>
        <v/>
      </c>
      <c r="AE223">
        <f>IF(AND('07-Paper Priority'!$A$17&gt;=MATCH($J223,'07-Paper Priority'!$B$5:$B$26,0),OR(AND($E223&lt;='07-Paper Priority'!$C$17,$F223&lt;='07-Paper Priority'!$D$17),AND($E223&lt;='07-Paper Priority'!$D$17,$F223&lt;='07-Paper Priority'!$C$17))),'07-Paper Priority'!$A$17,"")</f>
        <v>13</v>
      </c>
      <c r="AF223">
        <f>IF(AND('07-Paper Priority'!$A$18&gt;=MATCH($J223,'07-Paper Priority'!$B$5:$B$26,0),OR(AND($E223&lt;='07-Paper Priority'!$C$18,$F223&lt;='07-Paper Priority'!$D$18),AND($E223&lt;='07-Paper Priority'!$D$18,$F223&lt;='07-Paper Priority'!$C$18))),'07-Paper Priority'!$A$18,"")</f>
        <v>14</v>
      </c>
      <c r="AG223">
        <f>IF(AND('07-Paper Priority'!$A$19&gt;=MATCH($J223,'07-Paper Priority'!$B$5:$B$26,0),OR(AND($E223&lt;='07-Paper Priority'!$C$19,$F223&lt;='07-Paper Priority'!$D$19),AND($E223&lt;='07-Paper Priority'!$D$19,$F223&lt;='07-Paper Priority'!$C$19))),'07-Paper Priority'!$A$19,"")</f>
        <v>15</v>
      </c>
      <c r="AH223">
        <f>IF(AND('07-Paper Priority'!$A$20&gt;=MATCH($J223,'07-Paper Priority'!$B$5:$B$26,0),OR(AND($E223&lt;='07-Paper Priority'!$C$20,$F223&lt;='07-Paper Priority'!$D$20),AND($E223&lt;='07-Paper Priority'!$D$20,$F223&lt;='07-Paper Priority'!$C$20))),'07-Paper Priority'!$A$20,"")</f>
        <v>16</v>
      </c>
      <c r="AI223">
        <f>IF(AND('07-Paper Priority'!$A$21&gt;=MATCH($J223,'07-Paper Priority'!$B$5:$B$26,0),OR(AND($E223&lt;='07-Paper Priority'!$C$21,$F223&lt;='07-Paper Priority'!$D$21),AND($E223&lt;='07-Paper Priority'!$D$21,$F223&lt;='07-Paper Priority'!$C$21))),'07-Paper Priority'!$A$21,"")</f>
        <v>17</v>
      </c>
      <c r="AJ223">
        <f>IF(AND('07-Paper Priority'!$A$22&gt;=MATCH($J223,'07-Paper Priority'!$B$5:$B$26,0),OR(AND($E223&lt;='07-Paper Priority'!$C$22,$F223&lt;='07-Paper Priority'!$D$22),AND($E223&lt;='07-Paper Priority'!$D$22,$F223&lt;='07-Paper Priority'!$C$22))),'07-Paper Priority'!$A$22,"")</f>
        <v>18</v>
      </c>
      <c r="AK223">
        <f>IF(AND('07-Paper Priority'!$A$23&gt;=MATCH($J223,'07-Paper Priority'!$B$5:$B$26,0),OR(AND($E223&lt;='07-Paper Priority'!$C$23,$F223&lt;='07-Paper Priority'!$D$23),AND($E223&lt;='07-Paper Priority'!$D$23,$F223&lt;='07-Paper Priority'!$C$23))),'07-Paper Priority'!$A$23,"")</f>
        <v>19</v>
      </c>
      <c r="AL223">
        <f>IF(AND('07-Paper Priority'!$A$24&gt;=MATCH($J223,'07-Paper Priority'!$B$5:$B$26,0),OR(AND($E223&lt;='07-Paper Priority'!$C$24,$F223&lt;='07-Paper Priority'!$D$24),AND($E223&lt;='07-Paper Priority'!$D$24,$F223&lt;='07-Paper Priority'!$C$24))),'07-Paper Priority'!$A$24,"")</f>
        <v>20</v>
      </c>
      <c r="AM223">
        <f>IF(AND('07-Paper Priority'!$A$25&gt;=MATCH($J223,'07-Paper Priority'!$B$5:$B$26,0),OR(AND($E223&lt;='07-Paper Priority'!$C$25,$F223&lt;='07-Paper Priority'!$D$25),AND($E223&lt;='07-Paper Priority'!$D$25,$F223&lt;='07-Paper Priority'!$C$25))),'07-Paper Priority'!$A$25,"")</f>
        <v>21</v>
      </c>
      <c r="AN223">
        <f>IF(AND('07-Paper Priority'!$A$26&gt;=MATCH($J223,'07-Paper Priority'!$B$5:$B$26,0),OR(AND($E223&lt;='07-Paper Priority'!$C$26,$F223&lt;='07-Paper Priority'!$D$26),AND($E223&lt;='07-Paper Priority'!$D$26,$F223&lt;='07-Paper Priority'!$C$26))),'07-Paper Priority'!$A$26,"")</f>
        <v>22</v>
      </c>
    </row>
    <row r="224" spans="1:40" ht="33.950000000000003" customHeight="1">
      <c r="A224" s="32" t="s">
        <v>2808</v>
      </c>
      <c r="B224" s="32" t="s">
        <v>2774</v>
      </c>
      <c r="C224" s="32" t="s">
        <v>2671</v>
      </c>
      <c r="D224" s="32" t="s">
        <v>2672</v>
      </c>
      <c r="E224" s="23">
        <v>180</v>
      </c>
      <c r="F224" s="23">
        <v>230</v>
      </c>
      <c r="G224" s="32" t="s">
        <v>2656</v>
      </c>
      <c r="H224" s="32" t="s">
        <v>2809</v>
      </c>
      <c r="I224" s="24" t="s">
        <v>64</v>
      </c>
      <c r="J224" s="25" t="s">
        <v>504</v>
      </c>
      <c r="K224" s="26" t="str">
        <f>IF(COUNT(S224:AN224)=0,"NO FIT",INDEX('07-Paper Priority'!$B$5:$B$26,MIN(S224:AN224)))</f>
        <v>A4</v>
      </c>
      <c r="L224" s="26" t="str">
        <f>IF($K224="NO FIT","",IF(AND($E224&lt;=INDEX('07-Paper Priority'!$C$5:$C$26,MATCH($K224,'07-Paper Priority'!$B$5:$B$26,0)),$F224&lt;=INDEX('07-Paper Priority'!$D$5:$D$26,MATCH($K224,'07-Paper Priority'!$B$5:$B$26,0))),"PORTRAIT","ROTATED"))</f>
        <v>PORTRAIT</v>
      </c>
      <c r="M224" s="27">
        <f>IF($K224="NO FIT","",IF($L224="PORTRAIT",INDEX('07-Paper Priority'!$C$5:$C$26,MATCH($K224,'07-Paper Priority'!$B$5:$B$26,0)),INDEX('07-Paper Priority'!$D$5:$D$26,MATCH($K224,'07-Paper Priority'!$B$5:$B$26,0))))</f>
        <v>210</v>
      </c>
      <c r="N224" s="27">
        <f>IF($K224="NO FIT","",IF($L224="PORTRAIT",INDEX('07-Paper Priority'!$D$5:$D$26,MATCH($K224,'07-Paper Priority'!$B$5:$B$26,0)),INDEX('07-Paper Priority'!$C$5:$C$26,MATCH($K224,'07-Paper Priority'!$B$5:$B$26,0))))</f>
        <v>297</v>
      </c>
      <c r="O224" s="27">
        <f>IF($K224="NO FIT","",$M224-$E224)</f>
        <v>30</v>
      </c>
      <c r="P224" s="27">
        <f>IF($K224="NO FIT","",$N224-$F224)</f>
        <v>67</v>
      </c>
      <c r="Q224" s="28" t="str">
        <f>IF($K224="NO FIT","REVIEW - NO PAPER FIT",IF(OR($O224&lt;0,$P224&lt;0),"ERROR - FIT",IF(COUNTIF('02-Printing Size'!$A$2:$A$2169,$K224)=0,"ERROR - CODE MISSING","VALID - LOWEST PAPER")))</f>
        <v>VALID - LOWEST PAPER</v>
      </c>
      <c r="R224" s="32" t="s">
        <v>2677</v>
      </c>
      <c r="S224" t="str">
        <f>IF(AND('07-Paper Priority'!$A$5&gt;=MATCH($J224,'07-Paper Priority'!$B$5:$B$26,0),OR(AND($E224&lt;='07-Paper Priority'!$C$5,$F224&lt;='07-Paper Priority'!$D$5),AND($E224&lt;='07-Paper Priority'!$D$5,$F224&lt;='07-Paper Priority'!$C$5))),'07-Paper Priority'!$A$5,"")</f>
        <v/>
      </c>
      <c r="T224" t="str">
        <f>IF(AND('07-Paper Priority'!$A$6&gt;=MATCH($J224,'07-Paper Priority'!$B$5:$B$26,0),OR(AND($E224&lt;='07-Paper Priority'!$C$6,$F224&lt;='07-Paper Priority'!$D$6),AND($E224&lt;='07-Paper Priority'!$D$6,$F224&lt;='07-Paper Priority'!$C$6))),'07-Paper Priority'!$A$6,"")</f>
        <v/>
      </c>
      <c r="U224" t="str">
        <f>IF(AND('07-Paper Priority'!$A$7&gt;=MATCH($J224,'07-Paper Priority'!$B$5:$B$26,0),OR(AND($E224&lt;='07-Paper Priority'!$C$7,$F224&lt;='07-Paper Priority'!$D$7),AND($E224&lt;='07-Paper Priority'!$D$7,$F224&lt;='07-Paper Priority'!$C$7))),'07-Paper Priority'!$A$7,"")</f>
        <v/>
      </c>
      <c r="V224" t="str">
        <f>IF(AND('07-Paper Priority'!$A$8&gt;=MATCH($J224,'07-Paper Priority'!$B$5:$B$26,0),OR(AND($E224&lt;='07-Paper Priority'!$C$8,$F224&lt;='07-Paper Priority'!$D$8),AND($E224&lt;='07-Paper Priority'!$D$8,$F224&lt;='07-Paper Priority'!$C$8))),'07-Paper Priority'!$A$8,"")</f>
        <v/>
      </c>
      <c r="W224" t="str">
        <f>IF(AND('07-Paper Priority'!$A$9&gt;=MATCH($J224,'07-Paper Priority'!$B$5:$B$26,0),OR(AND($E224&lt;='07-Paper Priority'!$C$9,$F224&lt;='07-Paper Priority'!$D$9),AND($E224&lt;='07-Paper Priority'!$D$9,$F224&lt;='07-Paper Priority'!$C$9))),'07-Paper Priority'!$A$9,"")</f>
        <v/>
      </c>
      <c r="X224" t="str">
        <f>IF(AND('07-Paper Priority'!$A$10&gt;=MATCH($J224,'07-Paper Priority'!$B$5:$B$26,0),OR(AND($E224&lt;='07-Paper Priority'!$C$10,$F224&lt;='07-Paper Priority'!$D$10),AND($E224&lt;='07-Paper Priority'!$D$10,$F224&lt;='07-Paper Priority'!$C$10))),'07-Paper Priority'!$A$10,"")</f>
        <v/>
      </c>
      <c r="Y224" t="str">
        <f>IF(AND('07-Paper Priority'!$A$11&gt;=MATCH($J224,'07-Paper Priority'!$B$5:$B$26,0),OR(AND($E224&lt;='07-Paper Priority'!$C$11,$F224&lt;='07-Paper Priority'!$D$11),AND($E224&lt;='07-Paper Priority'!$D$11,$F224&lt;='07-Paper Priority'!$C$11))),'07-Paper Priority'!$A$11,"")</f>
        <v/>
      </c>
      <c r="Z224" t="str">
        <f>IF(AND('07-Paper Priority'!$A$12&gt;=MATCH($J224,'07-Paper Priority'!$B$5:$B$26,0),OR(AND($E224&lt;='07-Paper Priority'!$C$12,$F224&lt;='07-Paper Priority'!$D$12),AND($E224&lt;='07-Paper Priority'!$D$12,$F224&lt;='07-Paper Priority'!$C$12))),'07-Paper Priority'!$A$12,"")</f>
        <v/>
      </c>
      <c r="AA224" t="str">
        <f>IF(AND('07-Paper Priority'!$A$13&gt;=MATCH($J224,'07-Paper Priority'!$B$5:$B$26,0),OR(AND($E224&lt;='07-Paper Priority'!$C$13,$F224&lt;='07-Paper Priority'!$D$13),AND($E224&lt;='07-Paper Priority'!$D$13,$F224&lt;='07-Paper Priority'!$C$13))),'07-Paper Priority'!$A$13,"")</f>
        <v/>
      </c>
      <c r="AB224" t="str">
        <f>IF(AND('07-Paper Priority'!$A$14&gt;=MATCH($J224,'07-Paper Priority'!$B$5:$B$26,0),OR(AND($E224&lt;='07-Paper Priority'!$C$14,$F224&lt;='07-Paper Priority'!$D$14),AND($E224&lt;='07-Paper Priority'!$D$14,$F224&lt;='07-Paper Priority'!$C$14))),'07-Paper Priority'!$A$14,"")</f>
        <v/>
      </c>
      <c r="AC224" t="str">
        <f>IF(AND('07-Paper Priority'!$A$15&gt;=MATCH($J224,'07-Paper Priority'!$B$5:$B$26,0),OR(AND($E224&lt;='07-Paper Priority'!$C$15,$F224&lt;='07-Paper Priority'!$D$15),AND($E224&lt;='07-Paper Priority'!$D$15,$F224&lt;='07-Paper Priority'!$C$15))),'07-Paper Priority'!$A$15,"")</f>
        <v/>
      </c>
      <c r="AD224" t="str">
        <f>IF(AND('07-Paper Priority'!$A$16&gt;=MATCH($J224,'07-Paper Priority'!$B$5:$B$26,0),OR(AND($E224&lt;='07-Paper Priority'!$C$16,$F224&lt;='07-Paper Priority'!$D$16),AND($E224&lt;='07-Paper Priority'!$D$16,$F224&lt;='07-Paper Priority'!$C$16))),'07-Paper Priority'!$A$16,"")</f>
        <v/>
      </c>
      <c r="AE224">
        <f>IF(AND('07-Paper Priority'!$A$17&gt;=MATCH($J224,'07-Paper Priority'!$B$5:$B$26,0),OR(AND($E224&lt;='07-Paper Priority'!$C$17,$F224&lt;='07-Paper Priority'!$D$17),AND($E224&lt;='07-Paper Priority'!$D$17,$F224&lt;='07-Paper Priority'!$C$17))),'07-Paper Priority'!$A$17,"")</f>
        <v>13</v>
      </c>
      <c r="AF224">
        <f>IF(AND('07-Paper Priority'!$A$18&gt;=MATCH($J224,'07-Paper Priority'!$B$5:$B$26,0),OR(AND($E224&lt;='07-Paper Priority'!$C$18,$F224&lt;='07-Paper Priority'!$D$18),AND($E224&lt;='07-Paper Priority'!$D$18,$F224&lt;='07-Paper Priority'!$C$18))),'07-Paper Priority'!$A$18,"")</f>
        <v>14</v>
      </c>
      <c r="AG224">
        <f>IF(AND('07-Paper Priority'!$A$19&gt;=MATCH($J224,'07-Paper Priority'!$B$5:$B$26,0),OR(AND($E224&lt;='07-Paper Priority'!$C$19,$F224&lt;='07-Paper Priority'!$D$19),AND($E224&lt;='07-Paper Priority'!$D$19,$F224&lt;='07-Paper Priority'!$C$19))),'07-Paper Priority'!$A$19,"")</f>
        <v>15</v>
      </c>
      <c r="AH224">
        <f>IF(AND('07-Paper Priority'!$A$20&gt;=MATCH($J224,'07-Paper Priority'!$B$5:$B$26,0),OR(AND($E224&lt;='07-Paper Priority'!$C$20,$F224&lt;='07-Paper Priority'!$D$20),AND($E224&lt;='07-Paper Priority'!$D$20,$F224&lt;='07-Paper Priority'!$C$20))),'07-Paper Priority'!$A$20,"")</f>
        <v>16</v>
      </c>
      <c r="AI224">
        <f>IF(AND('07-Paper Priority'!$A$21&gt;=MATCH($J224,'07-Paper Priority'!$B$5:$B$26,0),OR(AND($E224&lt;='07-Paper Priority'!$C$21,$F224&lt;='07-Paper Priority'!$D$21),AND($E224&lt;='07-Paper Priority'!$D$21,$F224&lt;='07-Paper Priority'!$C$21))),'07-Paper Priority'!$A$21,"")</f>
        <v>17</v>
      </c>
      <c r="AJ224">
        <f>IF(AND('07-Paper Priority'!$A$22&gt;=MATCH($J224,'07-Paper Priority'!$B$5:$B$26,0),OR(AND($E224&lt;='07-Paper Priority'!$C$22,$F224&lt;='07-Paper Priority'!$D$22),AND($E224&lt;='07-Paper Priority'!$D$22,$F224&lt;='07-Paper Priority'!$C$22))),'07-Paper Priority'!$A$22,"")</f>
        <v>18</v>
      </c>
      <c r="AK224">
        <f>IF(AND('07-Paper Priority'!$A$23&gt;=MATCH($J224,'07-Paper Priority'!$B$5:$B$26,0),OR(AND($E224&lt;='07-Paper Priority'!$C$23,$F224&lt;='07-Paper Priority'!$D$23),AND($E224&lt;='07-Paper Priority'!$D$23,$F224&lt;='07-Paper Priority'!$C$23))),'07-Paper Priority'!$A$23,"")</f>
        <v>19</v>
      </c>
      <c r="AL224">
        <f>IF(AND('07-Paper Priority'!$A$24&gt;=MATCH($J224,'07-Paper Priority'!$B$5:$B$26,0),OR(AND($E224&lt;='07-Paper Priority'!$C$24,$F224&lt;='07-Paper Priority'!$D$24),AND($E224&lt;='07-Paper Priority'!$D$24,$F224&lt;='07-Paper Priority'!$C$24))),'07-Paper Priority'!$A$24,"")</f>
        <v>20</v>
      </c>
      <c r="AM224">
        <f>IF(AND('07-Paper Priority'!$A$25&gt;=MATCH($J224,'07-Paper Priority'!$B$5:$B$26,0),OR(AND($E224&lt;='07-Paper Priority'!$C$25,$F224&lt;='07-Paper Priority'!$D$25),AND($E224&lt;='07-Paper Priority'!$D$25,$F224&lt;='07-Paper Priority'!$C$25))),'07-Paper Priority'!$A$25,"")</f>
        <v>21</v>
      </c>
      <c r="AN224">
        <f>IF(AND('07-Paper Priority'!$A$26&gt;=MATCH($J224,'07-Paper Priority'!$B$5:$B$26,0),OR(AND($E224&lt;='07-Paper Priority'!$C$26,$F224&lt;='07-Paper Priority'!$D$26),AND($E224&lt;='07-Paper Priority'!$D$26,$F224&lt;='07-Paper Priority'!$C$26))),'07-Paper Priority'!$A$26,"")</f>
        <v>22</v>
      </c>
    </row>
    <row r="225" spans="1:40" ht="33.950000000000003" customHeight="1">
      <c r="A225" s="33" t="s">
        <v>2810</v>
      </c>
      <c r="B225" s="33" t="s">
        <v>2811</v>
      </c>
      <c r="C225" s="33" t="s">
        <v>2812</v>
      </c>
      <c r="D225" s="33" t="s">
        <v>2813</v>
      </c>
      <c r="E225" s="16">
        <v>120</v>
      </c>
      <c r="F225" s="16">
        <v>150</v>
      </c>
      <c r="G225" s="33" t="s">
        <v>2814</v>
      </c>
      <c r="H225" s="33" t="s">
        <v>2815</v>
      </c>
      <c r="I225" s="17" t="s">
        <v>2816</v>
      </c>
      <c r="J225" s="18" t="s">
        <v>578</v>
      </c>
      <c r="K225" s="19" t="str">
        <f>IF(COUNT(S225:AN225)=0,"NO FIT",INDEX('07-Paper Priority'!$B$5:$B$26,MIN(S225:AN225)))</f>
        <v>A5</v>
      </c>
      <c r="L225" s="19" t="str">
        <f>IF($K225="NO FIT","",IF(AND($E225&lt;=INDEX('07-Paper Priority'!$C$5:$C$26,MATCH($K225,'07-Paper Priority'!$B$5:$B$26,0)),$F225&lt;=INDEX('07-Paper Priority'!$D$5:$D$26,MATCH($K225,'07-Paper Priority'!$B$5:$B$26,0))),"PORTRAIT","ROTATED"))</f>
        <v>PORTRAIT</v>
      </c>
      <c r="M225" s="20">
        <f>IF($K225="NO FIT","",IF($L225="PORTRAIT",INDEX('07-Paper Priority'!$C$5:$C$26,MATCH($K225,'07-Paper Priority'!$B$5:$B$26,0)),INDEX('07-Paper Priority'!$D$5:$D$26,MATCH($K225,'07-Paper Priority'!$B$5:$B$26,0))))</f>
        <v>148</v>
      </c>
      <c r="N225" s="20">
        <f>IF($K225="NO FIT","",IF($L225="PORTRAIT",INDEX('07-Paper Priority'!$D$5:$D$26,MATCH($K225,'07-Paper Priority'!$B$5:$B$26,0)),INDEX('07-Paper Priority'!$C$5:$C$26,MATCH($K225,'07-Paper Priority'!$B$5:$B$26,0))))</f>
        <v>210</v>
      </c>
      <c r="O225" s="20">
        <f>IF($K225="NO FIT","",$M225-$E225)</f>
        <v>28</v>
      </c>
      <c r="P225" s="20">
        <f>IF($K225="NO FIT","",$N225-$F225)</f>
        <v>60</v>
      </c>
      <c r="Q225" s="21" t="str">
        <f>IF($K225="NO FIT","REVIEW - NO PAPER FIT",IF(OR($O225&lt;0,$P225&lt;0),"ERROR - FIT",IF(COUNTIF('02-Printing Size'!$A$2:$A$2169,$K225)=0,"ERROR - CODE MISSING","VALID - LOWEST PAPER")))</f>
        <v>VALID - LOWEST PAPER</v>
      </c>
      <c r="R225" s="33" t="s">
        <v>2817</v>
      </c>
      <c r="S225" t="str">
        <f>IF(AND('07-Paper Priority'!$A$5&gt;=MATCH($J225,'07-Paper Priority'!$B$5:$B$26,0),OR(AND($E225&lt;='07-Paper Priority'!$C$5,$F225&lt;='07-Paper Priority'!$D$5),AND($E225&lt;='07-Paper Priority'!$D$5,$F225&lt;='07-Paper Priority'!$C$5))),'07-Paper Priority'!$A$5,"")</f>
        <v/>
      </c>
      <c r="T225" t="str">
        <f>IF(AND('07-Paper Priority'!$A$6&gt;=MATCH($J225,'07-Paper Priority'!$B$5:$B$26,0),OR(AND($E225&lt;='07-Paper Priority'!$C$6,$F225&lt;='07-Paper Priority'!$D$6),AND($E225&lt;='07-Paper Priority'!$D$6,$F225&lt;='07-Paper Priority'!$C$6))),'07-Paper Priority'!$A$6,"")</f>
        <v/>
      </c>
      <c r="U225" t="str">
        <f>IF(AND('07-Paper Priority'!$A$7&gt;=MATCH($J225,'07-Paper Priority'!$B$5:$B$26,0),OR(AND($E225&lt;='07-Paper Priority'!$C$7,$F225&lt;='07-Paper Priority'!$D$7),AND($E225&lt;='07-Paper Priority'!$D$7,$F225&lt;='07-Paper Priority'!$C$7))),'07-Paper Priority'!$A$7,"")</f>
        <v/>
      </c>
      <c r="V225" t="str">
        <f>IF(AND('07-Paper Priority'!$A$8&gt;=MATCH($J225,'07-Paper Priority'!$B$5:$B$26,0),OR(AND($E225&lt;='07-Paper Priority'!$C$8,$F225&lt;='07-Paper Priority'!$D$8),AND($E225&lt;='07-Paper Priority'!$D$8,$F225&lt;='07-Paper Priority'!$C$8))),'07-Paper Priority'!$A$8,"")</f>
        <v/>
      </c>
      <c r="W225" t="str">
        <f>IF(AND('07-Paper Priority'!$A$9&gt;=MATCH($J225,'07-Paper Priority'!$B$5:$B$26,0),OR(AND($E225&lt;='07-Paper Priority'!$C$9,$F225&lt;='07-Paper Priority'!$D$9),AND($E225&lt;='07-Paper Priority'!$D$9,$F225&lt;='07-Paper Priority'!$C$9))),'07-Paper Priority'!$A$9,"")</f>
        <v/>
      </c>
      <c r="X225" t="str">
        <f>IF(AND('07-Paper Priority'!$A$10&gt;=MATCH($J225,'07-Paper Priority'!$B$5:$B$26,0),OR(AND($E225&lt;='07-Paper Priority'!$C$10,$F225&lt;='07-Paper Priority'!$D$10),AND($E225&lt;='07-Paper Priority'!$D$10,$F225&lt;='07-Paper Priority'!$C$10))),'07-Paper Priority'!$A$10,"")</f>
        <v/>
      </c>
      <c r="Y225" t="str">
        <f>IF(AND('07-Paper Priority'!$A$11&gt;=MATCH($J225,'07-Paper Priority'!$B$5:$B$26,0),OR(AND($E225&lt;='07-Paper Priority'!$C$11,$F225&lt;='07-Paper Priority'!$D$11),AND($E225&lt;='07-Paper Priority'!$D$11,$F225&lt;='07-Paper Priority'!$C$11))),'07-Paper Priority'!$A$11,"")</f>
        <v/>
      </c>
      <c r="Z225" t="str">
        <f>IF(AND('07-Paper Priority'!$A$12&gt;=MATCH($J225,'07-Paper Priority'!$B$5:$B$26,0),OR(AND($E225&lt;='07-Paper Priority'!$C$12,$F225&lt;='07-Paper Priority'!$D$12),AND($E225&lt;='07-Paper Priority'!$D$12,$F225&lt;='07-Paper Priority'!$C$12))),'07-Paper Priority'!$A$12,"")</f>
        <v/>
      </c>
      <c r="AA225" t="str">
        <f>IF(AND('07-Paper Priority'!$A$13&gt;=MATCH($J225,'07-Paper Priority'!$B$5:$B$26,0),OR(AND($E225&lt;='07-Paper Priority'!$C$13,$F225&lt;='07-Paper Priority'!$D$13),AND($E225&lt;='07-Paper Priority'!$D$13,$F225&lt;='07-Paper Priority'!$C$13))),'07-Paper Priority'!$A$13,"")</f>
        <v/>
      </c>
      <c r="AB225" t="str">
        <f>IF(AND('07-Paper Priority'!$A$14&gt;=MATCH($J225,'07-Paper Priority'!$B$5:$B$26,0),OR(AND($E225&lt;='07-Paper Priority'!$C$14,$F225&lt;='07-Paper Priority'!$D$14),AND($E225&lt;='07-Paper Priority'!$D$14,$F225&lt;='07-Paper Priority'!$C$14))),'07-Paper Priority'!$A$14,"")</f>
        <v/>
      </c>
      <c r="AC225">
        <f>IF(AND('07-Paper Priority'!$A$15&gt;=MATCH($J225,'07-Paper Priority'!$B$5:$B$26,0),OR(AND($E225&lt;='07-Paper Priority'!$C$15,$F225&lt;='07-Paper Priority'!$D$15),AND($E225&lt;='07-Paper Priority'!$D$15,$F225&lt;='07-Paper Priority'!$C$15))),'07-Paper Priority'!$A$15,"")</f>
        <v>11</v>
      </c>
      <c r="AD225">
        <f>IF(AND('07-Paper Priority'!$A$16&gt;=MATCH($J225,'07-Paper Priority'!$B$5:$B$26,0),OR(AND($E225&lt;='07-Paper Priority'!$C$16,$F225&lt;='07-Paper Priority'!$D$16),AND($E225&lt;='07-Paper Priority'!$D$16,$F225&lt;='07-Paper Priority'!$C$16))),'07-Paper Priority'!$A$16,"")</f>
        <v>12</v>
      </c>
      <c r="AE225">
        <f>IF(AND('07-Paper Priority'!$A$17&gt;=MATCH($J225,'07-Paper Priority'!$B$5:$B$26,0),OR(AND($E225&lt;='07-Paper Priority'!$C$17,$F225&lt;='07-Paper Priority'!$D$17),AND($E225&lt;='07-Paper Priority'!$D$17,$F225&lt;='07-Paper Priority'!$C$17))),'07-Paper Priority'!$A$17,"")</f>
        <v>13</v>
      </c>
      <c r="AF225">
        <f>IF(AND('07-Paper Priority'!$A$18&gt;=MATCH($J225,'07-Paper Priority'!$B$5:$B$26,0),OR(AND($E225&lt;='07-Paper Priority'!$C$18,$F225&lt;='07-Paper Priority'!$D$18),AND($E225&lt;='07-Paper Priority'!$D$18,$F225&lt;='07-Paper Priority'!$C$18))),'07-Paper Priority'!$A$18,"")</f>
        <v>14</v>
      </c>
      <c r="AG225">
        <f>IF(AND('07-Paper Priority'!$A$19&gt;=MATCH($J225,'07-Paper Priority'!$B$5:$B$26,0),OR(AND($E225&lt;='07-Paper Priority'!$C$19,$F225&lt;='07-Paper Priority'!$D$19),AND($E225&lt;='07-Paper Priority'!$D$19,$F225&lt;='07-Paper Priority'!$C$19))),'07-Paper Priority'!$A$19,"")</f>
        <v>15</v>
      </c>
      <c r="AH225">
        <f>IF(AND('07-Paper Priority'!$A$20&gt;=MATCH($J225,'07-Paper Priority'!$B$5:$B$26,0),OR(AND($E225&lt;='07-Paper Priority'!$C$20,$F225&lt;='07-Paper Priority'!$D$20),AND($E225&lt;='07-Paper Priority'!$D$20,$F225&lt;='07-Paper Priority'!$C$20))),'07-Paper Priority'!$A$20,"")</f>
        <v>16</v>
      </c>
      <c r="AI225">
        <f>IF(AND('07-Paper Priority'!$A$21&gt;=MATCH($J225,'07-Paper Priority'!$B$5:$B$26,0),OR(AND($E225&lt;='07-Paper Priority'!$C$21,$F225&lt;='07-Paper Priority'!$D$21),AND($E225&lt;='07-Paper Priority'!$D$21,$F225&lt;='07-Paper Priority'!$C$21))),'07-Paper Priority'!$A$21,"")</f>
        <v>17</v>
      </c>
      <c r="AJ225">
        <f>IF(AND('07-Paper Priority'!$A$22&gt;=MATCH($J225,'07-Paper Priority'!$B$5:$B$26,0),OR(AND($E225&lt;='07-Paper Priority'!$C$22,$F225&lt;='07-Paper Priority'!$D$22),AND($E225&lt;='07-Paper Priority'!$D$22,$F225&lt;='07-Paper Priority'!$C$22))),'07-Paper Priority'!$A$22,"")</f>
        <v>18</v>
      </c>
      <c r="AK225">
        <f>IF(AND('07-Paper Priority'!$A$23&gt;=MATCH($J225,'07-Paper Priority'!$B$5:$B$26,0),OR(AND($E225&lt;='07-Paper Priority'!$C$23,$F225&lt;='07-Paper Priority'!$D$23),AND($E225&lt;='07-Paper Priority'!$D$23,$F225&lt;='07-Paper Priority'!$C$23))),'07-Paper Priority'!$A$23,"")</f>
        <v>19</v>
      </c>
      <c r="AL225">
        <f>IF(AND('07-Paper Priority'!$A$24&gt;=MATCH($J225,'07-Paper Priority'!$B$5:$B$26,0),OR(AND($E225&lt;='07-Paper Priority'!$C$24,$F225&lt;='07-Paper Priority'!$D$24),AND($E225&lt;='07-Paper Priority'!$D$24,$F225&lt;='07-Paper Priority'!$C$24))),'07-Paper Priority'!$A$24,"")</f>
        <v>20</v>
      </c>
      <c r="AM225">
        <f>IF(AND('07-Paper Priority'!$A$25&gt;=MATCH($J225,'07-Paper Priority'!$B$5:$B$26,0),OR(AND($E225&lt;='07-Paper Priority'!$C$25,$F225&lt;='07-Paper Priority'!$D$25),AND($E225&lt;='07-Paper Priority'!$D$25,$F225&lt;='07-Paper Priority'!$C$25))),'07-Paper Priority'!$A$25,"")</f>
        <v>21</v>
      </c>
      <c r="AN225">
        <f>IF(AND('07-Paper Priority'!$A$26&gt;=MATCH($J225,'07-Paper Priority'!$B$5:$B$26,0),OR(AND($E225&lt;='07-Paper Priority'!$C$26,$F225&lt;='07-Paper Priority'!$D$26),AND($E225&lt;='07-Paper Priority'!$D$26,$F225&lt;='07-Paper Priority'!$C$26))),'07-Paper Priority'!$A$26,"")</f>
        <v>22</v>
      </c>
    </row>
    <row r="226" spans="1:40" ht="33.950000000000003" customHeight="1">
      <c r="A226" s="34" t="s">
        <v>2818</v>
      </c>
      <c r="B226" s="34" t="s">
        <v>2811</v>
      </c>
      <c r="C226" s="34" t="s">
        <v>2812</v>
      </c>
      <c r="D226" s="34" t="s">
        <v>2819</v>
      </c>
      <c r="E226" s="23">
        <v>150</v>
      </c>
      <c r="F226" s="23">
        <v>190</v>
      </c>
      <c r="G226" s="34" t="s">
        <v>2814</v>
      </c>
      <c r="H226" s="34" t="s">
        <v>2820</v>
      </c>
      <c r="I226" s="24" t="s">
        <v>2816</v>
      </c>
      <c r="J226" s="25" t="s">
        <v>578</v>
      </c>
      <c r="K226" s="26" t="str">
        <f>IF(COUNT(S226:AN226)=0,"NO FIT",INDEX('07-Paper Priority'!$B$5:$B$26,MIN(S226:AN226)))</f>
        <v>B5</v>
      </c>
      <c r="L226" s="26" t="str">
        <f>IF($K226="NO FIT","",IF(AND($E226&lt;=INDEX('07-Paper Priority'!$C$5:$C$26,MATCH($K226,'07-Paper Priority'!$B$5:$B$26,0)),$F226&lt;=INDEX('07-Paper Priority'!$D$5:$D$26,MATCH($K226,'07-Paper Priority'!$B$5:$B$26,0))),"PORTRAIT","ROTATED"))</f>
        <v>PORTRAIT</v>
      </c>
      <c r="M226" s="27">
        <f>IF($K226="NO FIT","",IF($L226="PORTRAIT",INDEX('07-Paper Priority'!$C$5:$C$26,MATCH($K226,'07-Paper Priority'!$B$5:$B$26,0)),INDEX('07-Paper Priority'!$D$5:$D$26,MATCH($K226,'07-Paper Priority'!$B$5:$B$26,0))))</f>
        <v>176</v>
      </c>
      <c r="N226" s="27">
        <f>IF($K226="NO FIT","",IF($L226="PORTRAIT",INDEX('07-Paper Priority'!$D$5:$D$26,MATCH($K226,'07-Paper Priority'!$B$5:$B$26,0)),INDEX('07-Paper Priority'!$C$5:$C$26,MATCH($K226,'07-Paper Priority'!$B$5:$B$26,0))))</f>
        <v>250</v>
      </c>
      <c r="O226" s="27">
        <f>IF($K226="NO FIT","",$M226-$E226)</f>
        <v>26</v>
      </c>
      <c r="P226" s="27">
        <f>IF($K226="NO FIT","",$N226-$F226)</f>
        <v>60</v>
      </c>
      <c r="Q226" s="28" t="str">
        <f>IF($K226="NO FIT","REVIEW - NO PAPER FIT",IF(OR($O226&lt;0,$P226&lt;0),"ERROR - FIT",IF(COUNTIF('02-Printing Size'!$A$2:$A$2169,$K226)=0,"ERROR - CODE MISSING","VALID - LOWEST PAPER")))</f>
        <v>VALID - LOWEST PAPER</v>
      </c>
      <c r="R226" s="34" t="s">
        <v>2821</v>
      </c>
      <c r="S226" t="str">
        <f>IF(AND('07-Paper Priority'!$A$5&gt;=MATCH($J226,'07-Paper Priority'!$B$5:$B$26,0),OR(AND($E226&lt;='07-Paper Priority'!$C$5,$F226&lt;='07-Paper Priority'!$D$5),AND($E226&lt;='07-Paper Priority'!$D$5,$F226&lt;='07-Paper Priority'!$C$5))),'07-Paper Priority'!$A$5,"")</f>
        <v/>
      </c>
      <c r="T226" t="str">
        <f>IF(AND('07-Paper Priority'!$A$6&gt;=MATCH($J226,'07-Paper Priority'!$B$5:$B$26,0),OR(AND($E226&lt;='07-Paper Priority'!$C$6,$F226&lt;='07-Paper Priority'!$D$6),AND($E226&lt;='07-Paper Priority'!$D$6,$F226&lt;='07-Paper Priority'!$C$6))),'07-Paper Priority'!$A$6,"")</f>
        <v/>
      </c>
      <c r="U226" t="str">
        <f>IF(AND('07-Paper Priority'!$A$7&gt;=MATCH($J226,'07-Paper Priority'!$B$5:$B$26,0),OR(AND($E226&lt;='07-Paper Priority'!$C$7,$F226&lt;='07-Paper Priority'!$D$7),AND($E226&lt;='07-Paper Priority'!$D$7,$F226&lt;='07-Paper Priority'!$C$7))),'07-Paper Priority'!$A$7,"")</f>
        <v/>
      </c>
      <c r="V226" t="str">
        <f>IF(AND('07-Paper Priority'!$A$8&gt;=MATCH($J226,'07-Paper Priority'!$B$5:$B$26,0),OR(AND($E226&lt;='07-Paper Priority'!$C$8,$F226&lt;='07-Paper Priority'!$D$8),AND($E226&lt;='07-Paper Priority'!$D$8,$F226&lt;='07-Paper Priority'!$C$8))),'07-Paper Priority'!$A$8,"")</f>
        <v/>
      </c>
      <c r="W226" t="str">
        <f>IF(AND('07-Paper Priority'!$A$9&gt;=MATCH($J226,'07-Paper Priority'!$B$5:$B$26,0),OR(AND($E226&lt;='07-Paper Priority'!$C$9,$F226&lt;='07-Paper Priority'!$D$9),AND($E226&lt;='07-Paper Priority'!$D$9,$F226&lt;='07-Paper Priority'!$C$9))),'07-Paper Priority'!$A$9,"")</f>
        <v/>
      </c>
      <c r="X226" t="str">
        <f>IF(AND('07-Paper Priority'!$A$10&gt;=MATCH($J226,'07-Paper Priority'!$B$5:$B$26,0),OR(AND($E226&lt;='07-Paper Priority'!$C$10,$F226&lt;='07-Paper Priority'!$D$10),AND($E226&lt;='07-Paper Priority'!$D$10,$F226&lt;='07-Paper Priority'!$C$10))),'07-Paper Priority'!$A$10,"")</f>
        <v/>
      </c>
      <c r="Y226" t="str">
        <f>IF(AND('07-Paper Priority'!$A$11&gt;=MATCH($J226,'07-Paper Priority'!$B$5:$B$26,0),OR(AND($E226&lt;='07-Paper Priority'!$C$11,$F226&lt;='07-Paper Priority'!$D$11),AND($E226&lt;='07-Paper Priority'!$D$11,$F226&lt;='07-Paper Priority'!$C$11))),'07-Paper Priority'!$A$11,"")</f>
        <v/>
      </c>
      <c r="Z226" t="str">
        <f>IF(AND('07-Paper Priority'!$A$12&gt;=MATCH($J226,'07-Paper Priority'!$B$5:$B$26,0),OR(AND($E226&lt;='07-Paper Priority'!$C$12,$F226&lt;='07-Paper Priority'!$D$12),AND($E226&lt;='07-Paper Priority'!$D$12,$F226&lt;='07-Paper Priority'!$C$12))),'07-Paper Priority'!$A$12,"")</f>
        <v/>
      </c>
      <c r="AA226" t="str">
        <f>IF(AND('07-Paper Priority'!$A$13&gt;=MATCH($J226,'07-Paper Priority'!$B$5:$B$26,0),OR(AND($E226&lt;='07-Paper Priority'!$C$13,$F226&lt;='07-Paper Priority'!$D$13),AND($E226&lt;='07-Paper Priority'!$D$13,$F226&lt;='07-Paper Priority'!$C$13))),'07-Paper Priority'!$A$13,"")</f>
        <v/>
      </c>
      <c r="AB226" t="str">
        <f>IF(AND('07-Paper Priority'!$A$14&gt;=MATCH($J226,'07-Paper Priority'!$B$5:$B$26,0),OR(AND($E226&lt;='07-Paper Priority'!$C$14,$F226&lt;='07-Paper Priority'!$D$14),AND($E226&lt;='07-Paper Priority'!$D$14,$F226&lt;='07-Paper Priority'!$C$14))),'07-Paper Priority'!$A$14,"")</f>
        <v/>
      </c>
      <c r="AC226" t="str">
        <f>IF(AND('07-Paper Priority'!$A$15&gt;=MATCH($J226,'07-Paper Priority'!$B$5:$B$26,0),OR(AND($E226&lt;='07-Paper Priority'!$C$15,$F226&lt;='07-Paper Priority'!$D$15),AND($E226&lt;='07-Paper Priority'!$D$15,$F226&lt;='07-Paper Priority'!$C$15))),'07-Paper Priority'!$A$15,"")</f>
        <v/>
      </c>
      <c r="AD226">
        <f>IF(AND('07-Paper Priority'!$A$16&gt;=MATCH($J226,'07-Paper Priority'!$B$5:$B$26,0),OR(AND($E226&lt;='07-Paper Priority'!$C$16,$F226&lt;='07-Paper Priority'!$D$16),AND($E226&lt;='07-Paper Priority'!$D$16,$F226&lt;='07-Paper Priority'!$C$16))),'07-Paper Priority'!$A$16,"")</f>
        <v>12</v>
      </c>
      <c r="AE226">
        <f>IF(AND('07-Paper Priority'!$A$17&gt;=MATCH($J226,'07-Paper Priority'!$B$5:$B$26,0),OR(AND($E226&lt;='07-Paper Priority'!$C$17,$F226&lt;='07-Paper Priority'!$D$17),AND($E226&lt;='07-Paper Priority'!$D$17,$F226&lt;='07-Paper Priority'!$C$17))),'07-Paper Priority'!$A$17,"")</f>
        <v>13</v>
      </c>
      <c r="AF226">
        <f>IF(AND('07-Paper Priority'!$A$18&gt;=MATCH($J226,'07-Paper Priority'!$B$5:$B$26,0),OR(AND($E226&lt;='07-Paper Priority'!$C$18,$F226&lt;='07-Paper Priority'!$D$18),AND($E226&lt;='07-Paper Priority'!$D$18,$F226&lt;='07-Paper Priority'!$C$18))),'07-Paper Priority'!$A$18,"")</f>
        <v>14</v>
      </c>
      <c r="AG226">
        <f>IF(AND('07-Paper Priority'!$A$19&gt;=MATCH($J226,'07-Paper Priority'!$B$5:$B$26,0),OR(AND($E226&lt;='07-Paper Priority'!$C$19,$F226&lt;='07-Paper Priority'!$D$19),AND($E226&lt;='07-Paper Priority'!$D$19,$F226&lt;='07-Paper Priority'!$C$19))),'07-Paper Priority'!$A$19,"")</f>
        <v>15</v>
      </c>
      <c r="AH226">
        <f>IF(AND('07-Paper Priority'!$A$20&gt;=MATCH($J226,'07-Paper Priority'!$B$5:$B$26,0),OR(AND($E226&lt;='07-Paper Priority'!$C$20,$F226&lt;='07-Paper Priority'!$D$20),AND($E226&lt;='07-Paper Priority'!$D$20,$F226&lt;='07-Paper Priority'!$C$20))),'07-Paper Priority'!$A$20,"")</f>
        <v>16</v>
      </c>
      <c r="AI226">
        <f>IF(AND('07-Paper Priority'!$A$21&gt;=MATCH($J226,'07-Paper Priority'!$B$5:$B$26,0),OR(AND($E226&lt;='07-Paper Priority'!$C$21,$F226&lt;='07-Paper Priority'!$D$21),AND($E226&lt;='07-Paper Priority'!$D$21,$F226&lt;='07-Paper Priority'!$C$21))),'07-Paper Priority'!$A$21,"")</f>
        <v>17</v>
      </c>
      <c r="AJ226">
        <f>IF(AND('07-Paper Priority'!$A$22&gt;=MATCH($J226,'07-Paper Priority'!$B$5:$B$26,0),OR(AND($E226&lt;='07-Paper Priority'!$C$22,$F226&lt;='07-Paper Priority'!$D$22),AND($E226&lt;='07-Paper Priority'!$D$22,$F226&lt;='07-Paper Priority'!$C$22))),'07-Paper Priority'!$A$22,"")</f>
        <v>18</v>
      </c>
      <c r="AK226">
        <f>IF(AND('07-Paper Priority'!$A$23&gt;=MATCH($J226,'07-Paper Priority'!$B$5:$B$26,0),OR(AND($E226&lt;='07-Paper Priority'!$C$23,$F226&lt;='07-Paper Priority'!$D$23),AND($E226&lt;='07-Paper Priority'!$D$23,$F226&lt;='07-Paper Priority'!$C$23))),'07-Paper Priority'!$A$23,"")</f>
        <v>19</v>
      </c>
      <c r="AL226">
        <f>IF(AND('07-Paper Priority'!$A$24&gt;=MATCH($J226,'07-Paper Priority'!$B$5:$B$26,0),OR(AND($E226&lt;='07-Paper Priority'!$C$24,$F226&lt;='07-Paper Priority'!$D$24),AND($E226&lt;='07-Paper Priority'!$D$24,$F226&lt;='07-Paper Priority'!$C$24))),'07-Paper Priority'!$A$24,"")</f>
        <v>20</v>
      </c>
      <c r="AM226">
        <f>IF(AND('07-Paper Priority'!$A$25&gt;=MATCH($J226,'07-Paper Priority'!$B$5:$B$26,0),OR(AND($E226&lt;='07-Paper Priority'!$C$25,$F226&lt;='07-Paper Priority'!$D$25),AND($E226&lt;='07-Paper Priority'!$D$25,$F226&lt;='07-Paper Priority'!$C$25))),'07-Paper Priority'!$A$25,"")</f>
        <v>21</v>
      </c>
      <c r="AN226">
        <f>IF(AND('07-Paper Priority'!$A$26&gt;=MATCH($J226,'07-Paper Priority'!$B$5:$B$26,0),OR(AND($E226&lt;='07-Paper Priority'!$C$26,$F226&lt;='07-Paper Priority'!$D$26),AND($E226&lt;='07-Paper Priority'!$D$26,$F226&lt;='07-Paper Priority'!$C$26))),'07-Paper Priority'!$A$26,"")</f>
        <v>22</v>
      </c>
    </row>
    <row r="227" spans="1:40" ht="33.950000000000003" customHeight="1">
      <c r="A227" s="34" t="s">
        <v>2822</v>
      </c>
      <c r="B227" s="34" t="s">
        <v>2811</v>
      </c>
      <c r="C227" s="34" t="s">
        <v>2812</v>
      </c>
      <c r="D227" s="34" t="s">
        <v>2823</v>
      </c>
      <c r="E227" s="23">
        <v>180</v>
      </c>
      <c r="F227" s="23">
        <v>230</v>
      </c>
      <c r="G227" s="34" t="s">
        <v>2814</v>
      </c>
      <c r="H227" s="34" t="s">
        <v>2824</v>
      </c>
      <c r="I227" s="24" t="s">
        <v>2816</v>
      </c>
      <c r="J227" s="25" t="s">
        <v>578</v>
      </c>
      <c r="K227" s="26" t="str">
        <f>IF(COUNT(S227:AN227)=0,"NO FIT",INDEX('07-Paper Priority'!$B$5:$B$26,MIN(S227:AN227)))</f>
        <v>A4</v>
      </c>
      <c r="L227" s="26" t="str">
        <f>IF($K227="NO FIT","",IF(AND($E227&lt;=INDEX('07-Paper Priority'!$C$5:$C$26,MATCH($K227,'07-Paper Priority'!$B$5:$B$26,0)),$F227&lt;=INDEX('07-Paper Priority'!$D$5:$D$26,MATCH($K227,'07-Paper Priority'!$B$5:$B$26,0))),"PORTRAIT","ROTATED"))</f>
        <v>PORTRAIT</v>
      </c>
      <c r="M227" s="27">
        <f>IF($K227="NO FIT","",IF($L227="PORTRAIT",INDEX('07-Paper Priority'!$C$5:$C$26,MATCH($K227,'07-Paper Priority'!$B$5:$B$26,0)),INDEX('07-Paper Priority'!$D$5:$D$26,MATCH($K227,'07-Paper Priority'!$B$5:$B$26,0))))</f>
        <v>210</v>
      </c>
      <c r="N227" s="27">
        <f>IF($K227="NO FIT","",IF($L227="PORTRAIT",INDEX('07-Paper Priority'!$D$5:$D$26,MATCH($K227,'07-Paper Priority'!$B$5:$B$26,0)),INDEX('07-Paper Priority'!$C$5:$C$26,MATCH($K227,'07-Paper Priority'!$B$5:$B$26,0))))</f>
        <v>297</v>
      </c>
      <c r="O227" s="27">
        <f>IF($K227="NO FIT","",$M227-$E227)</f>
        <v>30</v>
      </c>
      <c r="P227" s="27">
        <f>IF($K227="NO FIT","",$N227-$F227)</f>
        <v>67</v>
      </c>
      <c r="Q227" s="28" t="str">
        <f>IF($K227="NO FIT","REVIEW - NO PAPER FIT",IF(OR($O227&lt;0,$P227&lt;0),"ERROR - FIT",IF(COUNTIF('02-Printing Size'!$A$2:$A$2169,$K227)=0,"ERROR - CODE MISSING","VALID - LOWEST PAPER")))</f>
        <v>VALID - LOWEST PAPER</v>
      </c>
      <c r="R227" s="34" t="s">
        <v>2825</v>
      </c>
      <c r="S227" t="str">
        <f>IF(AND('07-Paper Priority'!$A$5&gt;=MATCH($J227,'07-Paper Priority'!$B$5:$B$26,0),OR(AND($E227&lt;='07-Paper Priority'!$C$5,$F227&lt;='07-Paper Priority'!$D$5),AND($E227&lt;='07-Paper Priority'!$D$5,$F227&lt;='07-Paper Priority'!$C$5))),'07-Paper Priority'!$A$5,"")</f>
        <v/>
      </c>
      <c r="T227" t="str">
        <f>IF(AND('07-Paper Priority'!$A$6&gt;=MATCH($J227,'07-Paper Priority'!$B$5:$B$26,0),OR(AND($E227&lt;='07-Paper Priority'!$C$6,$F227&lt;='07-Paper Priority'!$D$6),AND($E227&lt;='07-Paper Priority'!$D$6,$F227&lt;='07-Paper Priority'!$C$6))),'07-Paper Priority'!$A$6,"")</f>
        <v/>
      </c>
      <c r="U227" t="str">
        <f>IF(AND('07-Paper Priority'!$A$7&gt;=MATCH($J227,'07-Paper Priority'!$B$5:$B$26,0),OR(AND($E227&lt;='07-Paper Priority'!$C$7,$F227&lt;='07-Paper Priority'!$D$7),AND($E227&lt;='07-Paper Priority'!$D$7,$F227&lt;='07-Paper Priority'!$C$7))),'07-Paper Priority'!$A$7,"")</f>
        <v/>
      </c>
      <c r="V227" t="str">
        <f>IF(AND('07-Paper Priority'!$A$8&gt;=MATCH($J227,'07-Paper Priority'!$B$5:$B$26,0),OR(AND($E227&lt;='07-Paper Priority'!$C$8,$F227&lt;='07-Paper Priority'!$D$8),AND($E227&lt;='07-Paper Priority'!$D$8,$F227&lt;='07-Paper Priority'!$C$8))),'07-Paper Priority'!$A$8,"")</f>
        <v/>
      </c>
      <c r="W227" t="str">
        <f>IF(AND('07-Paper Priority'!$A$9&gt;=MATCH($J227,'07-Paper Priority'!$B$5:$B$26,0),OR(AND($E227&lt;='07-Paper Priority'!$C$9,$F227&lt;='07-Paper Priority'!$D$9),AND($E227&lt;='07-Paper Priority'!$D$9,$F227&lt;='07-Paper Priority'!$C$9))),'07-Paper Priority'!$A$9,"")</f>
        <v/>
      </c>
      <c r="X227" t="str">
        <f>IF(AND('07-Paper Priority'!$A$10&gt;=MATCH($J227,'07-Paper Priority'!$B$5:$B$26,0),OR(AND($E227&lt;='07-Paper Priority'!$C$10,$F227&lt;='07-Paper Priority'!$D$10),AND($E227&lt;='07-Paper Priority'!$D$10,$F227&lt;='07-Paper Priority'!$C$10))),'07-Paper Priority'!$A$10,"")</f>
        <v/>
      </c>
      <c r="Y227" t="str">
        <f>IF(AND('07-Paper Priority'!$A$11&gt;=MATCH($J227,'07-Paper Priority'!$B$5:$B$26,0),OR(AND($E227&lt;='07-Paper Priority'!$C$11,$F227&lt;='07-Paper Priority'!$D$11),AND($E227&lt;='07-Paper Priority'!$D$11,$F227&lt;='07-Paper Priority'!$C$11))),'07-Paper Priority'!$A$11,"")</f>
        <v/>
      </c>
      <c r="Z227" t="str">
        <f>IF(AND('07-Paper Priority'!$A$12&gt;=MATCH($J227,'07-Paper Priority'!$B$5:$B$26,0),OR(AND($E227&lt;='07-Paper Priority'!$C$12,$F227&lt;='07-Paper Priority'!$D$12),AND($E227&lt;='07-Paper Priority'!$D$12,$F227&lt;='07-Paper Priority'!$C$12))),'07-Paper Priority'!$A$12,"")</f>
        <v/>
      </c>
      <c r="AA227" t="str">
        <f>IF(AND('07-Paper Priority'!$A$13&gt;=MATCH($J227,'07-Paper Priority'!$B$5:$B$26,0),OR(AND($E227&lt;='07-Paper Priority'!$C$13,$F227&lt;='07-Paper Priority'!$D$13),AND($E227&lt;='07-Paper Priority'!$D$13,$F227&lt;='07-Paper Priority'!$C$13))),'07-Paper Priority'!$A$13,"")</f>
        <v/>
      </c>
      <c r="AB227" t="str">
        <f>IF(AND('07-Paper Priority'!$A$14&gt;=MATCH($J227,'07-Paper Priority'!$B$5:$B$26,0),OR(AND($E227&lt;='07-Paper Priority'!$C$14,$F227&lt;='07-Paper Priority'!$D$14),AND($E227&lt;='07-Paper Priority'!$D$14,$F227&lt;='07-Paper Priority'!$C$14))),'07-Paper Priority'!$A$14,"")</f>
        <v/>
      </c>
      <c r="AC227" t="str">
        <f>IF(AND('07-Paper Priority'!$A$15&gt;=MATCH($J227,'07-Paper Priority'!$B$5:$B$26,0),OR(AND($E227&lt;='07-Paper Priority'!$C$15,$F227&lt;='07-Paper Priority'!$D$15),AND($E227&lt;='07-Paper Priority'!$D$15,$F227&lt;='07-Paper Priority'!$C$15))),'07-Paper Priority'!$A$15,"")</f>
        <v/>
      </c>
      <c r="AD227" t="str">
        <f>IF(AND('07-Paper Priority'!$A$16&gt;=MATCH($J227,'07-Paper Priority'!$B$5:$B$26,0),OR(AND($E227&lt;='07-Paper Priority'!$C$16,$F227&lt;='07-Paper Priority'!$D$16),AND($E227&lt;='07-Paper Priority'!$D$16,$F227&lt;='07-Paper Priority'!$C$16))),'07-Paper Priority'!$A$16,"")</f>
        <v/>
      </c>
      <c r="AE227">
        <f>IF(AND('07-Paper Priority'!$A$17&gt;=MATCH($J227,'07-Paper Priority'!$B$5:$B$26,0),OR(AND($E227&lt;='07-Paper Priority'!$C$17,$F227&lt;='07-Paper Priority'!$D$17),AND($E227&lt;='07-Paper Priority'!$D$17,$F227&lt;='07-Paper Priority'!$C$17))),'07-Paper Priority'!$A$17,"")</f>
        <v>13</v>
      </c>
      <c r="AF227">
        <f>IF(AND('07-Paper Priority'!$A$18&gt;=MATCH($J227,'07-Paper Priority'!$B$5:$B$26,0),OR(AND($E227&lt;='07-Paper Priority'!$C$18,$F227&lt;='07-Paper Priority'!$D$18),AND($E227&lt;='07-Paper Priority'!$D$18,$F227&lt;='07-Paper Priority'!$C$18))),'07-Paper Priority'!$A$18,"")</f>
        <v>14</v>
      </c>
      <c r="AG227">
        <f>IF(AND('07-Paper Priority'!$A$19&gt;=MATCH($J227,'07-Paper Priority'!$B$5:$B$26,0),OR(AND($E227&lt;='07-Paper Priority'!$C$19,$F227&lt;='07-Paper Priority'!$D$19),AND($E227&lt;='07-Paper Priority'!$D$19,$F227&lt;='07-Paper Priority'!$C$19))),'07-Paper Priority'!$A$19,"")</f>
        <v>15</v>
      </c>
      <c r="AH227">
        <f>IF(AND('07-Paper Priority'!$A$20&gt;=MATCH($J227,'07-Paper Priority'!$B$5:$B$26,0),OR(AND($E227&lt;='07-Paper Priority'!$C$20,$F227&lt;='07-Paper Priority'!$D$20),AND($E227&lt;='07-Paper Priority'!$D$20,$F227&lt;='07-Paper Priority'!$C$20))),'07-Paper Priority'!$A$20,"")</f>
        <v>16</v>
      </c>
      <c r="AI227">
        <f>IF(AND('07-Paper Priority'!$A$21&gt;=MATCH($J227,'07-Paper Priority'!$B$5:$B$26,0),OR(AND($E227&lt;='07-Paper Priority'!$C$21,$F227&lt;='07-Paper Priority'!$D$21),AND($E227&lt;='07-Paper Priority'!$D$21,$F227&lt;='07-Paper Priority'!$C$21))),'07-Paper Priority'!$A$21,"")</f>
        <v>17</v>
      </c>
      <c r="AJ227">
        <f>IF(AND('07-Paper Priority'!$A$22&gt;=MATCH($J227,'07-Paper Priority'!$B$5:$B$26,0),OR(AND($E227&lt;='07-Paper Priority'!$C$22,$F227&lt;='07-Paper Priority'!$D$22),AND($E227&lt;='07-Paper Priority'!$D$22,$F227&lt;='07-Paper Priority'!$C$22))),'07-Paper Priority'!$A$22,"")</f>
        <v>18</v>
      </c>
      <c r="AK227">
        <f>IF(AND('07-Paper Priority'!$A$23&gt;=MATCH($J227,'07-Paper Priority'!$B$5:$B$26,0),OR(AND($E227&lt;='07-Paper Priority'!$C$23,$F227&lt;='07-Paper Priority'!$D$23),AND($E227&lt;='07-Paper Priority'!$D$23,$F227&lt;='07-Paper Priority'!$C$23))),'07-Paper Priority'!$A$23,"")</f>
        <v>19</v>
      </c>
      <c r="AL227">
        <f>IF(AND('07-Paper Priority'!$A$24&gt;=MATCH($J227,'07-Paper Priority'!$B$5:$B$26,0),OR(AND($E227&lt;='07-Paper Priority'!$C$24,$F227&lt;='07-Paper Priority'!$D$24),AND($E227&lt;='07-Paper Priority'!$D$24,$F227&lt;='07-Paper Priority'!$C$24))),'07-Paper Priority'!$A$24,"")</f>
        <v>20</v>
      </c>
      <c r="AM227">
        <f>IF(AND('07-Paper Priority'!$A$25&gt;=MATCH($J227,'07-Paper Priority'!$B$5:$B$26,0),OR(AND($E227&lt;='07-Paper Priority'!$C$25,$F227&lt;='07-Paper Priority'!$D$25),AND($E227&lt;='07-Paper Priority'!$D$25,$F227&lt;='07-Paper Priority'!$C$25))),'07-Paper Priority'!$A$25,"")</f>
        <v>21</v>
      </c>
      <c r="AN227">
        <f>IF(AND('07-Paper Priority'!$A$26&gt;=MATCH($J227,'07-Paper Priority'!$B$5:$B$26,0),OR(AND($E227&lt;='07-Paper Priority'!$C$26,$F227&lt;='07-Paper Priority'!$D$26),AND($E227&lt;='07-Paper Priority'!$D$26,$F227&lt;='07-Paper Priority'!$C$26))),'07-Paper Priority'!$A$26,"")</f>
        <v>22</v>
      </c>
    </row>
    <row r="228" spans="1:40" ht="33.950000000000003" customHeight="1">
      <c r="A228" s="34" t="s">
        <v>2826</v>
      </c>
      <c r="B228" s="34" t="s">
        <v>2811</v>
      </c>
      <c r="C228" s="34" t="s">
        <v>2812</v>
      </c>
      <c r="D228" s="34" t="s">
        <v>2813</v>
      </c>
      <c r="E228" s="23">
        <v>120</v>
      </c>
      <c r="F228" s="23">
        <v>150</v>
      </c>
      <c r="G228" s="34" t="s">
        <v>2827</v>
      </c>
      <c r="H228" s="34" t="s">
        <v>2828</v>
      </c>
      <c r="I228" s="24" t="s">
        <v>2816</v>
      </c>
      <c r="J228" s="25" t="s">
        <v>578</v>
      </c>
      <c r="K228" s="26" t="str">
        <f>IF(COUNT(S228:AN228)=0,"NO FIT",INDEX('07-Paper Priority'!$B$5:$B$26,MIN(S228:AN228)))</f>
        <v>A5</v>
      </c>
      <c r="L228" s="26" t="str">
        <f>IF($K228="NO FIT","",IF(AND($E228&lt;=INDEX('07-Paper Priority'!$C$5:$C$26,MATCH($K228,'07-Paper Priority'!$B$5:$B$26,0)),$F228&lt;=INDEX('07-Paper Priority'!$D$5:$D$26,MATCH($K228,'07-Paper Priority'!$B$5:$B$26,0))),"PORTRAIT","ROTATED"))</f>
        <v>PORTRAIT</v>
      </c>
      <c r="M228" s="27">
        <f>IF($K228="NO FIT","",IF($L228="PORTRAIT",INDEX('07-Paper Priority'!$C$5:$C$26,MATCH($K228,'07-Paper Priority'!$B$5:$B$26,0)),INDEX('07-Paper Priority'!$D$5:$D$26,MATCH($K228,'07-Paper Priority'!$B$5:$B$26,0))))</f>
        <v>148</v>
      </c>
      <c r="N228" s="27">
        <f>IF($K228="NO FIT","",IF($L228="PORTRAIT",INDEX('07-Paper Priority'!$D$5:$D$26,MATCH($K228,'07-Paper Priority'!$B$5:$B$26,0)),INDEX('07-Paper Priority'!$C$5:$C$26,MATCH($K228,'07-Paper Priority'!$B$5:$B$26,0))))</f>
        <v>210</v>
      </c>
      <c r="O228" s="27">
        <f>IF($K228="NO FIT","",$M228-$E228)</f>
        <v>28</v>
      </c>
      <c r="P228" s="27">
        <f>IF($K228="NO FIT","",$N228-$F228)</f>
        <v>60</v>
      </c>
      <c r="Q228" s="28" t="str">
        <f>IF($K228="NO FIT","REVIEW - NO PAPER FIT",IF(OR($O228&lt;0,$P228&lt;0),"ERROR - FIT",IF(COUNTIF('02-Printing Size'!$A$2:$A$2169,$K228)=0,"ERROR - CODE MISSING","VALID - LOWEST PAPER")))</f>
        <v>VALID - LOWEST PAPER</v>
      </c>
      <c r="R228" s="34" t="s">
        <v>2829</v>
      </c>
      <c r="S228" t="str">
        <f>IF(AND('07-Paper Priority'!$A$5&gt;=MATCH($J228,'07-Paper Priority'!$B$5:$B$26,0),OR(AND($E228&lt;='07-Paper Priority'!$C$5,$F228&lt;='07-Paper Priority'!$D$5),AND($E228&lt;='07-Paper Priority'!$D$5,$F228&lt;='07-Paper Priority'!$C$5))),'07-Paper Priority'!$A$5,"")</f>
        <v/>
      </c>
      <c r="T228" t="str">
        <f>IF(AND('07-Paper Priority'!$A$6&gt;=MATCH($J228,'07-Paper Priority'!$B$5:$B$26,0),OR(AND($E228&lt;='07-Paper Priority'!$C$6,$F228&lt;='07-Paper Priority'!$D$6),AND($E228&lt;='07-Paper Priority'!$D$6,$F228&lt;='07-Paper Priority'!$C$6))),'07-Paper Priority'!$A$6,"")</f>
        <v/>
      </c>
      <c r="U228" t="str">
        <f>IF(AND('07-Paper Priority'!$A$7&gt;=MATCH($J228,'07-Paper Priority'!$B$5:$B$26,0),OR(AND($E228&lt;='07-Paper Priority'!$C$7,$F228&lt;='07-Paper Priority'!$D$7),AND($E228&lt;='07-Paper Priority'!$D$7,$F228&lt;='07-Paper Priority'!$C$7))),'07-Paper Priority'!$A$7,"")</f>
        <v/>
      </c>
      <c r="V228" t="str">
        <f>IF(AND('07-Paper Priority'!$A$8&gt;=MATCH($J228,'07-Paper Priority'!$B$5:$B$26,0),OR(AND($E228&lt;='07-Paper Priority'!$C$8,$F228&lt;='07-Paper Priority'!$D$8),AND($E228&lt;='07-Paper Priority'!$D$8,$F228&lt;='07-Paper Priority'!$C$8))),'07-Paper Priority'!$A$8,"")</f>
        <v/>
      </c>
      <c r="W228" t="str">
        <f>IF(AND('07-Paper Priority'!$A$9&gt;=MATCH($J228,'07-Paper Priority'!$B$5:$B$26,0),OR(AND($E228&lt;='07-Paper Priority'!$C$9,$F228&lt;='07-Paper Priority'!$D$9),AND($E228&lt;='07-Paper Priority'!$D$9,$F228&lt;='07-Paper Priority'!$C$9))),'07-Paper Priority'!$A$9,"")</f>
        <v/>
      </c>
      <c r="X228" t="str">
        <f>IF(AND('07-Paper Priority'!$A$10&gt;=MATCH($J228,'07-Paper Priority'!$B$5:$B$26,0),OR(AND($E228&lt;='07-Paper Priority'!$C$10,$F228&lt;='07-Paper Priority'!$D$10),AND($E228&lt;='07-Paper Priority'!$D$10,$F228&lt;='07-Paper Priority'!$C$10))),'07-Paper Priority'!$A$10,"")</f>
        <v/>
      </c>
      <c r="Y228" t="str">
        <f>IF(AND('07-Paper Priority'!$A$11&gt;=MATCH($J228,'07-Paper Priority'!$B$5:$B$26,0),OR(AND($E228&lt;='07-Paper Priority'!$C$11,$F228&lt;='07-Paper Priority'!$D$11),AND($E228&lt;='07-Paper Priority'!$D$11,$F228&lt;='07-Paper Priority'!$C$11))),'07-Paper Priority'!$A$11,"")</f>
        <v/>
      </c>
      <c r="Z228" t="str">
        <f>IF(AND('07-Paper Priority'!$A$12&gt;=MATCH($J228,'07-Paper Priority'!$B$5:$B$26,0),OR(AND($E228&lt;='07-Paper Priority'!$C$12,$F228&lt;='07-Paper Priority'!$D$12),AND($E228&lt;='07-Paper Priority'!$D$12,$F228&lt;='07-Paper Priority'!$C$12))),'07-Paper Priority'!$A$12,"")</f>
        <v/>
      </c>
      <c r="AA228" t="str">
        <f>IF(AND('07-Paper Priority'!$A$13&gt;=MATCH($J228,'07-Paper Priority'!$B$5:$B$26,0),OR(AND($E228&lt;='07-Paper Priority'!$C$13,$F228&lt;='07-Paper Priority'!$D$13),AND($E228&lt;='07-Paper Priority'!$D$13,$F228&lt;='07-Paper Priority'!$C$13))),'07-Paper Priority'!$A$13,"")</f>
        <v/>
      </c>
      <c r="AB228" t="str">
        <f>IF(AND('07-Paper Priority'!$A$14&gt;=MATCH($J228,'07-Paper Priority'!$B$5:$B$26,0),OR(AND($E228&lt;='07-Paper Priority'!$C$14,$F228&lt;='07-Paper Priority'!$D$14),AND($E228&lt;='07-Paper Priority'!$D$14,$F228&lt;='07-Paper Priority'!$C$14))),'07-Paper Priority'!$A$14,"")</f>
        <v/>
      </c>
      <c r="AC228">
        <f>IF(AND('07-Paper Priority'!$A$15&gt;=MATCH($J228,'07-Paper Priority'!$B$5:$B$26,0),OR(AND($E228&lt;='07-Paper Priority'!$C$15,$F228&lt;='07-Paper Priority'!$D$15),AND($E228&lt;='07-Paper Priority'!$D$15,$F228&lt;='07-Paper Priority'!$C$15))),'07-Paper Priority'!$A$15,"")</f>
        <v>11</v>
      </c>
      <c r="AD228">
        <f>IF(AND('07-Paper Priority'!$A$16&gt;=MATCH($J228,'07-Paper Priority'!$B$5:$B$26,0),OR(AND($E228&lt;='07-Paper Priority'!$C$16,$F228&lt;='07-Paper Priority'!$D$16),AND($E228&lt;='07-Paper Priority'!$D$16,$F228&lt;='07-Paper Priority'!$C$16))),'07-Paper Priority'!$A$16,"")</f>
        <v>12</v>
      </c>
      <c r="AE228">
        <f>IF(AND('07-Paper Priority'!$A$17&gt;=MATCH($J228,'07-Paper Priority'!$B$5:$B$26,0),OR(AND($E228&lt;='07-Paper Priority'!$C$17,$F228&lt;='07-Paper Priority'!$D$17),AND($E228&lt;='07-Paper Priority'!$D$17,$F228&lt;='07-Paper Priority'!$C$17))),'07-Paper Priority'!$A$17,"")</f>
        <v>13</v>
      </c>
      <c r="AF228">
        <f>IF(AND('07-Paper Priority'!$A$18&gt;=MATCH($J228,'07-Paper Priority'!$B$5:$B$26,0),OR(AND($E228&lt;='07-Paper Priority'!$C$18,$F228&lt;='07-Paper Priority'!$D$18),AND($E228&lt;='07-Paper Priority'!$D$18,$F228&lt;='07-Paper Priority'!$C$18))),'07-Paper Priority'!$A$18,"")</f>
        <v>14</v>
      </c>
      <c r="AG228">
        <f>IF(AND('07-Paper Priority'!$A$19&gt;=MATCH($J228,'07-Paper Priority'!$B$5:$B$26,0),OR(AND($E228&lt;='07-Paper Priority'!$C$19,$F228&lt;='07-Paper Priority'!$D$19),AND($E228&lt;='07-Paper Priority'!$D$19,$F228&lt;='07-Paper Priority'!$C$19))),'07-Paper Priority'!$A$19,"")</f>
        <v>15</v>
      </c>
      <c r="AH228">
        <f>IF(AND('07-Paper Priority'!$A$20&gt;=MATCH($J228,'07-Paper Priority'!$B$5:$B$26,0),OR(AND($E228&lt;='07-Paper Priority'!$C$20,$F228&lt;='07-Paper Priority'!$D$20),AND($E228&lt;='07-Paper Priority'!$D$20,$F228&lt;='07-Paper Priority'!$C$20))),'07-Paper Priority'!$A$20,"")</f>
        <v>16</v>
      </c>
      <c r="AI228">
        <f>IF(AND('07-Paper Priority'!$A$21&gt;=MATCH($J228,'07-Paper Priority'!$B$5:$B$26,0),OR(AND($E228&lt;='07-Paper Priority'!$C$21,$F228&lt;='07-Paper Priority'!$D$21),AND($E228&lt;='07-Paper Priority'!$D$21,$F228&lt;='07-Paper Priority'!$C$21))),'07-Paper Priority'!$A$21,"")</f>
        <v>17</v>
      </c>
      <c r="AJ228">
        <f>IF(AND('07-Paper Priority'!$A$22&gt;=MATCH($J228,'07-Paper Priority'!$B$5:$B$26,0),OR(AND($E228&lt;='07-Paper Priority'!$C$22,$F228&lt;='07-Paper Priority'!$D$22),AND($E228&lt;='07-Paper Priority'!$D$22,$F228&lt;='07-Paper Priority'!$C$22))),'07-Paper Priority'!$A$22,"")</f>
        <v>18</v>
      </c>
      <c r="AK228">
        <f>IF(AND('07-Paper Priority'!$A$23&gt;=MATCH($J228,'07-Paper Priority'!$B$5:$B$26,0),OR(AND($E228&lt;='07-Paper Priority'!$C$23,$F228&lt;='07-Paper Priority'!$D$23),AND($E228&lt;='07-Paper Priority'!$D$23,$F228&lt;='07-Paper Priority'!$C$23))),'07-Paper Priority'!$A$23,"")</f>
        <v>19</v>
      </c>
      <c r="AL228">
        <f>IF(AND('07-Paper Priority'!$A$24&gt;=MATCH($J228,'07-Paper Priority'!$B$5:$B$26,0),OR(AND($E228&lt;='07-Paper Priority'!$C$24,$F228&lt;='07-Paper Priority'!$D$24),AND($E228&lt;='07-Paper Priority'!$D$24,$F228&lt;='07-Paper Priority'!$C$24))),'07-Paper Priority'!$A$24,"")</f>
        <v>20</v>
      </c>
      <c r="AM228">
        <f>IF(AND('07-Paper Priority'!$A$25&gt;=MATCH($J228,'07-Paper Priority'!$B$5:$B$26,0),OR(AND($E228&lt;='07-Paper Priority'!$C$25,$F228&lt;='07-Paper Priority'!$D$25),AND($E228&lt;='07-Paper Priority'!$D$25,$F228&lt;='07-Paper Priority'!$C$25))),'07-Paper Priority'!$A$25,"")</f>
        <v>21</v>
      </c>
      <c r="AN228">
        <f>IF(AND('07-Paper Priority'!$A$26&gt;=MATCH($J228,'07-Paper Priority'!$B$5:$B$26,0),OR(AND($E228&lt;='07-Paper Priority'!$C$26,$F228&lt;='07-Paper Priority'!$D$26),AND($E228&lt;='07-Paper Priority'!$D$26,$F228&lt;='07-Paper Priority'!$C$26))),'07-Paper Priority'!$A$26,"")</f>
        <v>22</v>
      </c>
    </row>
    <row r="229" spans="1:40" ht="33.950000000000003" customHeight="1">
      <c r="A229" s="34" t="s">
        <v>2830</v>
      </c>
      <c r="B229" s="34" t="s">
        <v>2811</v>
      </c>
      <c r="C229" s="34" t="s">
        <v>2812</v>
      </c>
      <c r="D229" s="34" t="s">
        <v>2819</v>
      </c>
      <c r="E229" s="23">
        <v>150</v>
      </c>
      <c r="F229" s="23">
        <v>190</v>
      </c>
      <c r="G229" s="34" t="s">
        <v>2827</v>
      </c>
      <c r="H229" s="34" t="s">
        <v>2831</v>
      </c>
      <c r="I229" s="24" t="s">
        <v>2816</v>
      </c>
      <c r="J229" s="25" t="s">
        <v>578</v>
      </c>
      <c r="K229" s="26" t="str">
        <f>IF(COUNT(S229:AN229)=0,"NO FIT",INDEX('07-Paper Priority'!$B$5:$B$26,MIN(S229:AN229)))</f>
        <v>B5</v>
      </c>
      <c r="L229" s="26" t="str">
        <f>IF($K229="NO FIT","",IF(AND($E229&lt;=INDEX('07-Paper Priority'!$C$5:$C$26,MATCH($K229,'07-Paper Priority'!$B$5:$B$26,0)),$F229&lt;=INDEX('07-Paper Priority'!$D$5:$D$26,MATCH($K229,'07-Paper Priority'!$B$5:$B$26,0))),"PORTRAIT","ROTATED"))</f>
        <v>PORTRAIT</v>
      </c>
      <c r="M229" s="27">
        <f>IF($K229="NO FIT","",IF($L229="PORTRAIT",INDEX('07-Paper Priority'!$C$5:$C$26,MATCH($K229,'07-Paper Priority'!$B$5:$B$26,0)),INDEX('07-Paper Priority'!$D$5:$D$26,MATCH($K229,'07-Paper Priority'!$B$5:$B$26,0))))</f>
        <v>176</v>
      </c>
      <c r="N229" s="27">
        <f>IF($K229="NO FIT","",IF($L229="PORTRAIT",INDEX('07-Paper Priority'!$D$5:$D$26,MATCH($K229,'07-Paper Priority'!$B$5:$B$26,0)),INDEX('07-Paper Priority'!$C$5:$C$26,MATCH($K229,'07-Paper Priority'!$B$5:$B$26,0))))</f>
        <v>250</v>
      </c>
      <c r="O229" s="27">
        <f>IF($K229="NO FIT","",$M229-$E229)</f>
        <v>26</v>
      </c>
      <c r="P229" s="27">
        <f>IF($K229="NO FIT","",$N229-$F229)</f>
        <v>60</v>
      </c>
      <c r="Q229" s="28" t="str">
        <f>IF($K229="NO FIT","REVIEW - NO PAPER FIT",IF(OR($O229&lt;0,$P229&lt;0),"ERROR - FIT",IF(COUNTIF('02-Printing Size'!$A$2:$A$2169,$K229)=0,"ERROR - CODE MISSING","VALID - LOWEST PAPER")))</f>
        <v>VALID - LOWEST PAPER</v>
      </c>
      <c r="R229" s="34" t="s">
        <v>2829</v>
      </c>
      <c r="S229" t="str">
        <f>IF(AND('07-Paper Priority'!$A$5&gt;=MATCH($J229,'07-Paper Priority'!$B$5:$B$26,0),OR(AND($E229&lt;='07-Paper Priority'!$C$5,$F229&lt;='07-Paper Priority'!$D$5),AND($E229&lt;='07-Paper Priority'!$D$5,$F229&lt;='07-Paper Priority'!$C$5))),'07-Paper Priority'!$A$5,"")</f>
        <v/>
      </c>
      <c r="T229" t="str">
        <f>IF(AND('07-Paper Priority'!$A$6&gt;=MATCH($J229,'07-Paper Priority'!$B$5:$B$26,0),OR(AND($E229&lt;='07-Paper Priority'!$C$6,$F229&lt;='07-Paper Priority'!$D$6),AND($E229&lt;='07-Paper Priority'!$D$6,$F229&lt;='07-Paper Priority'!$C$6))),'07-Paper Priority'!$A$6,"")</f>
        <v/>
      </c>
      <c r="U229" t="str">
        <f>IF(AND('07-Paper Priority'!$A$7&gt;=MATCH($J229,'07-Paper Priority'!$B$5:$B$26,0),OR(AND($E229&lt;='07-Paper Priority'!$C$7,$F229&lt;='07-Paper Priority'!$D$7),AND($E229&lt;='07-Paper Priority'!$D$7,$F229&lt;='07-Paper Priority'!$C$7))),'07-Paper Priority'!$A$7,"")</f>
        <v/>
      </c>
      <c r="V229" t="str">
        <f>IF(AND('07-Paper Priority'!$A$8&gt;=MATCH($J229,'07-Paper Priority'!$B$5:$B$26,0),OR(AND($E229&lt;='07-Paper Priority'!$C$8,$F229&lt;='07-Paper Priority'!$D$8),AND($E229&lt;='07-Paper Priority'!$D$8,$F229&lt;='07-Paper Priority'!$C$8))),'07-Paper Priority'!$A$8,"")</f>
        <v/>
      </c>
      <c r="W229" t="str">
        <f>IF(AND('07-Paper Priority'!$A$9&gt;=MATCH($J229,'07-Paper Priority'!$B$5:$B$26,0),OR(AND($E229&lt;='07-Paper Priority'!$C$9,$F229&lt;='07-Paper Priority'!$D$9),AND($E229&lt;='07-Paper Priority'!$D$9,$F229&lt;='07-Paper Priority'!$C$9))),'07-Paper Priority'!$A$9,"")</f>
        <v/>
      </c>
      <c r="X229" t="str">
        <f>IF(AND('07-Paper Priority'!$A$10&gt;=MATCH($J229,'07-Paper Priority'!$B$5:$B$26,0),OR(AND($E229&lt;='07-Paper Priority'!$C$10,$F229&lt;='07-Paper Priority'!$D$10),AND($E229&lt;='07-Paper Priority'!$D$10,$F229&lt;='07-Paper Priority'!$C$10))),'07-Paper Priority'!$A$10,"")</f>
        <v/>
      </c>
      <c r="Y229" t="str">
        <f>IF(AND('07-Paper Priority'!$A$11&gt;=MATCH($J229,'07-Paper Priority'!$B$5:$B$26,0),OR(AND($E229&lt;='07-Paper Priority'!$C$11,$F229&lt;='07-Paper Priority'!$D$11),AND($E229&lt;='07-Paper Priority'!$D$11,$F229&lt;='07-Paper Priority'!$C$11))),'07-Paper Priority'!$A$11,"")</f>
        <v/>
      </c>
      <c r="Z229" t="str">
        <f>IF(AND('07-Paper Priority'!$A$12&gt;=MATCH($J229,'07-Paper Priority'!$B$5:$B$26,0),OR(AND($E229&lt;='07-Paper Priority'!$C$12,$F229&lt;='07-Paper Priority'!$D$12),AND($E229&lt;='07-Paper Priority'!$D$12,$F229&lt;='07-Paper Priority'!$C$12))),'07-Paper Priority'!$A$12,"")</f>
        <v/>
      </c>
      <c r="AA229" t="str">
        <f>IF(AND('07-Paper Priority'!$A$13&gt;=MATCH($J229,'07-Paper Priority'!$B$5:$B$26,0),OR(AND($E229&lt;='07-Paper Priority'!$C$13,$F229&lt;='07-Paper Priority'!$D$13),AND($E229&lt;='07-Paper Priority'!$D$13,$F229&lt;='07-Paper Priority'!$C$13))),'07-Paper Priority'!$A$13,"")</f>
        <v/>
      </c>
      <c r="AB229" t="str">
        <f>IF(AND('07-Paper Priority'!$A$14&gt;=MATCH($J229,'07-Paper Priority'!$B$5:$B$26,0),OR(AND($E229&lt;='07-Paper Priority'!$C$14,$F229&lt;='07-Paper Priority'!$D$14),AND($E229&lt;='07-Paper Priority'!$D$14,$F229&lt;='07-Paper Priority'!$C$14))),'07-Paper Priority'!$A$14,"")</f>
        <v/>
      </c>
      <c r="AC229" t="str">
        <f>IF(AND('07-Paper Priority'!$A$15&gt;=MATCH($J229,'07-Paper Priority'!$B$5:$B$26,0),OR(AND($E229&lt;='07-Paper Priority'!$C$15,$F229&lt;='07-Paper Priority'!$D$15),AND($E229&lt;='07-Paper Priority'!$D$15,$F229&lt;='07-Paper Priority'!$C$15))),'07-Paper Priority'!$A$15,"")</f>
        <v/>
      </c>
      <c r="AD229">
        <f>IF(AND('07-Paper Priority'!$A$16&gt;=MATCH($J229,'07-Paper Priority'!$B$5:$B$26,0),OR(AND($E229&lt;='07-Paper Priority'!$C$16,$F229&lt;='07-Paper Priority'!$D$16),AND($E229&lt;='07-Paper Priority'!$D$16,$F229&lt;='07-Paper Priority'!$C$16))),'07-Paper Priority'!$A$16,"")</f>
        <v>12</v>
      </c>
      <c r="AE229">
        <f>IF(AND('07-Paper Priority'!$A$17&gt;=MATCH($J229,'07-Paper Priority'!$B$5:$B$26,0),OR(AND($E229&lt;='07-Paper Priority'!$C$17,$F229&lt;='07-Paper Priority'!$D$17),AND($E229&lt;='07-Paper Priority'!$D$17,$F229&lt;='07-Paper Priority'!$C$17))),'07-Paper Priority'!$A$17,"")</f>
        <v>13</v>
      </c>
      <c r="AF229">
        <f>IF(AND('07-Paper Priority'!$A$18&gt;=MATCH($J229,'07-Paper Priority'!$B$5:$B$26,0),OR(AND($E229&lt;='07-Paper Priority'!$C$18,$F229&lt;='07-Paper Priority'!$D$18),AND($E229&lt;='07-Paper Priority'!$D$18,$F229&lt;='07-Paper Priority'!$C$18))),'07-Paper Priority'!$A$18,"")</f>
        <v>14</v>
      </c>
      <c r="AG229">
        <f>IF(AND('07-Paper Priority'!$A$19&gt;=MATCH($J229,'07-Paper Priority'!$B$5:$B$26,0),OR(AND($E229&lt;='07-Paper Priority'!$C$19,$F229&lt;='07-Paper Priority'!$D$19),AND($E229&lt;='07-Paper Priority'!$D$19,$F229&lt;='07-Paper Priority'!$C$19))),'07-Paper Priority'!$A$19,"")</f>
        <v>15</v>
      </c>
      <c r="AH229">
        <f>IF(AND('07-Paper Priority'!$A$20&gt;=MATCH($J229,'07-Paper Priority'!$B$5:$B$26,0),OR(AND($E229&lt;='07-Paper Priority'!$C$20,$F229&lt;='07-Paper Priority'!$D$20),AND($E229&lt;='07-Paper Priority'!$D$20,$F229&lt;='07-Paper Priority'!$C$20))),'07-Paper Priority'!$A$20,"")</f>
        <v>16</v>
      </c>
      <c r="AI229">
        <f>IF(AND('07-Paper Priority'!$A$21&gt;=MATCH($J229,'07-Paper Priority'!$B$5:$B$26,0),OR(AND($E229&lt;='07-Paper Priority'!$C$21,$F229&lt;='07-Paper Priority'!$D$21),AND($E229&lt;='07-Paper Priority'!$D$21,$F229&lt;='07-Paper Priority'!$C$21))),'07-Paper Priority'!$A$21,"")</f>
        <v>17</v>
      </c>
      <c r="AJ229">
        <f>IF(AND('07-Paper Priority'!$A$22&gt;=MATCH($J229,'07-Paper Priority'!$B$5:$B$26,0),OR(AND($E229&lt;='07-Paper Priority'!$C$22,$F229&lt;='07-Paper Priority'!$D$22),AND($E229&lt;='07-Paper Priority'!$D$22,$F229&lt;='07-Paper Priority'!$C$22))),'07-Paper Priority'!$A$22,"")</f>
        <v>18</v>
      </c>
      <c r="AK229">
        <f>IF(AND('07-Paper Priority'!$A$23&gt;=MATCH($J229,'07-Paper Priority'!$B$5:$B$26,0),OR(AND($E229&lt;='07-Paper Priority'!$C$23,$F229&lt;='07-Paper Priority'!$D$23),AND($E229&lt;='07-Paper Priority'!$D$23,$F229&lt;='07-Paper Priority'!$C$23))),'07-Paper Priority'!$A$23,"")</f>
        <v>19</v>
      </c>
      <c r="AL229">
        <f>IF(AND('07-Paper Priority'!$A$24&gt;=MATCH($J229,'07-Paper Priority'!$B$5:$B$26,0),OR(AND($E229&lt;='07-Paper Priority'!$C$24,$F229&lt;='07-Paper Priority'!$D$24),AND($E229&lt;='07-Paper Priority'!$D$24,$F229&lt;='07-Paper Priority'!$C$24))),'07-Paper Priority'!$A$24,"")</f>
        <v>20</v>
      </c>
      <c r="AM229">
        <f>IF(AND('07-Paper Priority'!$A$25&gt;=MATCH($J229,'07-Paper Priority'!$B$5:$B$26,0),OR(AND($E229&lt;='07-Paper Priority'!$C$25,$F229&lt;='07-Paper Priority'!$D$25),AND($E229&lt;='07-Paper Priority'!$D$25,$F229&lt;='07-Paper Priority'!$C$25))),'07-Paper Priority'!$A$25,"")</f>
        <v>21</v>
      </c>
      <c r="AN229">
        <f>IF(AND('07-Paper Priority'!$A$26&gt;=MATCH($J229,'07-Paper Priority'!$B$5:$B$26,0),OR(AND($E229&lt;='07-Paper Priority'!$C$26,$F229&lt;='07-Paper Priority'!$D$26),AND($E229&lt;='07-Paper Priority'!$D$26,$F229&lt;='07-Paper Priority'!$C$26))),'07-Paper Priority'!$A$26,"")</f>
        <v>22</v>
      </c>
    </row>
    <row r="230" spans="1:40" ht="33.950000000000003" customHeight="1">
      <c r="A230" s="34" t="s">
        <v>2832</v>
      </c>
      <c r="B230" s="34" t="s">
        <v>2811</v>
      </c>
      <c r="C230" s="34" t="s">
        <v>2812</v>
      </c>
      <c r="D230" s="34" t="s">
        <v>2823</v>
      </c>
      <c r="E230" s="23">
        <v>180</v>
      </c>
      <c r="F230" s="23">
        <v>230</v>
      </c>
      <c r="G230" s="34" t="s">
        <v>2827</v>
      </c>
      <c r="H230" s="34" t="s">
        <v>2833</v>
      </c>
      <c r="I230" s="24" t="s">
        <v>2816</v>
      </c>
      <c r="J230" s="25" t="s">
        <v>578</v>
      </c>
      <c r="K230" s="26" t="str">
        <f>IF(COUNT(S230:AN230)=0,"NO FIT",INDEX('07-Paper Priority'!$B$5:$B$26,MIN(S230:AN230)))</f>
        <v>A4</v>
      </c>
      <c r="L230" s="26" t="str">
        <f>IF($K230="NO FIT","",IF(AND($E230&lt;=INDEX('07-Paper Priority'!$C$5:$C$26,MATCH($K230,'07-Paper Priority'!$B$5:$B$26,0)),$F230&lt;=INDEX('07-Paper Priority'!$D$5:$D$26,MATCH($K230,'07-Paper Priority'!$B$5:$B$26,0))),"PORTRAIT","ROTATED"))</f>
        <v>PORTRAIT</v>
      </c>
      <c r="M230" s="27">
        <f>IF($K230="NO FIT","",IF($L230="PORTRAIT",INDEX('07-Paper Priority'!$C$5:$C$26,MATCH($K230,'07-Paper Priority'!$B$5:$B$26,0)),INDEX('07-Paper Priority'!$D$5:$D$26,MATCH($K230,'07-Paper Priority'!$B$5:$B$26,0))))</f>
        <v>210</v>
      </c>
      <c r="N230" s="27">
        <f>IF($K230="NO FIT","",IF($L230="PORTRAIT",INDEX('07-Paper Priority'!$D$5:$D$26,MATCH($K230,'07-Paper Priority'!$B$5:$B$26,0)),INDEX('07-Paper Priority'!$C$5:$C$26,MATCH($K230,'07-Paper Priority'!$B$5:$B$26,0))))</f>
        <v>297</v>
      </c>
      <c r="O230" s="27">
        <f>IF($K230="NO FIT","",$M230-$E230)</f>
        <v>30</v>
      </c>
      <c r="P230" s="27">
        <f>IF($K230="NO FIT","",$N230-$F230)</f>
        <v>67</v>
      </c>
      <c r="Q230" s="28" t="str">
        <f>IF($K230="NO FIT","REVIEW - NO PAPER FIT",IF(OR($O230&lt;0,$P230&lt;0),"ERROR - FIT",IF(COUNTIF('02-Printing Size'!$A$2:$A$2169,$K230)=0,"ERROR - CODE MISSING","VALID - LOWEST PAPER")))</f>
        <v>VALID - LOWEST PAPER</v>
      </c>
      <c r="R230" s="34" t="s">
        <v>2829</v>
      </c>
      <c r="S230" t="str">
        <f>IF(AND('07-Paper Priority'!$A$5&gt;=MATCH($J230,'07-Paper Priority'!$B$5:$B$26,0),OR(AND($E230&lt;='07-Paper Priority'!$C$5,$F230&lt;='07-Paper Priority'!$D$5),AND($E230&lt;='07-Paper Priority'!$D$5,$F230&lt;='07-Paper Priority'!$C$5))),'07-Paper Priority'!$A$5,"")</f>
        <v/>
      </c>
      <c r="T230" t="str">
        <f>IF(AND('07-Paper Priority'!$A$6&gt;=MATCH($J230,'07-Paper Priority'!$B$5:$B$26,0),OR(AND($E230&lt;='07-Paper Priority'!$C$6,$F230&lt;='07-Paper Priority'!$D$6),AND($E230&lt;='07-Paper Priority'!$D$6,$F230&lt;='07-Paper Priority'!$C$6))),'07-Paper Priority'!$A$6,"")</f>
        <v/>
      </c>
      <c r="U230" t="str">
        <f>IF(AND('07-Paper Priority'!$A$7&gt;=MATCH($J230,'07-Paper Priority'!$B$5:$B$26,0),OR(AND($E230&lt;='07-Paper Priority'!$C$7,$F230&lt;='07-Paper Priority'!$D$7),AND($E230&lt;='07-Paper Priority'!$D$7,$F230&lt;='07-Paper Priority'!$C$7))),'07-Paper Priority'!$A$7,"")</f>
        <v/>
      </c>
      <c r="V230" t="str">
        <f>IF(AND('07-Paper Priority'!$A$8&gt;=MATCH($J230,'07-Paper Priority'!$B$5:$B$26,0),OR(AND($E230&lt;='07-Paper Priority'!$C$8,$F230&lt;='07-Paper Priority'!$D$8),AND($E230&lt;='07-Paper Priority'!$D$8,$F230&lt;='07-Paper Priority'!$C$8))),'07-Paper Priority'!$A$8,"")</f>
        <v/>
      </c>
      <c r="W230" t="str">
        <f>IF(AND('07-Paper Priority'!$A$9&gt;=MATCH($J230,'07-Paper Priority'!$B$5:$B$26,0),OR(AND($E230&lt;='07-Paper Priority'!$C$9,$F230&lt;='07-Paper Priority'!$D$9),AND($E230&lt;='07-Paper Priority'!$D$9,$F230&lt;='07-Paper Priority'!$C$9))),'07-Paper Priority'!$A$9,"")</f>
        <v/>
      </c>
      <c r="X230" t="str">
        <f>IF(AND('07-Paper Priority'!$A$10&gt;=MATCH($J230,'07-Paper Priority'!$B$5:$B$26,0),OR(AND($E230&lt;='07-Paper Priority'!$C$10,$F230&lt;='07-Paper Priority'!$D$10),AND($E230&lt;='07-Paper Priority'!$D$10,$F230&lt;='07-Paper Priority'!$C$10))),'07-Paper Priority'!$A$10,"")</f>
        <v/>
      </c>
      <c r="Y230" t="str">
        <f>IF(AND('07-Paper Priority'!$A$11&gt;=MATCH($J230,'07-Paper Priority'!$B$5:$B$26,0),OR(AND($E230&lt;='07-Paper Priority'!$C$11,$F230&lt;='07-Paper Priority'!$D$11),AND($E230&lt;='07-Paper Priority'!$D$11,$F230&lt;='07-Paper Priority'!$C$11))),'07-Paper Priority'!$A$11,"")</f>
        <v/>
      </c>
      <c r="Z230" t="str">
        <f>IF(AND('07-Paper Priority'!$A$12&gt;=MATCH($J230,'07-Paper Priority'!$B$5:$B$26,0),OR(AND($E230&lt;='07-Paper Priority'!$C$12,$F230&lt;='07-Paper Priority'!$D$12),AND($E230&lt;='07-Paper Priority'!$D$12,$F230&lt;='07-Paper Priority'!$C$12))),'07-Paper Priority'!$A$12,"")</f>
        <v/>
      </c>
      <c r="AA230" t="str">
        <f>IF(AND('07-Paper Priority'!$A$13&gt;=MATCH($J230,'07-Paper Priority'!$B$5:$B$26,0),OR(AND($E230&lt;='07-Paper Priority'!$C$13,$F230&lt;='07-Paper Priority'!$D$13),AND($E230&lt;='07-Paper Priority'!$D$13,$F230&lt;='07-Paper Priority'!$C$13))),'07-Paper Priority'!$A$13,"")</f>
        <v/>
      </c>
      <c r="AB230" t="str">
        <f>IF(AND('07-Paper Priority'!$A$14&gt;=MATCH($J230,'07-Paper Priority'!$B$5:$B$26,0),OR(AND($E230&lt;='07-Paper Priority'!$C$14,$F230&lt;='07-Paper Priority'!$D$14),AND($E230&lt;='07-Paper Priority'!$D$14,$F230&lt;='07-Paper Priority'!$C$14))),'07-Paper Priority'!$A$14,"")</f>
        <v/>
      </c>
      <c r="AC230" t="str">
        <f>IF(AND('07-Paper Priority'!$A$15&gt;=MATCH($J230,'07-Paper Priority'!$B$5:$B$26,0),OR(AND($E230&lt;='07-Paper Priority'!$C$15,$F230&lt;='07-Paper Priority'!$D$15),AND($E230&lt;='07-Paper Priority'!$D$15,$F230&lt;='07-Paper Priority'!$C$15))),'07-Paper Priority'!$A$15,"")</f>
        <v/>
      </c>
      <c r="AD230" t="str">
        <f>IF(AND('07-Paper Priority'!$A$16&gt;=MATCH($J230,'07-Paper Priority'!$B$5:$B$26,0),OR(AND($E230&lt;='07-Paper Priority'!$C$16,$F230&lt;='07-Paper Priority'!$D$16),AND($E230&lt;='07-Paper Priority'!$D$16,$F230&lt;='07-Paper Priority'!$C$16))),'07-Paper Priority'!$A$16,"")</f>
        <v/>
      </c>
      <c r="AE230">
        <f>IF(AND('07-Paper Priority'!$A$17&gt;=MATCH($J230,'07-Paper Priority'!$B$5:$B$26,0),OR(AND($E230&lt;='07-Paper Priority'!$C$17,$F230&lt;='07-Paper Priority'!$D$17),AND($E230&lt;='07-Paper Priority'!$D$17,$F230&lt;='07-Paper Priority'!$C$17))),'07-Paper Priority'!$A$17,"")</f>
        <v>13</v>
      </c>
      <c r="AF230">
        <f>IF(AND('07-Paper Priority'!$A$18&gt;=MATCH($J230,'07-Paper Priority'!$B$5:$B$26,0),OR(AND($E230&lt;='07-Paper Priority'!$C$18,$F230&lt;='07-Paper Priority'!$D$18),AND($E230&lt;='07-Paper Priority'!$D$18,$F230&lt;='07-Paper Priority'!$C$18))),'07-Paper Priority'!$A$18,"")</f>
        <v>14</v>
      </c>
      <c r="AG230">
        <f>IF(AND('07-Paper Priority'!$A$19&gt;=MATCH($J230,'07-Paper Priority'!$B$5:$B$26,0),OR(AND($E230&lt;='07-Paper Priority'!$C$19,$F230&lt;='07-Paper Priority'!$D$19),AND($E230&lt;='07-Paper Priority'!$D$19,$F230&lt;='07-Paper Priority'!$C$19))),'07-Paper Priority'!$A$19,"")</f>
        <v>15</v>
      </c>
      <c r="AH230">
        <f>IF(AND('07-Paper Priority'!$A$20&gt;=MATCH($J230,'07-Paper Priority'!$B$5:$B$26,0),OR(AND($E230&lt;='07-Paper Priority'!$C$20,$F230&lt;='07-Paper Priority'!$D$20),AND($E230&lt;='07-Paper Priority'!$D$20,$F230&lt;='07-Paper Priority'!$C$20))),'07-Paper Priority'!$A$20,"")</f>
        <v>16</v>
      </c>
      <c r="AI230">
        <f>IF(AND('07-Paper Priority'!$A$21&gt;=MATCH($J230,'07-Paper Priority'!$B$5:$B$26,0),OR(AND($E230&lt;='07-Paper Priority'!$C$21,$F230&lt;='07-Paper Priority'!$D$21),AND($E230&lt;='07-Paper Priority'!$D$21,$F230&lt;='07-Paper Priority'!$C$21))),'07-Paper Priority'!$A$21,"")</f>
        <v>17</v>
      </c>
      <c r="AJ230">
        <f>IF(AND('07-Paper Priority'!$A$22&gt;=MATCH($J230,'07-Paper Priority'!$B$5:$B$26,0),OR(AND($E230&lt;='07-Paper Priority'!$C$22,$F230&lt;='07-Paper Priority'!$D$22),AND($E230&lt;='07-Paper Priority'!$D$22,$F230&lt;='07-Paper Priority'!$C$22))),'07-Paper Priority'!$A$22,"")</f>
        <v>18</v>
      </c>
      <c r="AK230">
        <f>IF(AND('07-Paper Priority'!$A$23&gt;=MATCH($J230,'07-Paper Priority'!$B$5:$B$26,0),OR(AND($E230&lt;='07-Paper Priority'!$C$23,$F230&lt;='07-Paper Priority'!$D$23),AND($E230&lt;='07-Paper Priority'!$D$23,$F230&lt;='07-Paper Priority'!$C$23))),'07-Paper Priority'!$A$23,"")</f>
        <v>19</v>
      </c>
      <c r="AL230">
        <f>IF(AND('07-Paper Priority'!$A$24&gt;=MATCH($J230,'07-Paper Priority'!$B$5:$B$26,0),OR(AND($E230&lt;='07-Paper Priority'!$C$24,$F230&lt;='07-Paper Priority'!$D$24),AND($E230&lt;='07-Paper Priority'!$D$24,$F230&lt;='07-Paper Priority'!$C$24))),'07-Paper Priority'!$A$24,"")</f>
        <v>20</v>
      </c>
      <c r="AM230">
        <f>IF(AND('07-Paper Priority'!$A$25&gt;=MATCH($J230,'07-Paper Priority'!$B$5:$B$26,0),OR(AND($E230&lt;='07-Paper Priority'!$C$25,$F230&lt;='07-Paper Priority'!$D$25),AND($E230&lt;='07-Paper Priority'!$D$25,$F230&lt;='07-Paper Priority'!$C$25))),'07-Paper Priority'!$A$25,"")</f>
        <v>21</v>
      </c>
      <c r="AN230">
        <f>IF(AND('07-Paper Priority'!$A$26&gt;=MATCH($J230,'07-Paper Priority'!$B$5:$B$26,0),OR(AND($E230&lt;='07-Paper Priority'!$C$26,$F230&lt;='07-Paper Priority'!$D$26),AND($E230&lt;='07-Paper Priority'!$D$26,$F230&lt;='07-Paper Priority'!$C$26))),'07-Paper Priority'!$A$26,"")</f>
        <v>22</v>
      </c>
    </row>
    <row r="231" spans="1:40" ht="33.950000000000003" customHeight="1">
      <c r="A231" s="34" t="s">
        <v>2834</v>
      </c>
      <c r="B231" s="34" t="s">
        <v>2811</v>
      </c>
      <c r="C231" s="34" t="s">
        <v>2812</v>
      </c>
      <c r="D231" s="34" t="s">
        <v>2694</v>
      </c>
      <c r="E231" s="23">
        <v>90</v>
      </c>
      <c r="F231" s="23">
        <v>90</v>
      </c>
      <c r="G231" s="34" t="s">
        <v>2835</v>
      </c>
      <c r="H231" s="34" t="s">
        <v>2836</v>
      </c>
      <c r="I231" s="24" t="s">
        <v>2816</v>
      </c>
      <c r="J231" s="25" t="s">
        <v>652</v>
      </c>
      <c r="K231" s="26" t="str">
        <f>IF(COUNT(S231:AN231)=0,"NO FIT",INDEX('07-Paper Priority'!$B$5:$B$26,MIN(S231:AN231)))</f>
        <v>A6</v>
      </c>
      <c r="L231" s="26" t="str">
        <f>IF($K231="NO FIT","",IF(AND($E231&lt;=INDEX('07-Paper Priority'!$C$5:$C$26,MATCH($K231,'07-Paper Priority'!$B$5:$B$26,0)),$F231&lt;=INDEX('07-Paper Priority'!$D$5:$D$26,MATCH($K231,'07-Paper Priority'!$B$5:$B$26,0))),"PORTRAIT","ROTATED"))</f>
        <v>PORTRAIT</v>
      </c>
      <c r="M231" s="27">
        <f>IF($K231="NO FIT","",IF($L231="PORTRAIT",INDEX('07-Paper Priority'!$C$5:$C$26,MATCH($K231,'07-Paper Priority'!$B$5:$B$26,0)),INDEX('07-Paper Priority'!$D$5:$D$26,MATCH($K231,'07-Paper Priority'!$B$5:$B$26,0))))</f>
        <v>105</v>
      </c>
      <c r="N231" s="27">
        <f>IF($K231="NO FIT","",IF($L231="PORTRAIT",INDEX('07-Paper Priority'!$D$5:$D$26,MATCH($K231,'07-Paper Priority'!$B$5:$B$26,0)),INDEX('07-Paper Priority'!$C$5:$C$26,MATCH($K231,'07-Paper Priority'!$B$5:$B$26,0))))</f>
        <v>148</v>
      </c>
      <c r="O231" s="27">
        <f>IF($K231="NO FIT","",$M231-$E231)</f>
        <v>15</v>
      </c>
      <c r="P231" s="27">
        <f>IF($K231="NO FIT","",$N231-$F231)</f>
        <v>58</v>
      </c>
      <c r="Q231" s="28" t="str">
        <f>IF($K231="NO FIT","REVIEW - NO PAPER FIT",IF(OR($O231&lt;0,$P231&lt;0),"ERROR - FIT",IF(COUNTIF('02-Printing Size'!$A$2:$A$2169,$K231)=0,"ERROR - CODE MISSING","VALID - LOWEST PAPER")))</f>
        <v>VALID - LOWEST PAPER</v>
      </c>
      <c r="R231" s="34" t="s">
        <v>2691</v>
      </c>
      <c r="S231" t="str">
        <f>IF(AND('07-Paper Priority'!$A$5&gt;=MATCH($J231,'07-Paper Priority'!$B$5:$B$26,0),OR(AND($E231&lt;='07-Paper Priority'!$C$5,$F231&lt;='07-Paper Priority'!$D$5),AND($E231&lt;='07-Paper Priority'!$D$5,$F231&lt;='07-Paper Priority'!$C$5))),'07-Paper Priority'!$A$5,"")</f>
        <v/>
      </c>
      <c r="T231" t="str">
        <f>IF(AND('07-Paper Priority'!$A$6&gt;=MATCH($J231,'07-Paper Priority'!$B$5:$B$26,0),OR(AND($E231&lt;='07-Paper Priority'!$C$6,$F231&lt;='07-Paper Priority'!$D$6),AND($E231&lt;='07-Paper Priority'!$D$6,$F231&lt;='07-Paper Priority'!$C$6))),'07-Paper Priority'!$A$6,"")</f>
        <v/>
      </c>
      <c r="U231" t="str">
        <f>IF(AND('07-Paper Priority'!$A$7&gt;=MATCH($J231,'07-Paper Priority'!$B$5:$B$26,0),OR(AND($E231&lt;='07-Paper Priority'!$C$7,$F231&lt;='07-Paper Priority'!$D$7),AND($E231&lt;='07-Paper Priority'!$D$7,$F231&lt;='07-Paper Priority'!$C$7))),'07-Paper Priority'!$A$7,"")</f>
        <v/>
      </c>
      <c r="V231" t="str">
        <f>IF(AND('07-Paper Priority'!$A$8&gt;=MATCH($J231,'07-Paper Priority'!$B$5:$B$26,0),OR(AND($E231&lt;='07-Paper Priority'!$C$8,$F231&lt;='07-Paper Priority'!$D$8),AND($E231&lt;='07-Paper Priority'!$D$8,$F231&lt;='07-Paper Priority'!$C$8))),'07-Paper Priority'!$A$8,"")</f>
        <v/>
      </c>
      <c r="W231" t="str">
        <f>IF(AND('07-Paper Priority'!$A$9&gt;=MATCH($J231,'07-Paper Priority'!$B$5:$B$26,0),OR(AND($E231&lt;='07-Paper Priority'!$C$9,$F231&lt;='07-Paper Priority'!$D$9),AND($E231&lt;='07-Paper Priority'!$D$9,$F231&lt;='07-Paper Priority'!$C$9))),'07-Paper Priority'!$A$9,"")</f>
        <v/>
      </c>
      <c r="X231" t="str">
        <f>IF(AND('07-Paper Priority'!$A$10&gt;=MATCH($J231,'07-Paper Priority'!$B$5:$B$26,0),OR(AND($E231&lt;='07-Paper Priority'!$C$10,$F231&lt;='07-Paper Priority'!$D$10),AND($E231&lt;='07-Paper Priority'!$D$10,$F231&lt;='07-Paper Priority'!$C$10))),'07-Paper Priority'!$A$10,"")</f>
        <v/>
      </c>
      <c r="Y231" t="str">
        <f>IF(AND('07-Paper Priority'!$A$11&gt;=MATCH($J231,'07-Paper Priority'!$B$5:$B$26,0),OR(AND($E231&lt;='07-Paper Priority'!$C$11,$F231&lt;='07-Paper Priority'!$D$11),AND($E231&lt;='07-Paper Priority'!$D$11,$F231&lt;='07-Paper Priority'!$C$11))),'07-Paper Priority'!$A$11,"")</f>
        <v/>
      </c>
      <c r="Z231" t="str">
        <f>IF(AND('07-Paper Priority'!$A$12&gt;=MATCH($J231,'07-Paper Priority'!$B$5:$B$26,0),OR(AND($E231&lt;='07-Paper Priority'!$C$12,$F231&lt;='07-Paper Priority'!$D$12),AND($E231&lt;='07-Paper Priority'!$D$12,$F231&lt;='07-Paper Priority'!$C$12))),'07-Paper Priority'!$A$12,"")</f>
        <v/>
      </c>
      <c r="AA231">
        <f>IF(AND('07-Paper Priority'!$A$13&gt;=MATCH($J231,'07-Paper Priority'!$B$5:$B$26,0),OR(AND($E231&lt;='07-Paper Priority'!$C$13,$F231&lt;='07-Paper Priority'!$D$13),AND($E231&lt;='07-Paper Priority'!$D$13,$F231&lt;='07-Paper Priority'!$C$13))),'07-Paper Priority'!$A$13,"")</f>
        <v>9</v>
      </c>
      <c r="AB231">
        <f>IF(AND('07-Paper Priority'!$A$14&gt;=MATCH($J231,'07-Paper Priority'!$B$5:$B$26,0),OR(AND($E231&lt;='07-Paper Priority'!$C$14,$F231&lt;='07-Paper Priority'!$D$14),AND($E231&lt;='07-Paper Priority'!$D$14,$F231&lt;='07-Paper Priority'!$C$14))),'07-Paper Priority'!$A$14,"")</f>
        <v>10</v>
      </c>
      <c r="AC231">
        <f>IF(AND('07-Paper Priority'!$A$15&gt;=MATCH($J231,'07-Paper Priority'!$B$5:$B$26,0),OR(AND($E231&lt;='07-Paper Priority'!$C$15,$F231&lt;='07-Paper Priority'!$D$15),AND($E231&lt;='07-Paper Priority'!$D$15,$F231&lt;='07-Paper Priority'!$C$15))),'07-Paper Priority'!$A$15,"")</f>
        <v>11</v>
      </c>
      <c r="AD231">
        <f>IF(AND('07-Paper Priority'!$A$16&gt;=MATCH($J231,'07-Paper Priority'!$B$5:$B$26,0),OR(AND($E231&lt;='07-Paper Priority'!$C$16,$F231&lt;='07-Paper Priority'!$D$16),AND($E231&lt;='07-Paper Priority'!$D$16,$F231&lt;='07-Paper Priority'!$C$16))),'07-Paper Priority'!$A$16,"")</f>
        <v>12</v>
      </c>
      <c r="AE231">
        <f>IF(AND('07-Paper Priority'!$A$17&gt;=MATCH($J231,'07-Paper Priority'!$B$5:$B$26,0),OR(AND($E231&lt;='07-Paper Priority'!$C$17,$F231&lt;='07-Paper Priority'!$D$17),AND($E231&lt;='07-Paper Priority'!$D$17,$F231&lt;='07-Paper Priority'!$C$17))),'07-Paper Priority'!$A$17,"")</f>
        <v>13</v>
      </c>
      <c r="AF231">
        <f>IF(AND('07-Paper Priority'!$A$18&gt;=MATCH($J231,'07-Paper Priority'!$B$5:$B$26,0),OR(AND($E231&lt;='07-Paper Priority'!$C$18,$F231&lt;='07-Paper Priority'!$D$18),AND($E231&lt;='07-Paper Priority'!$D$18,$F231&lt;='07-Paper Priority'!$C$18))),'07-Paper Priority'!$A$18,"")</f>
        <v>14</v>
      </c>
      <c r="AG231">
        <f>IF(AND('07-Paper Priority'!$A$19&gt;=MATCH($J231,'07-Paper Priority'!$B$5:$B$26,0),OR(AND($E231&lt;='07-Paper Priority'!$C$19,$F231&lt;='07-Paper Priority'!$D$19),AND($E231&lt;='07-Paper Priority'!$D$19,$F231&lt;='07-Paper Priority'!$C$19))),'07-Paper Priority'!$A$19,"")</f>
        <v>15</v>
      </c>
      <c r="AH231">
        <f>IF(AND('07-Paper Priority'!$A$20&gt;=MATCH($J231,'07-Paper Priority'!$B$5:$B$26,0),OR(AND($E231&lt;='07-Paper Priority'!$C$20,$F231&lt;='07-Paper Priority'!$D$20),AND($E231&lt;='07-Paper Priority'!$D$20,$F231&lt;='07-Paper Priority'!$C$20))),'07-Paper Priority'!$A$20,"")</f>
        <v>16</v>
      </c>
      <c r="AI231">
        <f>IF(AND('07-Paper Priority'!$A$21&gt;=MATCH($J231,'07-Paper Priority'!$B$5:$B$26,0),OR(AND($E231&lt;='07-Paper Priority'!$C$21,$F231&lt;='07-Paper Priority'!$D$21),AND($E231&lt;='07-Paper Priority'!$D$21,$F231&lt;='07-Paper Priority'!$C$21))),'07-Paper Priority'!$A$21,"")</f>
        <v>17</v>
      </c>
      <c r="AJ231">
        <f>IF(AND('07-Paper Priority'!$A$22&gt;=MATCH($J231,'07-Paper Priority'!$B$5:$B$26,0),OR(AND($E231&lt;='07-Paper Priority'!$C$22,$F231&lt;='07-Paper Priority'!$D$22),AND($E231&lt;='07-Paper Priority'!$D$22,$F231&lt;='07-Paper Priority'!$C$22))),'07-Paper Priority'!$A$22,"")</f>
        <v>18</v>
      </c>
      <c r="AK231">
        <f>IF(AND('07-Paper Priority'!$A$23&gt;=MATCH($J231,'07-Paper Priority'!$B$5:$B$26,0),OR(AND($E231&lt;='07-Paper Priority'!$C$23,$F231&lt;='07-Paper Priority'!$D$23),AND($E231&lt;='07-Paper Priority'!$D$23,$F231&lt;='07-Paper Priority'!$C$23))),'07-Paper Priority'!$A$23,"")</f>
        <v>19</v>
      </c>
      <c r="AL231">
        <f>IF(AND('07-Paper Priority'!$A$24&gt;=MATCH($J231,'07-Paper Priority'!$B$5:$B$26,0),OR(AND($E231&lt;='07-Paper Priority'!$C$24,$F231&lt;='07-Paper Priority'!$D$24),AND($E231&lt;='07-Paper Priority'!$D$24,$F231&lt;='07-Paper Priority'!$C$24))),'07-Paper Priority'!$A$24,"")</f>
        <v>20</v>
      </c>
      <c r="AM231">
        <f>IF(AND('07-Paper Priority'!$A$25&gt;=MATCH($J231,'07-Paper Priority'!$B$5:$B$26,0),OR(AND($E231&lt;='07-Paper Priority'!$C$25,$F231&lt;='07-Paper Priority'!$D$25),AND($E231&lt;='07-Paper Priority'!$D$25,$F231&lt;='07-Paper Priority'!$C$25))),'07-Paper Priority'!$A$25,"")</f>
        <v>21</v>
      </c>
      <c r="AN231">
        <f>IF(AND('07-Paper Priority'!$A$26&gt;=MATCH($J231,'07-Paper Priority'!$B$5:$B$26,0),OR(AND($E231&lt;='07-Paper Priority'!$C$26,$F231&lt;='07-Paper Priority'!$D$26),AND($E231&lt;='07-Paper Priority'!$D$26,$F231&lt;='07-Paper Priority'!$C$26))),'07-Paper Priority'!$A$26,"")</f>
        <v>22</v>
      </c>
    </row>
    <row r="232" spans="1:40" ht="33.950000000000003" customHeight="1">
      <c r="A232" s="34" t="s">
        <v>2837</v>
      </c>
      <c r="B232" s="34" t="s">
        <v>2811</v>
      </c>
      <c r="C232" s="34" t="s">
        <v>2812</v>
      </c>
      <c r="D232" s="34" t="s">
        <v>2694</v>
      </c>
      <c r="E232" s="23">
        <v>50</v>
      </c>
      <c r="F232" s="23">
        <v>50</v>
      </c>
      <c r="G232" s="34" t="s">
        <v>2607</v>
      </c>
      <c r="H232" s="34" t="s">
        <v>2838</v>
      </c>
      <c r="I232" s="24" t="s">
        <v>2816</v>
      </c>
      <c r="J232" s="25" t="s">
        <v>800</v>
      </c>
      <c r="K232" s="26" t="str">
        <f>IF(COUNT(S232:AN232)=0,"NO FIT",INDEX('07-Paper Priority'!$B$5:$B$26,MIN(S232:AN232)))</f>
        <v>A8</v>
      </c>
      <c r="L232" s="26" t="str">
        <f>IF($K232="NO FIT","",IF(AND($E232&lt;=INDEX('07-Paper Priority'!$C$5:$C$26,MATCH($K232,'07-Paper Priority'!$B$5:$B$26,0)),$F232&lt;=INDEX('07-Paper Priority'!$D$5:$D$26,MATCH($K232,'07-Paper Priority'!$B$5:$B$26,0))),"PORTRAIT","ROTATED"))</f>
        <v>PORTRAIT</v>
      </c>
      <c r="M232" s="27">
        <f>IF($K232="NO FIT","",IF($L232="PORTRAIT",INDEX('07-Paper Priority'!$C$5:$C$26,MATCH($K232,'07-Paper Priority'!$B$5:$B$26,0)),INDEX('07-Paper Priority'!$D$5:$D$26,MATCH($K232,'07-Paper Priority'!$B$5:$B$26,0))))</f>
        <v>52</v>
      </c>
      <c r="N232" s="27">
        <f>IF($K232="NO FIT","",IF($L232="PORTRAIT",INDEX('07-Paper Priority'!$D$5:$D$26,MATCH($K232,'07-Paper Priority'!$B$5:$B$26,0)),INDEX('07-Paper Priority'!$C$5:$C$26,MATCH($K232,'07-Paper Priority'!$B$5:$B$26,0))))</f>
        <v>74</v>
      </c>
      <c r="O232" s="27">
        <f>IF($K232="NO FIT","",$M232-$E232)</f>
        <v>2</v>
      </c>
      <c r="P232" s="27">
        <f>IF($K232="NO FIT","",$N232-$F232)</f>
        <v>24</v>
      </c>
      <c r="Q232" s="28" t="str">
        <f>IF($K232="NO FIT","REVIEW - NO PAPER FIT",IF(OR($O232&lt;0,$P232&lt;0),"ERROR - FIT",IF(COUNTIF('02-Printing Size'!$A$2:$A$2169,$K232)=0,"ERROR - CODE MISSING","VALID - LOWEST PAPER")))</f>
        <v>VALID - LOWEST PAPER</v>
      </c>
      <c r="R232" s="34" t="s">
        <v>2839</v>
      </c>
      <c r="S232" t="str">
        <f>IF(AND('07-Paper Priority'!$A$5&gt;=MATCH($J232,'07-Paper Priority'!$B$5:$B$26,0),OR(AND($E232&lt;='07-Paper Priority'!$C$5,$F232&lt;='07-Paper Priority'!$D$5),AND($E232&lt;='07-Paper Priority'!$D$5,$F232&lt;='07-Paper Priority'!$C$5))),'07-Paper Priority'!$A$5,"")</f>
        <v/>
      </c>
      <c r="T232" t="str">
        <f>IF(AND('07-Paper Priority'!$A$6&gt;=MATCH($J232,'07-Paper Priority'!$B$5:$B$26,0),OR(AND($E232&lt;='07-Paper Priority'!$C$6,$F232&lt;='07-Paper Priority'!$D$6),AND($E232&lt;='07-Paper Priority'!$D$6,$F232&lt;='07-Paper Priority'!$C$6))),'07-Paper Priority'!$A$6,"")</f>
        <v/>
      </c>
      <c r="U232" t="str">
        <f>IF(AND('07-Paper Priority'!$A$7&gt;=MATCH($J232,'07-Paper Priority'!$B$5:$B$26,0),OR(AND($E232&lt;='07-Paper Priority'!$C$7,$F232&lt;='07-Paper Priority'!$D$7),AND($E232&lt;='07-Paper Priority'!$D$7,$F232&lt;='07-Paper Priority'!$C$7))),'07-Paper Priority'!$A$7,"")</f>
        <v/>
      </c>
      <c r="V232" t="str">
        <f>IF(AND('07-Paper Priority'!$A$8&gt;=MATCH($J232,'07-Paper Priority'!$B$5:$B$26,0),OR(AND($E232&lt;='07-Paper Priority'!$C$8,$F232&lt;='07-Paper Priority'!$D$8),AND($E232&lt;='07-Paper Priority'!$D$8,$F232&lt;='07-Paper Priority'!$C$8))),'07-Paper Priority'!$A$8,"")</f>
        <v/>
      </c>
      <c r="W232">
        <f>IF(AND('07-Paper Priority'!$A$9&gt;=MATCH($J232,'07-Paper Priority'!$B$5:$B$26,0),OR(AND($E232&lt;='07-Paper Priority'!$C$9,$F232&lt;='07-Paper Priority'!$D$9),AND($E232&lt;='07-Paper Priority'!$D$9,$F232&lt;='07-Paper Priority'!$C$9))),'07-Paper Priority'!$A$9,"")</f>
        <v>5</v>
      </c>
      <c r="X232">
        <f>IF(AND('07-Paper Priority'!$A$10&gt;=MATCH($J232,'07-Paper Priority'!$B$5:$B$26,0),OR(AND($E232&lt;='07-Paper Priority'!$C$10,$F232&lt;='07-Paper Priority'!$D$10),AND($E232&lt;='07-Paper Priority'!$D$10,$F232&lt;='07-Paper Priority'!$C$10))),'07-Paper Priority'!$A$10,"")</f>
        <v>6</v>
      </c>
      <c r="Y232">
        <f>IF(AND('07-Paper Priority'!$A$11&gt;=MATCH($J232,'07-Paper Priority'!$B$5:$B$26,0),OR(AND($E232&lt;='07-Paper Priority'!$C$11,$F232&lt;='07-Paper Priority'!$D$11),AND($E232&lt;='07-Paper Priority'!$D$11,$F232&lt;='07-Paper Priority'!$C$11))),'07-Paper Priority'!$A$11,"")</f>
        <v>7</v>
      </c>
      <c r="Z232">
        <f>IF(AND('07-Paper Priority'!$A$12&gt;=MATCH($J232,'07-Paper Priority'!$B$5:$B$26,0),OR(AND($E232&lt;='07-Paper Priority'!$C$12,$F232&lt;='07-Paper Priority'!$D$12),AND($E232&lt;='07-Paper Priority'!$D$12,$F232&lt;='07-Paper Priority'!$C$12))),'07-Paper Priority'!$A$12,"")</f>
        <v>8</v>
      </c>
      <c r="AA232">
        <f>IF(AND('07-Paper Priority'!$A$13&gt;=MATCH($J232,'07-Paper Priority'!$B$5:$B$26,0),OR(AND($E232&lt;='07-Paper Priority'!$C$13,$F232&lt;='07-Paper Priority'!$D$13),AND($E232&lt;='07-Paper Priority'!$D$13,$F232&lt;='07-Paper Priority'!$C$13))),'07-Paper Priority'!$A$13,"")</f>
        <v>9</v>
      </c>
      <c r="AB232">
        <f>IF(AND('07-Paper Priority'!$A$14&gt;=MATCH($J232,'07-Paper Priority'!$B$5:$B$26,0),OR(AND($E232&lt;='07-Paper Priority'!$C$14,$F232&lt;='07-Paper Priority'!$D$14),AND($E232&lt;='07-Paper Priority'!$D$14,$F232&lt;='07-Paper Priority'!$C$14))),'07-Paper Priority'!$A$14,"")</f>
        <v>10</v>
      </c>
      <c r="AC232">
        <f>IF(AND('07-Paper Priority'!$A$15&gt;=MATCH($J232,'07-Paper Priority'!$B$5:$B$26,0),OR(AND($E232&lt;='07-Paper Priority'!$C$15,$F232&lt;='07-Paper Priority'!$D$15),AND($E232&lt;='07-Paper Priority'!$D$15,$F232&lt;='07-Paper Priority'!$C$15))),'07-Paper Priority'!$A$15,"")</f>
        <v>11</v>
      </c>
      <c r="AD232">
        <f>IF(AND('07-Paper Priority'!$A$16&gt;=MATCH($J232,'07-Paper Priority'!$B$5:$B$26,0),OR(AND($E232&lt;='07-Paper Priority'!$C$16,$F232&lt;='07-Paper Priority'!$D$16),AND($E232&lt;='07-Paper Priority'!$D$16,$F232&lt;='07-Paper Priority'!$C$16))),'07-Paper Priority'!$A$16,"")</f>
        <v>12</v>
      </c>
      <c r="AE232">
        <f>IF(AND('07-Paper Priority'!$A$17&gt;=MATCH($J232,'07-Paper Priority'!$B$5:$B$26,0),OR(AND($E232&lt;='07-Paper Priority'!$C$17,$F232&lt;='07-Paper Priority'!$D$17),AND($E232&lt;='07-Paper Priority'!$D$17,$F232&lt;='07-Paper Priority'!$C$17))),'07-Paper Priority'!$A$17,"")</f>
        <v>13</v>
      </c>
      <c r="AF232">
        <f>IF(AND('07-Paper Priority'!$A$18&gt;=MATCH($J232,'07-Paper Priority'!$B$5:$B$26,0),OR(AND($E232&lt;='07-Paper Priority'!$C$18,$F232&lt;='07-Paper Priority'!$D$18),AND($E232&lt;='07-Paper Priority'!$D$18,$F232&lt;='07-Paper Priority'!$C$18))),'07-Paper Priority'!$A$18,"")</f>
        <v>14</v>
      </c>
      <c r="AG232">
        <f>IF(AND('07-Paper Priority'!$A$19&gt;=MATCH($J232,'07-Paper Priority'!$B$5:$B$26,0),OR(AND($E232&lt;='07-Paper Priority'!$C$19,$F232&lt;='07-Paper Priority'!$D$19),AND($E232&lt;='07-Paper Priority'!$D$19,$F232&lt;='07-Paper Priority'!$C$19))),'07-Paper Priority'!$A$19,"")</f>
        <v>15</v>
      </c>
      <c r="AH232">
        <f>IF(AND('07-Paper Priority'!$A$20&gt;=MATCH($J232,'07-Paper Priority'!$B$5:$B$26,0),OR(AND($E232&lt;='07-Paper Priority'!$C$20,$F232&lt;='07-Paper Priority'!$D$20),AND($E232&lt;='07-Paper Priority'!$D$20,$F232&lt;='07-Paper Priority'!$C$20))),'07-Paper Priority'!$A$20,"")</f>
        <v>16</v>
      </c>
      <c r="AI232">
        <f>IF(AND('07-Paper Priority'!$A$21&gt;=MATCH($J232,'07-Paper Priority'!$B$5:$B$26,0),OR(AND($E232&lt;='07-Paper Priority'!$C$21,$F232&lt;='07-Paper Priority'!$D$21),AND($E232&lt;='07-Paper Priority'!$D$21,$F232&lt;='07-Paper Priority'!$C$21))),'07-Paper Priority'!$A$21,"")</f>
        <v>17</v>
      </c>
      <c r="AJ232">
        <f>IF(AND('07-Paper Priority'!$A$22&gt;=MATCH($J232,'07-Paper Priority'!$B$5:$B$26,0),OR(AND($E232&lt;='07-Paper Priority'!$C$22,$F232&lt;='07-Paper Priority'!$D$22),AND($E232&lt;='07-Paper Priority'!$D$22,$F232&lt;='07-Paper Priority'!$C$22))),'07-Paper Priority'!$A$22,"")</f>
        <v>18</v>
      </c>
      <c r="AK232">
        <f>IF(AND('07-Paper Priority'!$A$23&gt;=MATCH($J232,'07-Paper Priority'!$B$5:$B$26,0),OR(AND($E232&lt;='07-Paper Priority'!$C$23,$F232&lt;='07-Paper Priority'!$D$23),AND($E232&lt;='07-Paper Priority'!$D$23,$F232&lt;='07-Paper Priority'!$C$23))),'07-Paper Priority'!$A$23,"")</f>
        <v>19</v>
      </c>
      <c r="AL232">
        <f>IF(AND('07-Paper Priority'!$A$24&gt;=MATCH($J232,'07-Paper Priority'!$B$5:$B$26,0),OR(AND($E232&lt;='07-Paper Priority'!$C$24,$F232&lt;='07-Paper Priority'!$D$24),AND($E232&lt;='07-Paper Priority'!$D$24,$F232&lt;='07-Paper Priority'!$C$24))),'07-Paper Priority'!$A$24,"")</f>
        <v>20</v>
      </c>
      <c r="AM232">
        <f>IF(AND('07-Paper Priority'!$A$25&gt;=MATCH($J232,'07-Paper Priority'!$B$5:$B$26,0),OR(AND($E232&lt;='07-Paper Priority'!$C$25,$F232&lt;='07-Paper Priority'!$D$25),AND($E232&lt;='07-Paper Priority'!$D$25,$F232&lt;='07-Paper Priority'!$C$25))),'07-Paper Priority'!$A$25,"")</f>
        <v>21</v>
      </c>
      <c r="AN232">
        <f>IF(AND('07-Paper Priority'!$A$26&gt;=MATCH($J232,'07-Paper Priority'!$B$5:$B$26,0),OR(AND($E232&lt;='07-Paper Priority'!$C$26,$F232&lt;='07-Paper Priority'!$D$26),AND($E232&lt;='07-Paper Priority'!$D$26,$F232&lt;='07-Paper Priority'!$C$26))),'07-Paper Priority'!$A$26,"")</f>
        <v>22</v>
      </c>
    </row>
    <row r="233" spans="1:40" ht="33.950000000000003" customHeight="1">
      <c r="A233" s="34" t="s">
        <v>2840</v>
      </c>
      <c r="B233" s="34" t="s">
        <v>2811</v>
      </c>
      <c r="C233" s="34" t="s">
        <v>2812</v>
      </c>
      <c r="D233" s="34" t="s">
        <v>2694</v>
      </c>
      <c r="E233" s="23">
        <v>45</v>
      </c>
      <c r="F233" s="23">
        <v>150</v>
      </c>
      <c r="G233" s="34" t="s">
        <v>2612</v>
      </c>
      <c r="H233" s="34" t="s">
        <v>2841</v>
      </c>
      <c r="I233" s="24" t="s">
        <v>2568</v>
      </c>
      <c r="J233" s="25" t="s">
        <v>2128</v>
      </c>
      <c r="K233" s="26" t="str">
        <f>IF(COUNT(S233:AN233)=0,"NO FIT",INDEX('07-Paper Priority'!$B$5:$B$26,MIN(S233:AN233)))</f>
        <v>B6</v>
      </c>
      <c r="L233" s="26" t="str">
        <f>IF($K233="NO FIT","",IF(AND($E233&lt;=INDEX('07-Paper Priority'!$C$5:$C$26,MATCH($K233,'07-Paper Priority'!$B$5:$B$26,0)),$F233&lt;=INDEX('07-Paper Priority'!$D$5:$D$26,MATCH($K233,'07-Paper Priority'!$B$5:$B$26,0))),"PORTRAIT","ROTATED"))</f>
        <v>PORTRAIT</v>
      </c>
      <c r="M233" s="27">
        <f>IF($K233="NO FIT","",IF($L233="PORTRAIT",INDEX('07-Paper Priority'!$C$5:$C$26,MATCH($K233,'07-Paper Priority'!$B$5:$B$26,0)),INDEX('07-Paper Priority'!$D$5:$D$26,MATCH($K233,'07-Paper Priority'!$B$5:$B$26,0))))</f>
        <v>125</v>
      </c>
      <c r="N233" s="27">
        <f>IF($K233="NO FIT","",IF($L233="PORTRAIT",INDEX('07-Paper Priority'!$D$5:$D$26,MATCH($K233,'07-Paper Priority'!$B$5:$B$26,0)),INDEX('07-Paper Priority'!$C$5:$C$26,MATCH($K233,'07-Paper Priority'!$B$5:$B$26,0))))</f>
        <v>176</v>
      </c>
      <c r="O233" s="27">
        <f>IF($K233="NO FIT","",$M233-$E233)</f>
        <v>80</v>
      </c>
      <c r="P233" s="27">
        <f>IF($K233="NO FIT","",$N233-$F233)</f>
        <v>26</v>
      </c>
      <c r="Q233" s="28" t="str">
        <f>IF($K233="NO FIT","REVIEW - NO PAPER FIT",IF(OR($O233&lt;0,$P233&lt;0),"ERROR - FIT",IF(COUNTIF('02-Printing Size'!$A$2:$A$2169,$K233)=0,"ERROR - CODE MISSING","VALID - LOWEST PAPER")))</f>
        <v>VALID - LOWEST PAPER</v>
      </c>
      <c r="R233" s="34" t="s">
        <v>2842</v>
      </c>
      <c r="S233" t="str">
        <f>IF(AND('07-Paper Priority'!$A$5&gt;=MATCH($J233,'07-Paper Priority'!$B$5:$B$26,0),OR(AND($E233&lt;='07-Paper Priority'!$C$5,$F233&lt;='07-Paper Priority'!$D$5),AND($E233&lt;='07-Paper Priority'!$D$5,$F233&lt;='07-Paper Priority'!$C$5))),'07-Paper Priority'!$A$5,"")</f>
        <v/>
      </c>
      <c r="T233" t="str">
        <f>IF(AND('07-Paper Priority'!$A$6&gt;=MATCH($J233,'07-Paper Priority'!$B$5:$B$26,0),OR(AND($E233&lt;='07-Paper Priority'!$C$6,$F233&lt;='07-Paper Priority'!$D$6),AND($E233&lt;='07-Paper Priority'!$D$6,$F233&lt;='07-Paper Priority'!$C$6))),'07-Paper Priority'!$A$6,"")</f>
        <v/>
      </c>
      <c r="U233" t="str">
        <f>IF(AND('07-Paper Priority'!$A$7&gt;=MATCH($J233,'07-Paper Priority'!$B$5:$B$26,0),OR(AND($E233&lt;='07-Paper Priority'!$C$7,$F233&lt;='07-Paper Priority'!$D$7),AND($E233&lt;='07-Paper Priority'!$D$7,$F233&lt;='07-Paper Priority'!$C$7))),'07-Paper Priority'!$A$7,"")</f>
        <v/>
      </c>
      <c r="V233" t="str">
        <f>IF(AND('07-Paper Priority'!$A$8&gt;=MATCH($J233,'07-Paper Priority'!$B$5:$B$26,0),OR(AND($E233&lt;='07-Paper Priority'!$C$8,$F233&lt;='07-Paper Priority'!$D$8),AND($E233&lt;='07-Paper Priority'!$D$8,$F233&lt;='07-Paper Priority'!$C$8))),'07-Paper Priority'!$A$8,"")</f>
        <v/>
      </c>
      <c r="W233" t="str">
        <f>IF(AND('07-Paper Priority'!$A$9&gt;=MATCH($J233,'07-Paper Priority'!$B$5:$B$26,0),OR(AND($E233&lt;='07-Paper Priority'!$C$9,$F233&lt;='07-Paper Priority'!$D$9),AND($E233&lt;='07-Paper Priority'!$D$9,$F233&lt;='07-Paper Priority'!$C$9))),'07-Paper Priority'!$A$9,"")</f>
        <v/>
      </c>
      <c r="X233" t="str">
        <f>IF(AND('07-Paper Priority'!$A$10&gt;=MATCH($J233,'07-Paper Priority'!$B$5:$B$26,0),OR(AND($E233&lt;='07-Paper Priority'!$C$10,$F233&lt;='07-Paper Priority'!$D$10),AND($E233&lt;='07-Paper Priority'!$D$10,$F233&lt;='07-Paper Priority'!$C$10))),'07-Paper Priority'!$A$10,"")</f>
        <v/>
      </c>
      <c r="Y233" t="str">
        <f>IF(AND('07-Paper Priority'!$A$11&gt;=MATCH($J233,'07-Paper Priority'!$B$5:$B$26,0),OR(AND($E233&lt;='07-Paper Priority'!$C$11,$F233&lt;='07-Paper Priority'!$D$11),AND($E233&lt;='07-Paper Priority'!$D$11,$F233&lt;='07-Paper Priority'!$C$11))),'07-Paper Priority'!$A$11,"")</f>
        <v/>
      </c>
      <c r="Z233" t="str">
        <f>IF(AND('07-Paper Priority'!$A$12&gt;=MATCH($J233,'07-Paper Priority'!$B$5:$B$26,0),OR(AND($E233&lt;='07-Paper Priority'!$C$12,$F233&lt;='07-Paper Priority'!$D$12),AND($E233&lt;='07-Paper Priority'!$D$12,$F233&lt;='07-Paper Priority'!$C$12))),'07-Paper Priority'!$A$12,"")</f>
        <v/>
      </c>
      <c r="AA233" t="str">
        <f>IF(AND('07-Paper Priority'!$A$13&gt;=MATCH($J233,'07-Paper Priority'!$B$5:$B$26,0),OR(AND($E233&lt;='07-Paper Priority'!$C$13,$F233&lt;='07-Paper Priority'!$D$13),AND($E233&lt;='07-Paper Priority'!$D$13,$F233&lt;='07-Paper Priority'!$C$13))),'07-Paper Priority'!$A$13,"")</f>
        <v/>
      </c>
      <c r="AB233">
        <f>IF(AND('07-Paper Priority'!$A$14&gt;=MATCH($J233,'07-Paper Priority'!$B$5:$B$26,0),OR(AND($E233&lt;='07-Paper Priority'!$C$14,$F233&lt;='07-Paper Priority'!$D$14),AND($E233&lt;='07-Paper Priority'!$D$14,$F233&lt;='07-Paper Priority'!$C$14))),'07-Paper Priority'!$A$14,"")</f>
        <v>10</v>
      </c>
      <c r="AC233">
        <f>IF(AND('07-Paper Priority'!$A$15&gt;=MATCH($J233,'07-Paper Priority'!$B$5:$B$26,0),OR(AND($E233&lt;='07-Paper Priority'!$C$15,$F233&lt;='07-Paper Priority'!$D$15),AND($E233&lt;='07-Paper Priority'!$D$15,$F233&lt;='07-Paper Priority'!$C$15))),'07-Paper Priority'!$A$15,"")</f>
        <v>11</v>
      </c>
      <c r="AD233">
        <f>IF(AND('07-Paper Priority'!$A$16&gt;=MATCH($J233,'07-Paper Priority'!$B$5:$B$26,0),OR(AND($E233&lt;='07-Paper Priority'!$C$16,$F233&lt;='07-Paper Priority'!$D$16),AND($E233&lt;='07-Paper Priority'!$D$16,$F233&lt;='07-Paper Priority'!$C$16))),'07-Paper Priority'!$A$16,"")</f>
        <v>12</v>
      </c>
      <c r="AE233">
        <f>IF(AND('07-Paper Priority'!$A$17&gt;=MATCH($J233,'07-Paper Priority'!$B$5:$B$26,0),OR(AND($E233&lt;='07-Paper Priority'!$C$17,$F233&lt;='07-Paper Priority'!$D$17),AND($E233&lt;='07-Paper Priority'!$D$17,$F233&lt;='07-Paper Priority'!$C$17))),'07-Paper Priority'!$A$17,"")</f>
        <v>13</v>
      </c>
      <c r="AF233">
        <f>IF(AND('07-Paper Priority'!$A$18&gt;=MATCH($J233,'07-Paper Priority'!$B$5:$B$26,0),OR(AND($E233&lt;='07-Paper Priority'!$C$18,$F233&lt;='07-Paper Priority'!$D$18),AND($E233&lt;='07-Paper Priority'!$D$18,$F233&lt;='07-Paper Priority'!$C$18))),'07-Paper Priority'!$A$18,"")</f>
        <v>14</v>
      </c>
      <c r="AG233">
        <f>IF(AND('07-Paper Priority'!$A$19&gt;=MATCH($J233,'07-Paper Priority'!$B$5:$B$26,0),OR(AND($E233&lt;='07-Paper Priority'!$C$19,$F233&lt;='07-Paper Priority'!$D$19),AND($E233&lt;='07-Paper Priority'!$D$19,$F233&lt;='07-Paper Priority'!$C$19))),'07-Paper Priority'!$A$19,"")</f>
        <v>15</v>
      </c>
      <c r="AH233">
        <f>IF(AND('07-Paper Priority'!$A$20&gt;=MATCH($J233,'07-Paper Priority'!$B$5:$B$26,0),OR(AND($E233&lt;='07-Paper Priority'!$C$20,$F233&lt;='07-Paper Priority'!$D$20),AND($E233&lt;='07-Paper Priority'!$D$20,$F233&lt;='07-Paper Priority'!$C$20))),'07-Paper Priority'!$A$20,"")</f>
        <v>16</v>
      </c>
      <c r="AI233">
        <f>IF(AND('07-Paper Priority'!$A$21&gt;=MATCH($J233,'07-Paper Priority'!$B$5:$B$26,0),OR(AND($E233&lt;='07-Paper Priority'!$C$21,$F233&lt;='07-Paper Priority'!$D$21),AND($E233&lt;='07-Paper Priority'!$D$21,$F233&lt;='07-Paper Priority'!$C$21))),'07-Paper Priority'!$A$21,"")</f>
        <v>17</v>
      </c>
      <c r="AJ233">
        <f>IF(AND('07-Paper Priority'!$A$22&gt;=MATCH($J233,'07-Paper Priority'!$B$5:$B$26,0),OR(AND($E233&lt;='07-Paper Priority'!$C$22,$F233&lt;='07-Paper Priority'!$D$22),AND($E233&lt;='07-Paper Priority'!$D$22,$F233&lt;='07-Paper Priority'!$C$22))),'07-Paper Priority'!$A$22,"")</f>
        <v>18</v>
      </c>
      <c r="AK233">
        <f>IF(AND('07-Paper Priority'!$A$23&gt;=MATCH($J233,'07-Paper Priority'!$B$5:$B$26,0),OR(AND($E233&lt;='07-Paper Priority'!$C$23,$F233&lt;='07-Paper Priority'!$D$23),AND($E233&lt;='07-Paper Priority'!$D$23,$F233&lt;='07-Paper Priority'!$C$23))),'07-Paper Priority'!$A$23,"")</f>
        <v>19</v>
      </c>
      <c r="AL233">
        <f>IF(AND('07-Paper Priority'!$A$24&gt;=MATCH($J233,'07-Paper Priority'!$B$5:$B$26,0),OR(AND($E233&lt;='07-Paper Priority'!$C$24,$F233&lt;='07-Paper Priority'!$D$24),AND($E233&lt;='07-Paper Priority'!$D$24,$F233&lt;='07-Paper Priority'!$C$24))),'07-Paper Priority'!$A$24,"")</f>
        <v>20</v>
      </c>
      <c r="AM233">
        <f>IF(AND('07-Paper Priority'!$A$25&gt;=MATCH($J233,'07-Paper Priority'!$B$5:$B$26,0),OR(AND($E233&lt;='07-Paper Priority'!$C$25,$F233&lt;='07-Paper Priority'!$D$25),AND($E233&lt;='07-Paper Priority'!$D$25,$F233&lt;='07-Paper Priority'!$C$25))),'07-Paper Priority'!$A$25,"")</f>
        <v>21</v>
      </c>
      <c r="AN233">
        <f>IF(AND('07-Paper Priority'!$A$26&gt;=MATCH($J233,'07-Paper Priority'!$B$5:$B$26,0),OR(AND($E233&lt;='07-Paper Priority'!$C$26,$F233&lt;='07-Paper Priority'!$D$26),AND($E233&lt;='07-Paper Priority'!$D$26,$F233&lt;='07-Paper Priority'!$C$26))),'07-Paper Priority'!$A$26,"")</f>
        <v>22</v>
      </c>
    </row>
    <row r="234" spans="1:40" ht="33.950000000000003" customHeight="1">
      <c r="A234" s="34" t="s">
        <v>2843</v>
      </c>
      <c r="B234" s="34" t="s">
        <v>2811</v>
      </c>
      <c r="C234" s="34" t="s">
        <v>2844</v>
      </c>
      <c r="D234" s="34" t="s">
        <v>2694</v>
      </c>
      <c r="E234" s="23">
        <v>50</v>
      </c>
      <c r="F234" s="23">
        <v>50</v>
      </c>
      <c r="G234" s="34" t="s">
        <v>2597</v>
      </c>
      <c r="H234" s="34" t="s">
        <v>2845</v>
      </c>
      <c r="I234" s="24" t="s">
        <v>2599</v>
      </c>
      <c r="J234" s="25" t="s">
        <v>800</v>
      </c>
      <c r="K234" s="26" t="str">
        <f>IF(COUNT(S234:AN234)=0,"NO FIT",INDEX('07-Paper Priority'!$B$5:$B$26,MIN(S234:AN234)))</f>
        <v>A8</v>
      </c>
      <c r="L234" s="26" t="str">
        <f>IF($K234="NO FIT","",IF(AND($E234&lt;=INDEX('07-Paper Priority'!$C$5:$C$26,MATCH($K234,'07-Paper Priority'!$B$5:$B$26,0)),$F234&lt;=INDEX('07-Paper Priority'!$D$5:$D$26,MATCH($K234,'07-Paper Priority'!$B$5:$B$26,0))),"PORTRAIT","ROTATED"))</f>
        <v>PORTRAIT</v>
      </c>
      <c r="M234" s="27">
        <f>IF($K234="NO FIT","",IF($L234="PORTRAIT",INDEX('07-Paper Priority'!$C$5:$C$26,MATCH($K234,'07-Paper Priority'!$B$5:$B$26,0)),INDEX('07-Paper Priority'!$D$5:$D$26,MATCH($K234,'07-Paper Priority'!$B$5:$B$26,0))))</f>
        <v>52</v>
      </c>
      <c r="N234" s="27">
        <f>IF($K234="NO FIT","",IF($L234="PORTRAIT",INDEX('07-Paper Priority'!$D$5:$D$26,MATCH($K234,'07-Paper Priority'!$B$5:$B$26,0)),INDEX('07-Paper Priority'!$C$5:$C$26,MATCH($K234,'07-Paper Priority'!$B$5:$B$26,0))))</f>
        <v>74</v>
      </c>
      <c r="O234" s="27">
        <f>IF($K234="NO FIT","",$M234-$E234)</f>
        <v>2</v>
      </c>
      <c r="P234" s="27">
        <f>IF($K234="NO FIT","",$N234-$F234)</f>
        <v>24</v>
      </c>
      <c r="Q234" s="28" t="str">
        <f>IF($K234="NO FIT","REVIEW - NO PAPER FIT",IF(OR($O234&lt;0,$P234&lt;0),"ERROR - FIT",IF(COUNTIF('02-Printing Size'!$A$2:$A$2169,$K234)=0,"ERROR - CODE MISSING","VALID - LOWEST PAPER")))</f>
        <v>VALID - LOWEST PAPER</v>
      </c>
      <c r="R234" s="34" t="s">
        <v>2846</v>
      </c>
      <c r="S234" t="str">
        <f>IF(AND('07-Paper Priority'!$A$5&gt;=MATCH($J234,'07-Paper Priority'!$B$5:$B$26,0),OR(AND($E234&lt;='07-Paper Priority'!$C$5,$F234&lt;='07-Paper Priority'!$D$5),AND($E234&lt;='07-Paper Priority'!$D$5,$F234&lt;='07-Paper Priority'!$C$5))),'07-Paper Priority'!$A$5,"")</f>
        <v/>
      </c>
      <c r="T234" t="str">
        <f>IF(AND('07-Paper Priority'!$A$6&gt;=MATCH($J234,'07-Paper Priority'!$B$5:$B$26,0),OR(AND($E234&lt;='07-Paper Priority'!$C$6,$F234&lt;='07-Paper Priority'!$D$6),AND($E234&lt;='07-Paper Priority'!$D$6,$F234&lt;='07-Paper Priority'!$C$6))),'07-Paper Priority'!$A$6,"")</f>
        <v/>
      </c>
      <c r="U234" t="str">
        <f>IF(AND('07-Paper Priority'!$A$7&gt;=MATCH($J234,'07-Paper Priority'!$B$5:$B$26,0),OR(AND($E234&lt;='07-Paper Priority'!$C$7,$F234&lt;='07-Paper Priority'!$D$7),AND($E234&lt;='07-Paper Priority'!$D$7,$F234&lt;='07-Paper Priority'!$C$7))),'07-Paper Priority'!$A$7,"")</f>
        <v/>
      </c>
      <c r="V234" t="str">
        <f>IF(AND('07-Paper Priority'!$A$8&gt;=MATCH($J234,'07-Paper Priority'!$B$5:$B$26,0),OR(AND($E234&lt;='07-Paper Priority'!$C$8,$F234&lt;='07-Paper Priority'!$D$8),AND($E234&lt;='07-Paper Priority'!$D$8,$F234&lt;='07-Paper Priority'!$C$8))),'07-Paper Priority'!$A$8,"")</f>
        <v/>
      </c>
      <c r="W234">
        <f>IF(AND('07-Paper Priority'!$A$9&gt;=MATCH($J234,'07-Paper Priority'!$B$5:$B$26,0),OR(AND($E234&lt;='07-Paper Priority'!$C$9,$F234&lt;='07-Paper Priority'!$D$9),AND($E234&lt;='07-Paper Priority'!$D$9,$F234&lt;='07-Paper Priority'!$C$9))),'07-Paper Priority'!$A$9,"")</f>
        <v>5</v>
      </c>
      <c r="X234">
        <f>IF(AND('07-Paper Priority'!$A$10&gt;=MATCH($J234,'07-Paper Priority'!$B$5:$B$26,0),OR(AND($E234&lt;='07-Paper Priority'!$C$10,$F234&lt;='07-Paper Priority'!$D$10),AND($E234&lt;='07-Paper Priority'!$D$10,$F234&lt;='07-Paper Priority'!$C$10))),'07-Paper Priority'!$A$10,"")</f>
        <v>6</v>
      </c>
      <c r="Y234">
        <f>IF(AND('07-Paper Priority'!$A$11&gt;=MATCH($J234,'07-Paper Priority'!$B$5:$B$26,0),OR(AND($E234&lt;='07-Paper Priority'!$C$11,$F234&lt;='07-Paper Priority'!$D$11),AND($E234&lt;='07-Paper Priority'!$D$11,$F234&lt;='07-Paper Priority'!$C$11))),'07-Paper Priority'!$A$11,"")</f>
        <v>7</v>
      </c>
      <c r="Z234">
        <f>IF(AND('07-Paper Priority'!$A$12&gt;=MATCH($J234,'07-Paper Priority'!$B$5:$B$26,0),OR(AND($E234&lt;='07-Paper Priority'!$C$12,$F234&lt;='07-Paper Priority'!$D$12),AND($E234&lt;='07-Paper Priority'!$D$12,$F234&lt;='07-Paper Priority'!$C$12))),'07-Paper Priority'!$A$12,"")</f>
        <v>8</v>
      </c>
      <c r="AA234">
        <f>IF(AND('07-Paper Priority'!$A$13&gt;=MATCH($J234,'07-Paper Priority'!$B$5:$B$26,0),OR(AND($E234&lt;='07-Paper Priority'!$C$13,$F234&lt;='07-Paper Priority'!$D$13),AND($E234&lt;='07-Paper Priority'!$D$13,$F234&lt;='07-Paper Priority'!$C$13))),'07-Paper Priority'!$A$13,"")</f>
        <v>9</v>
      </c>
      <c r="AB234">
        <f>IF(AND('07-Paper Priority'!$A$14&gt;=MATCH($J234,'07-Paper Priority'!$B$5:$B$26,0),OR(AND($E234&lt;='07-Paper Priority'!$C$14,$F234&lt;='07-Paper Priority'!$D$14),AND($E234&lt;='07-Paper Priority'!$D$14,$F234&lt;='07-Paper Priority'!$C$14))),'07-Paper Priority'!$A$14,"")</f>
        <v>10</v>
      </c>
      <c r="AC234">
        <f>IF(AND('07-Paper Priority'!$A$15&gt;=MATCH($J234,'07-Paper Priority'!$B$5:$B$26,0),OR(AND($E234&lt;='07-Paper Priority'!$C$15,$F234&lt;='07-Paper Priority'!$D$15),AND($E234&lt;='07-Paper Priority'!$D$15,$F234&lt;='07-Paper Priority'!$C$15))),'07-Paper Priority'!$A$15,"")</f>
        <v>11</v>
      </c>
      <c r="AD234">
        <f>IF(AND('07-Paper Priority'!$A$16&gt;=MATCH($J234,'07-Paper Priority'!$B$5:$B$26,0),OR(AND($E234&lt;='07-Paper Priority'!$C$16,$F234&lt;='07-Paper Priority'!$D$16),AND($E234&lt;='07-Paper Priority'!$D$16,$F234&lt;='07-Paper Priority'!$C$16))),'07-Paper Priority'!$A$16,"")</f>
        <v>12</v>
      </c>
      <c r="AE234">
        <f>IF(AND('07-Paper Priority'!$A$17&gt;=MATCH($J234,'07-Paper Priority'!$B$5:$B$26,0),OR(AND($E234&lt;='07-Paper Priority'!$C$17,$F234&lt;='07-Paper Priority'!$D$17),AND($E234&lt;='07-Paper Priority'!$D$17,$F234&lt;='07-Paper Priority'!$C$17))),'07-Paper Priority'!$A$17,"")</f>
        <v>13</v>
      </c>
      <c r="AF234">
        <f>IF(AND('07-Paper Priority'!$A$18&gt;=MATCH($J234,'07-Paper Priority'!$B$5:$B$26,0),OR(AND($E234&lt;='07-Paper Priority'!$C$18,$F234&lt;='07-Paper Priority'!$D$18),AND($E234&lt;='07-Paper Priority'!$D$18,$F234&lt;='07-Paper Priority'!$C$18))),'07-Paper Priority'!$A$18,"")</f>
        <v>14</v>
      </c>
      <c r="AG234">
        <f>IF(AND('07-Paper Priority'!$A$19&gt;=MATCH($J234,'07-Paper Priority'!$B$5:$B$26,0),OR(AND($E234&lt;='07-Paper Priority'!$C$19,$F234&lt;='07-Paper Priority'!$D$19),AND($E234&lt;='07-Paper Priority'!$D$19,$F234&lt;='07-Paper Priority'!$C$19))),'07-Paper Priority'!$A$19,"")</f>
        <v>15</v>
      </c>
      <c r="AH234">
        <f>IF(AND('07-Paper Priority'!$A$20&gt;=MATCH($J234,'07-Paper Priority'!$B$5:$B$26,0),OR(AND($E234&lt;='07-Paper Priority'!$C$20,$F234&lt;='07-Paper Priority'!$D$20),AND($E234&lt;='07-Paper Priority'!$D$20,$F234&lt;='07-Paper Priority'!$C$20))),'07-Paper Priority'!$A$20,"")</f>
        <v>16</v>
      </c>
      <c r="AI234">
        <f>IF(AND('07-Paper Priority'!$A$21&gt;=MATCH($J234,'07-Paper Priority'!$B$5:$B$26,0),OR(AND($E234&lt;='07-Paper Priority'!$C$21,$F234&lt;='07-Paper Priority'!$D$21),AND($E234&lt;='07-Paper Priority'!$D$21,$F234&lt;='07-Paper Priority'!$C$21))),'07-Paper Priority'!$A$21,"")</f>
        <v>17</v>
      </c>
      <c r="AJ234">
        <f>IF(AND('07-Paper Priority'!$A$22&gt;=MATCH($J234,'07-Paper Priority'!$B$5:$B$26,0),OR(AND($E234&lt;='07-Paper Priority'!$C$22,$F234&lt;='07-Paper Priority'!$D$22),AND($E234&lt;='07-Paper Priority'!$D$22,$F234&lt;='07-Paper Priority'!$C$22))),'07-Paper Priority'!$A$22,"")</f>
        <v>18</v>
      </c>
      <c r="AK234">
        <f>IF(AND('07-Paper Priority'!$A$23&gt;=MATCH($J234,'07-Paper Priority'!$B$5:$B$26,0),OR(AND($E234&lt;='07-Paper Priority'!$C$23,$F234&lt;='07-Paper Priority'!$D$23),AND($E234&lt;='07-Paper Priority'!$D$23,$F234&lt;='07-Paper Priority'!$C$23))),'07-Paper Priority'!$A$23,"")</f>
        <v>19</v>
      </c>
      <c r="AL234">
        <f>IF(AND('07-Paper Priority'!$A$24&gt;=MATCH($J234,'07-Paper Priority'!$B$5:$B$26,0),OR(AND($E234&lt;='07-Paper Priority'!$C$24,$F234&lt;='07-Paper Priority'!$D$24),AND($E234&lt;='07-Paper Priority'!$D$24,$F234&lt;='07-Paper Priority'!$C$24))),'07-Paper Priority'!$A$24,"")</f>
        <v>20</v>
      </c>
      <c r="AM234">
        <f>IF(AND('07-Paper Priority'!$A$25&gt;=MATCH($J234,'07-Paper Priority'!$B$5:$B$26,0),OR(AND($E234&lt;='07-Paper Priority'!$C$25,$F234&lt;='07-Paper Priority'!$D$25),AND($E234&lt;='07-Paper Priority'!$D$25,$F234&lt;='07-Paper Priority'!$C$25))),'07-Paper Priority'!$A$25,"")</f>
        <v>21</v>
      </c>
      <c r="AN234">
        <f>IF(AND('07-Paper Priority'!$A$26&gt;=MATCH($J234,'07-Paper Priority'!$B$5:$B$26,0),OR(AND($E234&lt;='07-Paper Priority'!$C$26,$F234&lt;='07-Paper Priority'!$D$26),AND($E234&lt;='07-Paper Priority'!$D$26,$F234&lt;='07-Paper Priority'!$C$26))),'07-Paper Priority'!$A$26,"")</f>
        <v>22</v>
      </c>
    </row>
    <row r="235" spans="1:40" ht="33.950000000000003" customHeight="1">
      <c r="A235" s="34" t="s">
        <v>2847</v>
      </c>
      <c r="B235" s="34" t="s">
        <v>2811</v>
      </c>
      <c r="C235" s="34" t="s">
        <v>2812</v>
      </c>
      <c r="D235" s="34" t="s">
        <v>2694</v>
      </c>
      <c r="E235" s="23">
        <v>50</v>
      </c>
      <c r="F235" s="23">
        <v>50</v>
      </c>
      <c r="G235" s="34" t="s">
        <v>2592</v>
      </c>
      <c r="H235" s="34" t="s">
        <v>2848</v>
      </c>
      <c r="I235" s="24" t="s">
        <v>2816</v>
      </c>
      <c r="J235" s="25" t="s">
        <v>800</v>
      </c>
      <c r="K235" s="26" t="str">
        <f>IF(COUNT(S235:AN235)=0,"NO FIT",INDEX('07-Paper Priority'!$B$5:$B$26,MIN(S235:AN235)))</f>
        <v>A8</v>
      </c>
      <c r="L235" s="26" t="str">
        <f>IF($K235="NO FIT","",IF(AND($E235&lt;=INDEX('07-Paper Priority'!$C$5:$C$26,MATCH($K235,'07-Paper Priority'!$B$5:$B$26,0)),$F235&lt;=INDEX('07-Paper Priority'!$D$5:$D$26,MATCH($K235,'07-Paper Priority'!$B$5:$B$26,0))),"PORTRAIT","ROTATED"))</f>
        <v>PORTRAIT</v>
      </c>
      <c r="M235" s="27">
        <f>IF($K235="NO FIT","",IF($L235="PORTRAIT",INDEX('07-Paper Priority'!$C$5:$C$26,MATCH($K235,'07-Paper Priority'!$B$5:$B$26,0)),INDEX('07-Paper Priority'!$D$5:$D$26,MATCH($K235,'07-Paper Priority'!$B$5:$B$26,0))))</f>
        <v>52</v>
      </c>
      <c r="N235" s="27">
        <f>IF($K235="NO FIT","",IF($L235="PORTRAIT",INDEX('07-Paper Priority'!$D$5:$D$26,MATCH($K235,'07-Paper Priority'!$B$5:$B$26,0)),INDEX('07-Paper Priority'!$C$5:$C$26,MATCH($K235,'07-Paper Priority'!$B$5:$B$26,0))))</f>
        <v>74</v>
      </c>
      <c r="O235" s="27">
        <f>IF($K235="NO FIT","",$M235-$E235)</f>
        <v>2</v>
      </c>
      <c r="P235" s="27">
        <f>IF($K235="NO FIT","",$N235-$F235)</f>
        <v>24</v>
      </c>
      <c r="Q235" s="28" t="str">
        <f>IF($K235="NO FIT","REVIEW - NO PAPER FIT",IF(OR($O235&lt;0,$P235&lt;0),"ERROR - FIT",IF(COUNTIF('02-Printing Size'!$A$2:$A$2169,$K235)=0,"ERROR - CODE MISSING","VALID - LOWEST PAPER")))</f>
        <v>VALID - LOWEST PAPER</v>
      </c>
      <c r="R235" s="34" t="s">
        <v>2755</v>
      </c>
      <c r="S235" t="str">
        <f>IF(AND('07-Paper Priority'!$A$5&gt;=MATCH($J235,'07-Paper Priority'!$B$5:$B$26,0),OR(AND($E235&lt;='07-Paper Priority'!$C$5,$F235&lt;='07-Paper Priority'!$D$5),AND($E235&lt;='07-Paper Priority'!$D$5,$F235&lt;='07-Paper Priority'!$C$5))),'07-Paper Priority'!$A$5,"")</f>
        <v/>
      </c>
      <c r="T235" t="str">
        <f>IF(AND('07-Paper Priority'!$A$6&gt;=MATCH($J235,'07-Paper Priority'!$B$5:$B$26,0),OR(AND($E235&lt;='07-Paper Priority'!$C$6,$F235&lt;='07-Paper Priority'!$D$6),AND($E235&lt;='07-Paper Priority'!$D$6,$F235&lt;='07-Paper Priority'!$C$6))),'07-Paper Priority'!$A$6,"")</f>
        <v/>
      </c>
      <c r="U235" t="str">
        <f>IF(AND('07-Paper Priority'!$A$7&gt;=MATCH($J235,'07-Paper Priority'!$B$5:$B$26,0),OR(AND($E235&lt;='07-Paper Priority'!$C$7,$F235&lt;='07-Paper Priority'!$D$7),AND($E235&lt;='07-Paper Priority'!$D$7,$F235&lt;='07-Paper Priority'!$C$7))),'07-Paper Priority'!$A$7,"")</f>
        <v/>
      </c>
      <c r="V235" t="str">
        <f>IF(AND('07-Paper Priority'!$A$8&gt;=MATCH($J235,'07-Paper Priority'!$B$5:$B$26,0),OR(AND($E235&lt;='07-Paper Priority'!$C$8,$F235&lt;='07-Paper Priority'!$D$8),AND($E235&lt;='07-Paper Priority'!$D$8,$F235&lt;='07-Paper Priority'!$C$8))),'07-Paper Priority'!$A$8,"")</f>
        <v/>
      </c>
      <c r="W235">
        <f>IF(AND('07-Paper Priority'!$A$9&gt;=MATCH($J235,'07-Paper Priority'!$B$5:$B$26,0),OR(AND($E235&lt;='07-Paper Priority'!$C$9,$F235&lt;='07-Paper Priority'!$D$9),AND($E235&lt;='07-Paper Priority'!$D$9,$F235&lt;='07-Paper Priority'!$C$9))),'07-Paper Priority'!$A$9,"")</f>
        <v>5</v>
      </c>
      <c r="X235">
        <f>IF(AND('07-Paper Priority'!$A$10&gt;=MATCH($J235,'07-Paper Priority'!$B$5:$B$26,0),OR(AND($E235&lt;='07-Paper Priority'!$C$10,$F235&lt;='07-Paper Priority'!$D$10),AND($E235&lt;='07-Paper Priority'!$D$10,$F235&lt;='07-Paper Priority'!$C$10))),'07-Paper Priority'!$A$10,"")</f>
        <v>6</v>
      </c>
      <c r="Y235">
        <f>IF(AND('07-Paper Priority'!$A$11&gt;=MATCH($J235,'07-Paper Priority'!$B$5:$B$26,0),OR(AND($E235&lt;='07-Paper Priority'!$C$11,$F235&lt;='07-Paper Priority'!$D$11),AND($E235&lt;='07-Paper Priority'!$D$11,$F235&lt;='07-Paper Priority'!$C$11))),'07-Paper Priority'!$A$11,"")</f>
        <v>7</v>
      </c>
      <c r="Z235">
        <f>IF(AND('07-Paper Priority'!$A$12&gt;=MATCH($J235,'07-Paper Priority'!$B$5:$B$26,0),OR(AND($E235&lt;='07-Paper Priority'!$C$12,$F235&lt;='07-Paper Priority'!$D$12),AND($E235&lt;='07-Paper Priority'!$D$12,$F235&lt;='07-Paper Priority'!$C$12))),'07-Paper Priority'!$A$12,"")</f>
        <v>8</v>
      </c>
      <c r="AA235">
        <f>IF(AND('07-Paper Priority'!$A$13&gt;=MATCH($J235,'07-Paper Priority'!$B$5:$B$26,0),OR(AND($E235&lt;='07-Paper Priority'!$C$13,$F235&lt;='07-Paper Priority'!$D$13),AND($E235&lt;='07-Paper Priority'!$D$13,$F235&lt;='07-Paper Priority'!$C$13))),'07-Paper Priority'!$A$13,"")</f>
        <v>9</v>
      </c>
      <c r="AB235">
        <f>IF(AND('07-Paper Priority'!$A$14&gt;=MATCH($J235,'07-Paper Priority'!$B$5:$B$26,0),OR(AND($E235&lt;='07-Paper Priority'!$C$14,$F235&lt;='07-Paper Priority'!$D$14),AND($E235&lt;='07-Paper Priority'!$D$14,$F235&lt;='07-Paper Priority'!$C$14))),'07-Paper Priority'!$A$14,"")</f>
        <v>10</v>
      </c>
      <c r="AC235">
        <f>IF(AND('07-Paper Priority'!$A$15&gt;=MATCH($J235,'07-Paper Priority'!$B$5:$B$26,0),OR(AND($E235&lt;='07-Paper Priority'!$C$15,$F235&lt;='07-Paper Priority'!$D$15),AND($E235&lt;='07-Paper Priority'!$D$15,$F235&lt;='07-Paper Priority'!$C$15))),'07-Paper Priority'!$A$15,"")</f>
        <v>11</v>
      </c>
      <c r="AD235">
        <f>IF(AND('07-Paper Priority'!$A$16&gt;=MATCH($J235,'07-Paper Priority'!$B$5:$B$26,0),OR(AND($E235&lt;='07-Paper Priority'!$C$16,$F235&lt;='07-Paper Priority'!$D$16),AND($E235&lt;='07-Paper Priority'!$D$16,$F235&lt;='07-Paper Priority'!$C$16))),'07-Paper Priority'!$A$16,"")</f>
        <v>12</v>
      </c>
      <c r="AE235">
        <f>IF(AND('07-Paper Priority'!$A$17&gt;=MATCH($J235,'07-Paper Priority'!$B$5:$B$26,0),OR(AND($E235&lt;='07-Paper Priority'!$C$17,$F235&lt;='07-Paper Priority'!$D$17),AND($E235&lt;='07-Paper Priority'!$D$17,$F235&lt;='07-Paper Priority'!$C$17))),'07-Paper Priority'!$A$17,"")</f>
        <v>13</v>
      </c>
      <c r="AF235">
        <f>IF(AND('07-Paper Priority'!$A$18&gt;=MATCH($J235,'07-Paper Priority'!$B$5:$B$26,0),OR(AND($E235&lt;='07-Paper Priority'!$C$18,$F235&lt;='07-Paper Priority'!$D$18),AND($E235&lt;='07-Paper Priority'!$D$18,$F235&lt;='07-Paper Priority'!$C$18))),'07-Paper Priority'!$A$18,"")</f>
        <v>14</v>
      </c>
      <c r="AG235">
        <f>IF(AND('07-Paper Priority'!$A$19&gt;=MATCH($J235,'07-Paper Priority'!$B$5:$B$26,0),OR(AND($E235&lt;='07-Paper Priority'!$C$19,$F235&lt;='07-Paper Priority'!$D$19),AND($E235&lt;='07-Paper Priority'!$D$19,$F235&lt;='07-Paper Priority'!$C$19))),'07-Paper Priority'!$A$19,"")</f>
        <v>15</v>
      </c>
      <c r="AH235">
        <f>IF(AND('07-Paper Priority'!$A$20&gt;=MATCH($J235,'07-Paper Priority'!$B$5:$B$26,0),OR(AND($E235&lt;='07-Paper Priority'!$C$20,$F235&lt;='07-Paper Priority'!$D$20),AND($E235&lt;='07-Paper Priority'!$D$20,$F235&lt;='07-Paper Priority'!$C$20))),'07-Paper Priority'!$A$20,"")</f>
        <v>16</v>
      </c>
      <c r="AI235">
        <f>IF(AND('07-Paper Priority'!$A$21&gt;=MATCH($J235,'07-Paper Priority'!$B$5:$B$26,0),OR(AND($E235&lt;='07-Paper Priority'!$C$21,$F235&lt;='07-Paper Priority'!$D$21),AND($E235&lt;='07-Paper Priority'!$D$21,$F235&lt;='07-Paper Priority'!$C$21))),'07-Paper Priority'!$A$21,"")</f>
        <v>17</v>
      </c>
      <c r="AJ235">
        <f>IF(AND('07-Paper Priority'!$A$22&gt;=MATCH($J235,'07-Paper Priority'!$B$5:$B$26,0),OR(AND($E235&lt;='07-Paper Priority'!$C$22,$F235&lt;='07-Paper Priority'!$D$22),AND($E235&lt;='07-Paper Priority'!$D$22,$F235&lt;='07-Paper Priority'!$C$22))),'07-Paper Priority'!$A$22,"")</f>
        <v>18</v>
      </c>
      <c r="AK235">
        <f>IF(AND('07-Paper Priority'!$A$23&gt;=MATCH($J235,'07-Paper Priority'!$B$5:$B$26,0),OR(AND($E235&lt;='07-Paper Priority'!$C$23,$F235&lt;='07-Paper Priority'!$D$23),AND($E235&lt;='07-Paper Priority'!$D$23,$F235&lt;='07-Paper Priority'!$C$23))),'07-Paper Priority'!$A$23,"")</f>
        <v>19</v>
      </c>
      <c r="AL235">
        <f>IF(AND('07-Paper Priority'!$A$24&gt;=MATCH($J235,'07-Paper Priority'!$B$5:$B$26,0),OR(AND($E235&lt;='07-Paper Priority'!$C$24,$F235&lt;='07-Paper Priority'!$D$24),AND($E235&lt;='07-Paper Priority'!$D$24,$F235&lt;='07-Paper Priority'!$C$24))),'07-Paper Priority'!$A$24,"")</f>
        <v>20</v>
      </c>
      <c r="AM235">
        <f>IF(AND('07-Paper Priority'!$A$25&gt;=MATCH($J235,'07-Paper Priority'!$B$5:$B$26,0),OR(AND($E235&lt;='07-Paper Priority'!$C$25,$F235&lt;='07-Paper Priority'!$D$25),AND($E235&lt;='07-Paper Priority'!$D$25,$F235&lt;='07-Paper Priority'!$C$25))),'07-Paper Priority'!$A$25,"")</f>
        <v>21</v>
      </c>
      <c r="AN235">
        <f>IF(AND('07-Paper Priority'!$A$26&gt;=MATCH($J235,'07-Paper Priority'!$B$5:$B$26,0),OR(AND($E235&lt;='07-Paper Priority'!$C$26,$F235&lt;='07-Paper Priority'!$D$26),AND($E235&lt;='07-Paper Priority'!$D$26,$F235&lt;='07-Paper Priority'!$C$26))),'07-Paper Priority'!$A$26,"")</f>
        <v>22</v>
      </c>
    </row>
    <row r="237" spans="1:40">
      <c r="A237" s="75" t="s">
        <v>2849</v>
      </c>
      <c r="B237" s="80"/>
      <c r="C237" s="80"/>
      <c r="D237" s="80"/>
      <c r="E237" s="80"/>
      <c r="F237" s="80"/>
      <c r="G237" s="80"/>
      <c r="H237" s="80"/>
      <c r="I237" s="80"/>
      <c r="J237" s="80"/>
      <c r="K237" s="80"/>
      <c r="L237" s="80"/>
      <c r="M237" s="80"/>
      <c r="N237" s="80"/>
      <c r="O237" s="80"/>
      <c r="P237" s="80"/>
      <c r="Q237" s="80"/>
      <c r="R237" s="80"/>
    </row>
    <row r="238" spans="1:40" ht="27.95" customHeight="1">
      <c r="A238" s="60" t="s">
        <v>2850</v>
      </c>
      <c r="B238" s="35">
        <f>COUNTA(A155:A235)</f>
        <v>81</v>
      </c>
      <c r="C238" s="60" t="s">
        <v>2851</v>
      </c>
      <c r="D238" s="35">
        <f>COUNTIF(Q155:Q235,"VALID - LOWEST PAPER")</f>
        <v>81</v>
      </c>
      <c r="E238" s="60" t="s">
        <v>2852</v>
      </c>
      <c r="F238" s="35">
        <f>COUNTIF(Q155:Q235,"REVIEW - NO PAPER FIT")+COUNTIF(Q155:Q235,"ERROR - FIT")+COUNTIF(Q155:Q235,"ERROR - CODE MISSING")</f>
        <v>0</v>
      </c>
      <c r="G238" s="60" t="s">
        <v>2548</v>
      </c>
      <c r="H238" s="35">
        <f>COUNTIF(B155:B235,"T-shirt")</f>
        <v>35</v>
      </c>
      <c r="I238" s="60" t="s">
        <v>2732</v>
      </c>
      <c r="J238" s="35">
        <f>COUNTIF(B155:B235,"Hoodie")+COUNTIF(B155:B235,"Hoodie / pullover")+COUNTIF(B155:B235,"Hoodie / zip")</f>
        <v>20</v>
      </c>
      <c r="K238" s="60" t="s">
        <v>2853</v>
      </c>
      <c r="L238" s="35">
        <f>COUNTIF(B155:B235,"Sweatshirt / crewneck")</f>
        <v>15</v>
      </c>
      <c r="M238" s="60" t="s">
        <v>2854</v>
      </c>
      <c r="N238" s="35">
        <f>COUNTIF(B155:B235,"Baby bodysuit")</f>
        <v>11</v>
      </c>
    </row>
  </sheetData>
  <mergeCells count="7">
    <mergeCell ref="A1:R1"/>
    <mergeCell ref="A237:R237"/>
    <mergeCell ref="A3:R3"/>
    <mergeCell ref="A153:R153"/>
    <mergeCell ref="A2:R2"/>
    <mergeCell ref="A152:R152"/>
    <mergeCell ref="A151:R151"/>
  </mergeCells>
  <conditionalFormatting sqref="J5:J148">
    <cfRule type="expression" dxfId="13" priority="1">
      <formula>ISNUMBER(SEARCH("ERROR",J5))</formula>
    </cfRule>
    <cfRule type="expression" dxfId="12" priority="2">
      <formula>ISNUMBER(SEARCH("NOMINAL EDGE",J5))</formula>
    </cfRule>
    <cfRule type="expression" dxfId="11" priority="3">
      <formula>LEFT(J5,5)="VALID"</formula>
    </cfRule>
    <cfRule type="expression" dxfId="10" priority="4">
      <formula>LEFT(J5,7)="CUSTOM "</formula>
    </cfRule>
    <cfRule type="expression" dxfId="9" priority="5">
      <formula>LEFT(J5,7)="SKIPPED"</formula>
    </cfRule>
  </conditionalFormatting>
  <conditionalFormatting sqref="E5:F148">
    <cfRule type="cellIs" dxfId="8" priority="6" operator="lessThanOrEqual">
      <formula>0</formula>
    </cfRule>
  </conditionalFormatting>
  <conditionalFormatting sqref="Q155:Q235">
    <cfRule type="expression" dxfId="7" priority="7">
      <formula>LEFT($Q155,5)="VALID"</formula>
    </cfRule>
    <cfRule type="expression" dxfId="6" priority="8">
      <formula>LEFT($Q155,6)="REVIEW"</formula>
    </cfRule>
    <cfRule type="expression" dxfId="5" priority="9">
      <formula>LEFT($Q155,5)="ERROR"</formula>
    </cfRule>
  </conditionalFormatting>
  <dataValidations count="3">
    <dataValidation type="whole" operator="greaterThan" allowBlank="1" showInputMessage="1" showErrorMessage="1" errorTitle="Whole millimetres required" error="Enter a positive whole-millimetre value." promptTitle="Whole millimetres" prompt="Enter a positive size in whole millimetres." sqref="E41:F76 E77:F112 E113:F148" xr:uid="{00000000-0002-0000-0300-000000000000}">
      <formula1>0</formula1>
    </dataValidation>
    <dataValidation type="whole" operator="greaterThanOrEqual" errorTitle="Whole millimetres only" error="Enter a positive whole-millimetre value." promptTitle="Artwork target" prompt="Enter a positive whole-millimetre target." sqref="E155:F235" xr:uid="{00000000-0002-0000-0300-000001000000}">
      <formula1>1</formula1>
    </dataValidation>
    <dataValidation type="list" errorTitle="Invalid paper code" error="Select a paper code from the priority list." promptTitle="Minimum start paper" prompt="This is the first paper code that the fit search is allowed to consider." sqref="J155:J235" xr:uid="{00000000-0002-0000-0300-000002000000}">
      <formula1>POD_Paper_Codes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I26"/>
  <sheetViews>
    <sheetView showGridLines="0" workbookViewId="0"/>
  </sheetViews>
  <sheetFormatPr defaultRowHeight="15"/>
  <cols>
    <col min="1" max="1" width="13" customWidth="1"/>
    <col min="2" max="2" width="14" customWidth="1"/>
    <col min="3" max="4" width="13" customWidth="1"/>
    <col min="5" max="5" width="15" customWidth="1"/>
    <col min="6" max="6" width="24" customWidth="1"/>
    <col min="7" max="7" width="18" customWidth="1"/>
    <col min="8" max="8" width="24" customWidth="1"/>
    <col min="9" max="9" width="48" customWidth="1"/>
  </cols>
  <sheetData>
    <row r="1" spans="1:9" ht="26.1" customHeight="1">
      <c r="A1" s="71" t="s">
        <v>2855</v>
      </c>
      <c r="B1" s="80"/>
      <c r="C1" s="80"/>
      <c r="D1" s="80"/>
      <c r="E1" s="80"/>
      <c r="F1" s="80"/>
      <c r="G1" s="80"/>
      <c r="H1" s="80"/>
      <c r="I1" s="80"/>
    </row>
    <row r="2" spans="1:9" ht="42" customHeight="1">
      <c r="A2" s="77" t="s">
        <v>2856</v>
      </c>
      <c r="B2" s="80"/>
      <c r="C2" s="80"/>
      <c r="D2" s="80"/>
      <c r="E2" s="80"/>
      <c r="F2" s="80"/>
      <c r="G2" s="80"/>
      <c r="H2" s="80"/>
      <c r="I2" s="80"/>
    </row>
    <row r="3" spans="1:9" ht="36" customHeight="1">
      <c r="A3" s="76" t="s">
        <v>2857</v>
      </c>
      <c r="B3" s="80"/>
      <c r="C3" s="80"/>
      <c r="D3" s="80"/>
      <c r="E3" s="80"/>
      <c r="F3" s="80"/>
      <c r="G3" s="80"/>
      <c r="H3" s="80"/>
      <c r="I3" s="80"/>
    </row>
    <row r="4" spans="1:9" ht="32.1" customHeight="1">
      <c r="A4" s="13" t="s">
        <v>2858</v>
      </c>
      <c r="B4" s="13" t="s">
        <v>2859</v>
      </c>
      <c r="C4" s="13" t="s">
        <v>101</v>
      </c>
      <c r="D4" s="13" t="s">
        <v>102</v>
      </c>
      <c r="E4" s="13" t="s">
        <v>2860</v>
      </c>
      <c r="F4" s="13" t="s">
        <v>2861</v>
      </c>
      <c r="G4" s="13" t="s">
        <v>2862</v>
      </c>
      <c r="H4" s="13" t="s">
        <v>2863</v>
      </c>
      <c r="I4" s="13" t="s">
        <v>2505</v>
      </c>
    </row>
    <row r="5" spans="1:9">
      <c r="A5" s="36">
        <v>1</v>
      </c>
      <c r="B5" s="65" t="s">
        <v>948</v>
      </c>
      <c r="C5" s="37">
        <f>INDEX('05-ISO Reference'!$B$5:$B$28,MATCH(B5,'05-ISO Reference'!$A$5:$A$28,0))</f>
        <v>26</v>
      </c>
      <c r="D5" s="37">
        <f>INDEX('05-ISO Reference'!$C$5:$C$28,MATCH(B5,'05-ISO Reference'!$A$5:$A$28,0))</f>
        <v>37</v>
      </c>
      <c r="E5" s="37">
        <f>C5*D5</f>
        <v>962</v>
      </c>
      <c r="F5" s="28" t="str">
        <f>INDEX('05-ISO Reference'!$D$5:$D$28,MATCH(B5,'05-ISO Reference'!$A$5:$A$28,0))</f>
        <v>ISO reference</v>
      </c>
      <c r="G5" s="38" t="s">
        <v>2424</v>
      </c>
      <c r="H5" s="37">
        <f>COUNTIF('03-POD Product Guide'!$K$155:$K$235,B5)</f>
        <v>0</v>
      </c>
      <c r="I5" s="24" t="str">
        <f>INDEX('05-ISO Reference'!$G$5:$G$28,MATCH(B5,'05-ISO Reference'!$A$5:$A$28,0))</f>
        <v>https://www.iso.org/standard/36631.html</v>
      </c>
    </row>
    <row r="6" spans="1:9">
      <c r="A6" s="36">
        <v>2</v>
      </c>
      <c r="B6" s="65" t="s">
        <v>2424</v>
      </c>
      <c r="C6" s="37">
        <f>INDEX('05-ISO Reference'!$B$5:$B$28,MATCH(B6,'05-ISO Reference'!$A$5:$A$28,0))</f>
        <v>31</v>
      </c>
      <c r="D6" s="37">
        <f>INDEX('05-ISO Reference'!$C$5:$C$28,MATCH(B6,'05-ISO Reference'!$A$5:$A$28,0))</f>
        <v>44</v>
      </c>
      <c r="E6" s="37">
        <f>C6*D6</f>
        <v>1364</v>
      </c>
      <c r="F6" s="28" t="str">
        <f>INDEX('05-ISO Reference'!$D$5:$D$28,MATCH(B6,'05-ISO Reference'!$A$5:$A$28,0))</f>
        <v>ISO reference</v>
      </c>
      <c r="G6" s="38" t="s">
        <v>874</v>
      </c>
      <c r="H6" s="37">
        <f>COUNTIF('03-POD Product Guide'!$K$155:$K$235,B6)</f>
        <v>0</v>
      </c>
      <c r="I6" s="24" t="str">
        <f>INDEX('05-ISO Reference'!$G$5:$G$28,MATCH(B6,'05-ISO Reference'!$A$5:$A$28,0))</f>
        <v>https://www.iso.org/standard/36631.html</v>
      </c>
    </row>
    <row r="7" spans="1:9">
      <c r="A7" s="36">
        <v>3</v>
      </c>
      <c r="B7" s="65" t="s">
        <v>874</v>
      </c>
      <c r="C7" s="37">
        <f>INDEX('05-ISO Reference'!$B$5:$B$28,MATCH(B7,'05-ISO Reference'!$A$5:$A$28,0))</f>
        <v>37</v>
      </c>
      <c r="D7" s="37">
        <f>INDEX('05-ISO Reference'!$C$5:$C$28,MATCH(B7,'05-ISO Reference'!$A$5:$A$28,0))</f>
        <v>52</v>
      </c>
      <c r="E7" s="37">
        <f>C7*D7</f>
        <v>1924</v>
      </c>
      <c r="F7" s="28" t="str">
        <f>INDEX('05-ISO Reference'!$D$5:$D$28,MATCH(B7,'05-ISO Reference'!$A$5:$A$28,0))</f>
        <v>ISO reference</v>
      </c>
      <c r="G7" s="38" t="s">
        <v>2350</v>
      </c>
      <c r="H7" s="37">
        <f>COUNTIF('03-POD Product Guide'!$K$155:$K$235,B7)</f>
        <v>0</v>
      </c>
      <c r="I7" s="24" t="str">
        <f>INDEX('05-ISO Reference'!$G$5:$G$28,MATCH(B7,'05-ISO Reference'!$A$5:$A$28,0))</f>
        <v>https://www.iso.org/standard/36631.html</v>
      </c>
    </row>
    <row r="8" spans="1:9">
      <c r="A8" s="36">
        <v>4</v>
      </c>
      <c r="B8" s="65" t="s">
        <v>2350</v>
      </c>
      <c r="C8" s="37">
        <f>INDEX('05-ISO Reference'!$B$5:$B$28,MATCH(B8,'05-ISO Reference'!$A$5:$A$28,0))</f>
        <v>44</v>
      </c>
      <c r="D8" s="37">
        <f>INDEX('05-ISO Reference'!$C$5:$C$28,MATCH(B8,'05-ISO Reference'!$A$5:$A$28,0))</f>
        <v>62</v>
      </c>
      <c r="E8" s="37">
        <f>C8*D8</f>
        <v>2728</v>
      </c>
      <c r="F8" s="28" t="str">
        <f>INDEX('05-ISO Reference'!$D$5:$D$28,MATCH(B8,'05-ISO Reference'!$A$5:$A$28,0))</f>
        <v>ISO reference</v>
      </c>
      <c r="G8" s="38" t="s">
        <v>800</v>
      </c>
      <c r="H8" s="37">
        <f>COUNTIF('03-POD Product Guide'!$K$155:$K$235,B8)</f>
        <v>0</v>
      </c>
      <c r="I8" s="24" t="str">
        <f>INDEX('05-ISO Reference'!$G$5:$G$28,MATCH(B8,'05-ISO Reference'!$A$5:$A$28,0))</f>
        <v>https://www.iso.org/standard/36631.html</v>
      </c>
    </row>
    <row r="9" spans="1:9">
      <c r="A9" s="36">
        <v>5</v>
      </c>
      <c r="B9" s="65" t="s">
        <v>800</v>
      </c>
      <c r="C9" s="37">
        <f>INDEX('05-ISO Reference'!$B$5:$B$28,MATCH(B9,'05-ISO Reference'!$A$5:$A$28,0))</f>
        <v>52</v>
      </c>
      <c r="D9" s="37">
        <f>INDEX('05-ISO Reference'!$C$5:$C$28,MATCH(B9,'05-ISO Reference'!$A$5:$A$28,0))</f>
        <v>74</v>
      </c>
      <c r="E9" s="37">
        <f>C9*D9</f>
        <v>3848</v>
      </c>
      <c r="F9" s="28" t="str">
        <f>INDEX('05-ISO Reference'!$D$5:$D$28,MATCH(B9,'05-ISO Reference'!$A$5:$A$28,0))</f>
        <v>ISO reference</v>
      </c>
      <c r="G9" s="38" t="s">
        <v>2276</v>
      </c>
      <c r="H9" s="37">
        <f>COUNTIF('03-POD Product Guide'!$K$155:$K$235,B9)</f>
        <v>3</v>
      </c>
      <c r="I9" s="24" t="str">
        <f>INDEX('05-ISO Reference'!$G$5:$G$28,MATCH(B9,'05-ISO Reference'!$A$5:$A$28,0))</f>
        <v>https://www.iso.org/standard/36631.html</v>
      </c>
    </row>
    <row r="10" spans="1:9">
      <c r="A10" s="36">
        <v>6</v>
      </c>
      <c r="B10" s="65" t="s">
        <v>2276</v>
      </c>
      <c r="C10" s="37">
        <f>INDEX('05-ISO Reference'!$B$5:$B$28,MATCH(B10,'05-ISO Reference'!$A$5:$A$28,0))</f>
        <v>62</v>
      </c>
      <c r="D10" s="37">
        <f>INDEX('05-ISO Reference'!$C$5:$C$28,MATCH(B10,'05-ISO Reference'!$A$5:$A$28,0))</f>
        <v>88</v>
      </c>
      <c r="E10" s="37">
        <f>C10*D10</f>
        <v>5456</v>
      </c>
      <c r="F10" s="28" t="str">
        <f>INDEX('05-ISO Reference'!$D$5:$D$28,MATCH(B10,'05-ISO Reference'!$A$5:$A$28,0))</f>
        <v>ISO reference</v>
      </c>
      <c r="G10" s="38" t="s">
        <v>726</v>
      </c>
      <c r="H10" s="37">
        <f>COUNTIF('03-POD Product Guide'!$K$155:$K$235,B10)</f>
        <v>6</v>
      </c>
      <c r="I10" s="24" t="str">
        <f>INDEX('05-ISO Reference'!$G$5:$G$28,MATCH(B10,'05-ISO Reference'!$A$5:$A$28,0))</f>
        <v>https://www.iso.org/standard/36631.html</v>
      </c>
    </row>
    <row r="11" spans="1:9">
      <c r="A11" s="36">
        <v>7</v>
      </c>
      <c r="B11" s="65" t="s">
        <v>726</v>
      </c>
      <c r="C11" s="37">
        <f>INDEX('05-ISO Reference'!$B$5:$B$28,MATCH(B11,'05-ISO Reference'!$A$5:$A$28,0))</f>
        <v>74</v>
      </c>
      <c r="D11" s="37">
        <f>INDEX('05-ISO Reference'!$C$5:$C$28,MATCH(B11,'05-ISO Reference'!$A$5:$A$28,0))</f>
        <v>105</v>
      </c>
      <c r="E11" s="37">
        <f>C11*D11</f>
        <v>7770</v>
      </c>
      <c r="F11" s="28" t="str">
        <f>INDEX('05-ISO Reference'!$D$5:$D$28,MATCH(B11,'05-ISO Reference'!$A$5:$A$28,0))</f>
        <v>ISO reference</v>
      </c>
      <c r="G11" s="38" t="s">
        <v>2202</v>
      </c>
      <c r="H11" s="37">
        <f>COUNTIF('03-POD Product Guide'!$K$155:$K$235,B11)</f>
        <v>5</v>
      </c>
      <c r="I11" s="24" t="str">
        <f>INDEX('05-ISO Reference'!$G$5:$G$28,MATCH(B11,'05-ISO Reference'!$A$5:$A$28,0))</f>
        <v>https://www.iso.org/standard/36631.html</v>
      </c>
    </row>
    <row r="12" spans="1:9">
      <c r="A12" s="36">
        <v>8</v>
      </c>
      <c r="B12" s="65" t="s">
        <v>2202</v>
      </c>
      <c r="C12" s="37">
        <f>INDEX('05-ISO Reference'!$B$5:$B$28,MATCH(B12,'05-ISO Reference'!$A$5:$A$28,0))</f>
        <v>88</v>
      </c>
      <c r="D12" s="37">
        <f>INDEX('05-ISO Reference'!$C$5:$C$28,MATCH(B12,'05-ISO Reference'!$A$5:$A$28,0))</f>
        <v>125</v>
      </c>
      <c r="E12" s="37">
        <f>C12*D12</f>
        <v>11000</v>
      </c>
      <c r="F12" s="28" t="str">
        <f>INDEX('05-ISO Reference'!$D$5:$D$28,MATCH(B12,'05-ISO Reference'!$A$5:$A$28,0))</f>
        <v>ISO reference</v>
      </c>
      <c r="G12" s="38" t="s">
        <v>652</v>
      </c>
      <c r="H12" s="37">
        <f>COUNTIF('03-POD Product Guide'!$K$155:$K$235,B12)</f>
        <v>4</v>
      </c>
      <c r="I12" s="24" t="str">
        <f>INDEX('05-ISO Reference'!$G$5:$G$28,MATCH(B12,'05-ISO Reference'!$A$5:$A$28,0))</f>
        <v>https://www.iso.org/standard/36631.html</v>
      </c>
    </row>
    <row r="13" spans="1:9">
      <c r="A13" s="36">
        <v>9</v>
      </c>
      <c r="B13" s="65" t="s">
        <v>652</v>
      </c>
      <c r="C13" s="37">
        <f>INDEX('05-ISO Reference'!$B$5:$B$28,MATCH(B13,'05-ISO Reference'!$A$5:$A$28,0))</f>
        <v>105</v>
      </c>
      <c r="D13" s="37">
        <f>INDEX('05-ISO Reference'!$C$5:$C$28,MATCH(B13,'05-ISO Reference'!$A$5:$A$28,0))</f>
        <v>148</v>
      </c>
      <c r="E13" s="37">
        <f>C13*D13</f>
        <v>15540</v>
      </c>
      <c r="F13" s="28" t="str">
        <f>INDEX('05-ISO Reference'!$D$5:$D$28,MATCH(B13,'05-ISO Reference'!$A$5:$A$28,0))</f>
        <v>ISO reference</v>
      </c>
      <c r="G13" s="38" t="s">
        <v>2128</v>
      </c>
      <c r="H13" s="37">
        <f>COUNTIF('03-POD Product Guide'!$K$155:$K$235,B13)</f>
        <v>9</v>
      </c>
      <c r="I13" s="24" t="str">
        <f>INDEX('05-ISO Reference'!$G$5:$G$28,MATCH(B13,'05-ISO Reference'!$A$5:$A$28,0))</f>
        <v>https://www.iso.org/standard/36631.html</v>
      </c>
    </row>
    <row r="14" spans="1:9">
      <c r="A14" s="36">
        <v>10</v>
      </c>
      <c r="B14" s="65" t="s">
        <v>2128</v>
      </c>
      <c r="C14" s="37">
        <f>INDEX('05-ISO Reference'!$B$5:$B$28,MATCH(B14,'05-ISO Reference'!$A$5:$A$28,0))</f>
        <v>125</v>
      </c>
      <c r="D14" s="37">
        <f>INDEX('05-ISO Reference'!$C$5:$C$28,MATCH(B14,'05-ISO Reference'!$A$5:$A$28,0))</f>
        <v>176</v>
      </c>
      <c r="E14" s="37">
        <f>C14*D14</f>
        <v>22000</v>
      </c>
      <c r="F14" s="28" t="str">
        <f>INDEX('05-ISO Reference'!$D$5:$D$28,MATCH(B14,'05-ISO Reference'!$A$5:$A$28,0))</f>
        <v>ISO reference</v>
      </c>
      <c r="G14" s="38" t="s">
        <v>578</v>
      </c>
      <c r="H14" s="37">
        <f>COUNTIF('03-POD Product Guide'!$K$155:$K$235,B14)</f>
        <v>1</v>
      </c>
      <c r="I14" s="24" t="str">
        <f>INDEX('05-ISO Reference'!$G$5:$G$28,MATCH(B14,'05-ISO Reference'!$A$5:$A$28,0))</f>
        <v>https://www.iso.org/standard/36631.html</v>
      </c>
    </row>
    <row r="15" spans="1:9">
      <c r="A15" s="36">
        <v>11</v>
      </c>
      <c r="B15" s="65" t="s">
        <v>578</v>
      </c>
      <c r="C15" s="37">
        <f>INDEX('05-ISO Reference'!$B$5:$B$28,MATCH(B15,'05-ISO Reference'!$A$5:$A$28,0))</f>
        <v>148</v>
      </c>
      <c r="D15" s="37">
        <f>INDEX('05-ISO Reference'!$C$5:$C$28,MATCH(B15,'05-ISO Reference'!$A$5:$A$28,0))</f>
        <v>210</v>
      </c>
      <c r="E15" s="37">
        <f>C15*D15</f>
        <v>31080</v>
      </c>
      <c r="F15" s="28" t="str">
        <f>INDEX('05-ISO Reference'!$D$5:$D$28,MATCH(B15,'05-ISO Reference'!$A$5:$A$28,0))</f>
        <v>ISO reference</v>
      </c>
      <c r="G15" s="38" t="s">
        <v>2054</v>
      </c>
      <c r="H15" s="37">
        <f>COUNTIF('03-POD Product Guide'!$K$155:$K$235,B15)</f>
        <v>8</v>
      </c>
      <c r="I15" s="24" t="str">
        <f>INDEX('05-ISO Reference'!$G$5:$G$28,MATCH(B15,'05-ISO Reference'!$A$5:$A$28,0))</f>
        <v>https://www.iso.org/standard/36631.html</v>
      </c>
    </row>
    <row r="16" spans="1:9">
      <c r="A16" s="36">
        <v>12</v>
      </c>
      <c r="B16" s="65" t="s">
        <v>2054</v>
      </c>
      <c r="C16" s="37">
        <f>INDEX('05-ISO Reference'!$B$5:$B$28,MATCH(B16,'05-ISO Reference'!$A$5:$A$28,0))</f>
        <v>176</v>
      </c>
      <c r="D16" s="37">
        <f>INDEX('05-ISO Reference'!$C$5:$C$28,MATCH(B16,'05-ISO Reference'!$A$5:$A$28,0))</f>
        <v>250</v>
      </c>
      <c r="E16" s="37">
        <f>C16*D16</f>
        <v>44000</v>
      </c>
      <c r="F16" s="28" t="str">
        <f>INDEX('05-ISO Reference'!$D$5:$D$28,MATCH(B16,'05-ISO Reference'!$A$5:$A$28,0))</f>
        <v>ISO reference</v>
      </c>
      <c r="G16" s="38" t="s">
        <v>504</v>
      </c>
      <c r="H16" s="37">
        <f>COUNTIF('03-POD Product Guide'!$K$155:$K$235,B16)</f>
        <v>5</v>
      </c>
      <c r="I16" s="24" t="str">
        <f>INDEX('05-ISO Reference'!$G$5:$G$28,MATCH(B16,'05-ISO Reference'!$A$5:$A$28,0))</f>
        <v>https://www.iso.org/standard/36631.html</v>
      </c>
    </row>
    <row r="17" spans="1:9">
      <c r="A17" s="36">
        <v>13</v>
      </c>
      <c r="B17" s="65" t="s">
        <v>504</v>
      </c>
      <c r="C17" s="37">
        <f>INDEX('05-ISO Reference'!$B$5:$B$28,MATCH(B17,'05-ISO Reference'!$A$5:$A$28,0))</f>
        <v>210</v>
      </c>
      <c r="D17" s="37">
        <f>INDEX('05-ISO Reference'!$C$5:$C$28,MATCH(B17,'05-ISO Reference'!$A$5:$A$28,0))</f>
        <v>297</v>
      </c>
      <c r="E17" s="37">
        <f>C17*D17</f>
        <v>62370</v>
      </c>
      <c r="F17" s="28" t="str">
        <f>INDEX('05-ISO Reference'!$D$5:$D$28,MATCH(B17,'05-ISO Reference'!$A$5:$A$28,0))</f>
        <v>ISO reference</v>
      </c>
      <c r="G17" s="38" t="s">
        <v>1980</v>
      </c>
      <c r="H17" s="37">
        <f>COUNTIF('03-POD Product Guide'!$K$155:$K$235,B17)</f>
        <v>19</v>
      </c>
      <c r="I17" s="24" t="str">
        <f>INDEX('05-ISO Reference'!$G$5:$G$28,MATCH(B17,'05-ISO Reference'!$A$5:$A$28,0))</f>
        <v>https://www.iso.org/standard/36631.html</v>
      </c>
    </row>
    <row r="18" spans="1:9">
      <c r="A18" s="36">
        <v>14</v>
      </c>
      <c r="B18" s="65" t="s">
        <v>1980</v>
      </c>
      <c r="C18" s="37">
        <f>INDEX('05-ISO Reference'!$B$5:$B$28,MATCH(B18,'05-ISO Reference'!$A$5:$A$28,0))</f>
        <v>250</v>
      </c>
      <c r="D18" s="37">
        <f>INDEX('05-ISO Reference'!$C$5:$C$28,MATCH(B18,'05-ISO Reference'!$A$5:$A$28,0))</f>
        <v>353</v>
      </c>
      <c r="E18" s="37">
        <f>C18*D18</f>
        <v>88250</v>
      </c>
      <c r="F18" s="28" t="str">
        <f>INDEX('05-ISO Reference'!$D$5:$D$28,MATCH(B18,'05-ISO Reference'!$A$5:$A$28,0))</f>
        <v>ISO reference</v>
      </c>
      <c r="G18" s="38" t="s">
        <v>430</v>
      </c>
      <c r="H18" s="37">
        <f>COUNTIF('03-POD Product Guide'!$K$155:$K$235,B18)</f>
        <v>11</v>
      </c>
      <c r="I18" s="24" t="str">
        <f>INDEX('05-ISO Reference'!$G$5:$G$28,MATCH(B18,'05-ISO Reference'!$A$5:$A$28,0))</f>
        <v>https://www.iso.org/standard/36631.html</v>
      </c>
    </row>
    <row r="19" spans="1:9">
      <c r="A19" s="36">
        <v>15</v>
      </c>
      <c r="B19" s="65" t="s">
        <v>430</v>
      </c>
      <c r="C19" s="37">
        <f>INDEX('05-ISO Reference'!$B$5:$B$28,MATCH(B19,'05-ISO Reference'!$A$5:$A$28,0))</f>
        <v>297</v>
      </c>
      <c r="D19" s="37">
        <f>INDEX('05-ISO Reference'!$C$5:$C$28,MATCH(B19,'05-ISO Reference'!$A$5:$A$28,0))</f>
        <v>420</v>
      </c>
      <c r="E19" s="37">
        <f>C19*D19</f>
        <v>124740</v>
      </c>
      <c r="F19" s="28" t="str">
        <f>INDEX('05-ISO Reference'!$D$5:$D$28,MATCH(B19,'05-ISO Reference'!$A$5:$A$28,0))</f>
        <v>ISO reference</v>
      </c>
      <c r="G19" s="38" t="s">
        <v>1906</v>
      </c>
      <c r="H19" s="37">
        <f>COUNTIF('03-POD Product Guide'!$K$155:$K$235,B19)</f>
        <v>4</v>
      </c>
      <c r="I19" s="24" t="str">
        <f>INDEX('05-ISO Reference'!$G$5:$G$28,MATCH(B19,'05-ISO Reference'!$A$5:$A$28,0))</f>
        <v>https://www.iso.org/standard/36631.html</v>
      </c>
    </row>
    <row r="20" spans="1:9">
      <c r="A20" s="36">
        <v>16</v>
      </c>
      <c r="B20" s="65" t="s">
        <v>1906</v>
      </c>
      <c r="C20" s="37">
        <f>INDEX('05-ISO Reference'!$B$5:$B$28,MATCH(B20,'05-ISO Reference'!$A$5:$A$28,0))</f>
        <v>353</v>
      </c>
      <c r="D20" s="37">
        <f>INDEX('05-ISO Reference'!$C$5:$C$28,MATCH(B20,'05-ISO Reference'!$A$5:$A$28,0))</f>
        <v>500</v>
      </c>
      <c r="E20" s="37">
        <f>C20*D20</f>
        <v>176500</v>
      </c>
      <c r="F20" s="28" t="str">
        <f>INDEX('05-ISO Reference'!$D$5:$D$28,MATCH(B20,'05-ISO Reference'!$A$5:$A$28,0))</f>
        <v>ISO reference</v>
      </c>
      <c r="G20" s="38" t="s">
        <v>356</v>
      </c>
      <c r="H20" s="37">
        <f>COUNTIF('03-POD Product Guide'!$K$155:$K$235,B20)</f>
        <v>6</v>
      </c>
      <c r="I20" s="24" t="str">
        <f>INDEX('05-ISO Reference'!$G$5:$G$28,MATCH(B20,'05-ISO Reference'!$A$5:$A$28,0))</f>
        <v>https://www.iso.org/standard/36631.html</v>
      </c>
    </row>
    <row r="21" spans="1:9">
      <c r="A21" s="36">
        <v>17</v>
      </c>
      <c r="B21" s="65" t="s">
        <v>356</v>
      </c>
      <c r="C21" s="37">
        <f>INDEX('05-ISO Reference'!$B$5:$B$28,MATCH(B21,'05-ISO Reference'!$A$5:$A$28,0))</f>
        <v>420</v>
      </c>
      <c r="D21" s="37">
        <f>INDEX('05-ISO Reference'!$C$5:$C$28,MATCH(B21,'05-ISO Reference'!$A$5:$A$28,0))</f>
        <v>594</v>
      </c>
      <c r="E21" s="37">
        <f>C21*D21</f>
        <v>249480</v>
      </c>
      <c r="F21" s="28" t="str">
        <f>INDEX('05-ISO Reference'!$D$5:$D$28,MATCH(B21,'05-ISO Reference'!$A$5:$A$28,0))</f>
        <v>ISO reference</v>
      </c>
      <c r="G21" s="38" t="s">
        <v>1832</v>
      </c>
      <c r="H21" s="37">
        <f>COUNTIF('03-POD Product Guide'!$K$155:$K$235,B21)</f>
        <v>0</v>
      </c>
      <c r="I21" s="24" t="str">
        <f>INDEX('05-ISO Reference'!$G$5:$G$28,MATCH(B21,'05-ISO Reference'!$A$5:$A$28,0))</f>
        <v>https://www.iso.org/standard/36631.html</v>
      </c>
    </row>
    <row r="22" spans="1:9">
      <c r="A22" s="36">
        <v>18</v>
      </c>
      <c r="B22" s="65" t="s">
        <v>1832</v>
      </c>
      <c r="C22" s="37">
        <f>INDEX('05-ISO Reference'!$B$5:$B$28,MATCH(B22,'05-ISO Reference'!$A$5:$A$28,0))</f>
        <v>500</v>
      </c>
      <c r="D22" s="37">
        <f>INDEX('05-ISO Reference'!$C$5:$C$28,MATCH(B22,'05-ISO Reference'!$A$5:$A$28,0))</f>
        <v>707</v>
      </c>
      <c r="E22" s="37">
        <f>C22*D22</f>
        <v>353500</v>
      </c>
      <c r="F22" s="28" t="str">
        <f>INDEX('05-ISO Reference'!$D$5:$D$28,MATCH(B22,'05-ISO Reference'!$A$5:$A$28,0))</f>
        <v>ISO reference</v>
      </c>
      <c r="G22" s="38" t="s">
        <v>282</v>
      </c>
      <c r="H22" s="37">
        <f>COUNTIF('03-POD Product Guide'!$K$155:$K$235,B22)</f>
        <v>0</v>
      </c>
      <c r="I22" s="24" t="str">
        <f>INDEX('05-ISO Reference'!$G$5:$G$28,MATCH(B22,'05-ISO Reference'!$A$5:$A$28,0))</f>
        <v>https://www.iso.org/standard/36631.html</v>
      </c>
    </row>
    <row r="23" spans="1:9">
      <c r="A23" s="36">
        <v>19</v>
      </c>
      <c r="B23" s="65" t="s">
        <v>282</v>
      </c>
      <c r="C23" s="37">
        <f>INDEX('05-ISO Reference'!$B$5:$B$28,MATCH(B23,'05-ISO Reference'!$A$5:$A$28,0))</f>
        <v>594</v>
      </c>
      <c r="D23" s="37">
        <f>INDEX('05-ISO Reference'!$C$5:$C$28,MATCH(B23,'05-ISO Reference'!$A$5:$A$28,0))</f>
        <v>841</v>
      </c>
      <c r="E23" s="37">
        <f>C23*D23</f>
        <v>499554</v>
      </c>
      <c r="F23" s="28" t="str">
        <f>INDEX('05-ISO Reference'!$D$5:$D$28,MATCH(B23,'05-ISO Reference'!$A$5:$A$28,0))</f>
        <v>ISO reference</v>
      </c>
      <c r="G23" s="38" t="s">
        <v>1758</v>
      </c>
      <c r="H23" s="37">
        <f>COUNTIF('03-POD Product Guide'!$K$155:$K$235,B23)</f>
        <v>0</v>
      </c>
      <c r="I23" s="24" t="str">
        <f>INDEX('05-ISO Reference'!$G$5:$G$28,MATCH(B23,'05-ISO Reference'!$A$5:$A$28,0))</f>
        <v>https://www.iso.org/standard/36631.html</v>
      </c>
    </row>
    <row r="24" spans="1:9">
      <c r="A24" s="36">
        <v>20</v>
      </c>
      <c r="B24" s="65" t="s">
        <v>1758</v>
      </c>
      <c r="C24" s="37">
        <f>INDEX('05-ISO Reference'!$B$5:$B$28,MATCH(B24,'05-ISO Reference'!$A$5:$A$28,0))</f>
        <v>707</v>
      </c>
      <c r="D24" s="37">
        <f>INDEX('05-ISO Reference'!$C$5:$C$28,MATCH(B24,'05-ISO Reference'!$A$5:$A$28,0))</f>
        <v>1000</v>
      </c>
      <c r="E24" s="37">
        <f>C24*D24</f>
        <v>707000</v>
      </c>
      <c r="F24" s="28" t="str">
        <f>INDEX('05-ISO Reference'!$D$5:$D$28,MATCH(B24,'05-ISO Reference'!$A$5:$A$28,0))</f>
        <v>ISO reference</v>
      </c>
      <c r="G24" s="38" t="s">
        <v>120</v>
      </c>
      <c r="H24" s="37">
        <f>COUNTIF('03-POD Product Guide'!$K$155:$K$235,B24)</f>
        <v>0</v>
      </c>
      <c r="I24" s="24" t="str">
        <f>INDEX('05-ISO Reference'!$G$5:$G$28,MATCH(B24,'05-ISO Reference'!$A$5:$A$28,0))</f>
        <v>https://www.iso.org/standard/36631.html</v>
      </c>
    </row>
    <row r="25" spans="1:9">
      <c r="A25" s="36">
        <v>21</v>
      </c>
      <c r="B25" s="65" t="s">
        <v>120</v>
      </c>
      <c r="C25" s="37">
        <f>INDEX('05-ISO Reference'!$B$5:$B$28,MATCH(B25,'05-ISO Reference'!$A$5:$A$28,0))</f>
        <v>841</v>
      </c>
      <c r="D25" s="37">
        <f>INDEX('05-ISO Reference'!$C$5:$C$28,MATCH(B25,'05-ISO Reference'!$A$5:$A$28,0))</f>
        <v>1189</v>
      </c>
      <c r="E25" s="37">
        <f>C25*D25</f>
        <v>999949</v>
      </c>
      <c r="F25" s="28" t="str">
        <f>INDEX('05-ISO Reference'!$D$5:$D$28,MATCH(B25,'05-ISO Reference'!$A$5:$A$28,0))</f>
        <v>ISO reference</v>
      </c>
      <c r="G25" s="38" t="s">
        <v>1684</v>
      </c>
      <c r="H25" s="37">
        <f>COUNTIF('03-POD Product Guide'!$K$155:$K$235,B25)</f>
        <v>0</v>
      </c>
      <c r="I25" s="24" t="str">
        <f>INDEX('05-ISO Reference'!$G$5:$G$28,MATCH(B25,'05-ISO Reference'!$A$5:$A$28,0))</f>
        <v>https://www.iso.org/standard/36631.html</v>
      </c>
    </row>
    <row r="26" spans="1:9">
      <c r="A26" s="36">
        <v>22</v>
      </c>
      <c r="B26" s="65" t="s">
        <v>1684</v>
      </c>
      <c r="C26" s="37">
        <f>INDEX('05-ISO Reference'!$B$5:$B$28,MATCH(B26,'05-ISO Reference'!$A$5:$A$28,0))</f>
        <v>1000</v>
      </c>
      <c r="D26" s="37">
        <f>INDEX('05-ISO Reference'!$C$5:$C$28,MATCH(B26,'05-ISO Reference'!$A$5:$A$28,0))</f>
        <v>1414</v>
      </c>
      <c r="E26" s="37">
        <f>C26*D26</f>
        <v>1414000</v>
      </c>
      <c r="F26" s="28" t="str">
        <f>INDEX('05-ISO Reference'!$D$5:$D$28,MATCH(B26,'05-ISO Reference'!$A$5:$A$28,0))</f>
        <v>ISO reference</v>
      </c>
      <c r="G26" s="38" t="s">
        <v>87</v>
      </c>
      <c r="H26" s="37">
        <f>COUNTIF('03-POD Product Guide'!$K$155:$K$235,B26)</f>
        <v>0</v>
      </c>
      <c r="I26" s="24" t="str">
        <f>INDEX('05-ISO Reference'!$G$5:$G$28,MATCH(B26,'05-ISO Reference'!$A$5:$A$28,0))</f>
        <v>https://www.iso.org/standard/36631.html</v>
      </c>
    </row>
  </sheetData>
  <mergeCells count="3">
    <mergeCell ref="A1:I1"/>
    <mergeCell ref="A3:I3"/>
    <mergeCell ref="A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064A2"/>
  </sheetPr>
  <dimension ref="A1:F60"/>
  <sheetViews>
    <sheetView showGridLines="0" workbookViewId="0"/>
  </sheetViews>
  <sheetFormatPr defaultRowHeight="15"/>
  <cols>
    <col min="1" max="1" width="11" customWidth="1"/>
    <col min="2" max="2" width="31" customWidth="1"/>
    <col min="3" max="3" width="18" customWidth="1"/>
    <col min="4" max="5" width="16" customWidth="1"/>
    <col min="6" max="6" width="58" customWidth="1"/>
  </cols>
  <sheetData>
    <row r="1" spans="1:6" ht="26.1" customHeight="1">
      <c r="A1" s="71" t="s">
        <v>2864</v>
      </c>
      <c r="B1" s="80"/>
      <c r="C1" s="80"/>
      <c r="D1" s="80"/>
      <c r="E1" s="80"/>
      <c r="F1" s="80"/>
    </row>
    <row r="2" spans="1:6" ht="32.1" customHeight="1">
      <c r="A2" s="73" t="s">
        <v>2865</v>
      </c>
      <c r="B2" s="80"/>
      <c r="C2" s="80"/>
      <c r="D2" s="80"/>
      <c r="E2" s="80"/>
      <c r="F2" s="80"/>
    </row>
    <row r="4" spans="1:6" ht="24" customHeight="1">
      <c r="A4" s="39" t="s">
        <v>113</v>
      </c>
      <c r="B4" s="39" t="s">
        <v>2866</v>
      </c>
      <c r="C4" s="39" t="s">
        <v>2867</v>
      </c>
      <c r="D4" s="39" t="s">
        <v>2868</v>
      </c>
      <c r="E4" s="39" t="s">
        <v>2869</v>
      </c>
      <c r="F4" s="39" t="s">
        <v>2870</v>
      </c>
    </row>
    <row r="5" spans="1:6">
      <c r="A5" s="40">
        <v>0</v>
      </c>
      <c r="B5" s="40" t="s">
        <v>122</v>
      </c>
      <c r="C5" s="40" t="s">
        <v>2871</v>
      </c>
      <c r="D5" s="61">
        <v>1</v>
      </c>
      <c r="E5" s="61">
        <v>1</v>
      </c>
      <c r="F5" s="40" t="s">
        <v>123</v>
      </c>
    </row>
    <row r="6" spans="1:6">
      <c r="A6" s="40">
        <v>1</v>
      </c>
      <c r="B6" s="40" t="s">
        <v>126</v>
      </c>
      <c r="C6" s="40" t="s">
        <v>2872</v>
      </c>
      <c r="D6" s="61">
        <v>0.5</v>
      </c>
      <c r="E6" s="61"/>
      <c r="F6" s="40" t="s">
        <v>127</v>
      </c>
    </row>
    <row r="7" spans="1:6">
      <c r="A7" s="40">
        <v>2</v>
      </c>
      <c r="B7" s="40" t="s">
        <v>129</v>
      </c>
      <c r="C7" s="40" t="s">
        <v>2872</v>
      </c>
      <c r="D7" s="61">
        <v>0.33333333333333331</v>
      </c>
      <c r="E7" s="61"/>
      <c r="F7" s="40" t="s">
        <v>130</v>
      </c>
    </row>
    <row r="8" spans="1:6">
      <c r="A8" s="40">
        <v>3</v>
      </c>
      <c r="B8" s="40" t="s">
        <v>132</v>
      </c>
      <c r="C8" s="40" t="s">
        <v>2872</v>
      </c>
      <c r="D8" s="61">
        <v>0.25</v>
      </c>
      <c r="E8" s="61"/>
      <c r="F8" s="40" t="s">
        <v>133</v>
      </c>
    </row>
    <row r="9" spans="1:6">
      <c r="A9" s="40">
        <v>4</v>
      </c>
      <c r="B9" s="40" t="s">
        <v>135</v>
      </c>
      <c r="C9" s="40" t="s">
        <v>2872</v>
      </c>
      <c r="D9" s="61">
        <v>0.66666666666666663</v>
      </c>
      <c r="E9" s="61"/>
      <c r="F9" s="40" t="s">
        <v>136</v>
      </c>
    </row>
    <row r="10" spans="1:6">
      <c r="A10" s="40">
        <v>5</v>
      </c>
      <c r="B10" s="40" t="s">
        <v>138</v>
      </c>
      <c r="C10" s="40" t="s">
        <v>2872</v>
      </c>
      <c r="D10" s="61">
        <v>0.75</v>
      </c>
      <c r="E10" s="61"/>
      <c r="F10" s="40" t="s">
        <v>139</v>
      </c>
    </row>
    <row r="11" spans="1:6">
      <c r="A11" s="40">
        <v>6</v>
      </c>
      <c r="B11" s="40" t="s">
        <v>141</v>
      </c>
      <c r="C11" s="40" t="s">
        <v>2873</v>
      </c>
      <c r="D11" s="61">
        <v>0.5</v>
      </c>
      <c r="E11" s="61"/>
      <c r="F11" s="40" t="s">
        <v>142</v>
      </c>
    </row>
    <row r="12" spans="1:6">
      <c r="A12" s="40">
        <v>7</v>
      </c>
      <c r="B12" s="40" t="s">
        <v>144</v>
      </c>
      <c r="C12" s="40" t="s">
        <v>2873</v>
      </c>
      <c r="D12" s="61">
        <v>0.33333333333333331</v>
      </c>
      <c r="E12" s="61"/>
      <c r="F12" s="40" t="s">
        <v>145</v>
      </c>
    </row>
    <row r="13" spans="1:6">
      <c r="A13" s="40">
        <v>8</v>
      </c>
      <c r="B13" s="40" t="s">
        <v>147</v>
      </c>
      <c r="C13" s="40" t="s">
        <v>2873</v>
      </c>
      <c r="D13" s="61">
        <v>0.25</v>
      </c>
      <c r="E13" s="61"/>
      <c r="F13" s="40" t="s">
        <v>148</v>
      </c>
    </row>
    <row r="14" spans="1:6">
      <c r="A14" s="40">
        <v>9</v>
      </c>
      <c r="B14" s="40" t="s">
        <v>150</v>
      </c>
      <c r="C14" s="40" t="s">
        <v>2873</v>
      </c>
      <c r="D14" s="61">
        <v>0.66666666666666663</v>
      </c>
      <c r="E14" s="61"/>
      <c r="F14" s="40" t="s">
        <v>151</v>
      </c>
    </row>
    <row r="15" spans="1:6">
      <c r="A15" s="40">
        <v>10</v>
      </c>
      <c r="B15" s="40" t="s">
        <v>153</v>
      </c>
      <c r="C15" s="40" t="s">
        <v>2873</v>
      </c>
      <c r="D15" s="61">
        <v>0.75</v>
      </c>
      <c r="E15" s="61"/>
      <c r="F15" s="40" t="s">
        <v>154</v>
      </c>
    </row>
    <row r="16" spans="1:6">
      <c r="A16" s="40">
        <v>11</v>
      </c>
      <c r="B16" s="40" t="s">
        <v>156</v>
      </c>
      <c r="C16" s="40" t="s">
        <v>2874</v>
      </c>
      <c r="D16" s="61">
        <v>0.5</v>
      </c>
      <c r="E16" s="61">
        <v>0.5</v>
      </c>
      <c r="F16" s="40" t="s">
        <v>157</v>
      </c>
    </row>
    <row r="17" spans="1:6">
      <c r="A17" s="40">
        <v>12</v>
      </c>
      <c r="B17" s="40" t="s">
        <v>159</v>
      </c>
      <c r="C17" s="40" t="s">
        <v>2874</v>
      </c>
      <c r="D17" s="61">
        <v>0.33333333333333331</v>
      </c>
      <c r="E17" s="61">
        <v>0.33333333333333331</v>
      </c>
      <c r="F17" s="40" t="s">
        <v>160</v>
      </c>
    </row>
    <row r="18" spans="1:6">
      <c r="A18" s="40">
        <v>13</v>
      </c>
      <c r="B18" s="40" t="s">
        <v>162</v>
      </c>
      <c r="C18" s="40" t="s">
        <v>2874</v>
      </c>
      <c r="D18" s="61">
        <v>0.25</v>
      </c>
      <c r="E18" s="61">
        <v>0.25</v>
      </c>
      <c r="F18" s="40" t="s">
        <v>163</v>
      </c>
    </row>
    <row r="19" spans="1:6">
      <c r="A19" s="40">
        <v>14</v>
      </c>
      <c r="B19" s="40" t="s">
        <v>165</v>
      </c>
      <c r="C19" s="40" t="s">
        <v>2874</v>
      </c>
      <c r="D19" s="61">
        <v>0.5</v>
      </c>
      <c r="E19" s="61">
        <v>0.33333333333333331</v>
      </c>
      <c r="F19" s="40" t="s">
        <v>166</v>
      </c>
    </row>
    <row r="20" spans="1:6">
      <c r="A20" s="40">
        <v>15</v>
      </c>
      <c r="B20" s="40" t="s">
        <v>168</v>
      </c>
      <c r="C20" s="40" t="s">
        <v>2874</v>
      </c>
      <c r="D20" s="61">
        <v>0.33333333333333331</v>
      </c>
      <c r="E20" s="61">
        <v>0.5</v>
      </c>
      <c r="F20" s="40" t="s">
        <v>166</v>
      </c>
    </row>
    <row r="21" spans="1:6">
      <c r="A21" s="40">
        <v>16</v>
      </c>
      <c r="B21" s="40" t="s">
        <v>170</v>
      </c>
      <c r="C21" s="40" t="s">
        <v>2874</v>
      </c>
      <c r="D21" s="61">
        <v>0.5</v>
      </c>
      <c r="E21" s="61">
        <v>0.25</v>
      </c>
      <c r="F21" s="40" t="s">
        <v>166</v>
      </c>
    </row>
    <row r="22" spans="1:6">
      <c r="A22" s="40">
        <v>17</v>
      </c>
      <c r="B22" s="40" t="s">
        <v>172</v>
      </c>
      <c r="C22" s="40" t="s">
        <v>2874</v>
      </c>
      <c r="D22" s="61">
        <v>0.25</v>
      </c>
      <c r="E22" s="61">
        <v>0.5</v>
      </c>
      <c r="F22" s="40" t="s">
        <v>166</v>
      </c>
    </row>
    <row r="23" spans="1:6">
      <c r="A23" s="40">
        <v>18</v>
      </c>
      <c r="B23" s="40" t="s">
        <v>174</v>
      </c>
      <c r="C23" s="40" t="s">
        <v>2874</v>
      </c>
      <c r="D23" s="61">
        <v>0.66666666666666663</v>
      </c>
      <c r="E23" s="61">
        <v>0.5</v>
      </c>
      <c r="F23" s="40" t="s">
        <v>166</v>
      </c>
    </row>
    <row r="24" spans="1:6">
      <c r="A24" s="40">
        <v>19</v>
      </c>
      <c r="B24" s="40" t="s">
        <v>176</v>
      </c>
      <c r="C24" s="40" t="s">
        <v>2874</v>
      </c>
      <c r="D24" s="61">
        <v>0.5</v>
      </c>
      <c r="E24" s="61">
        <v>0.66666666666666663</v>
      </c>
      <c r="F24" s="40" t="s">
        <v>166</v>
      </c>
    </row>
    <row r="25" spans="1:6">
      <c r="A25" s="40">
        <v>20</v>
      </c>
      <c r="B25" s="40" t="s">
        <v>178</v>
      </c>
      <c r="C25" s="40" t="s">
        <v>2874</v>
      </c>
      <c r="D25" s="61">
        <v>0.75</v>
      </c>
      <c r="E25" s="61">
        <v>0.5</v>
      </c>
      <c r="F25" s="40" t="s">
        <v>166</v>
      </c>
    </row>
    <row r="26" spans="1:6">
      <c r="A26" s="40">
        <v>21</v>
      </c>
      <c r="B26" s="40" t="s">
        <v>180</v>
      </c>
      <c r="C26" s="40" t="s">
        <v>2874</v>
      </c>
      <c r="D26" s="61">
        <v>0.5</v>
      </c>
      <c r="E26" s="61">
        <v>0.75</v>
      </c>
      <c r="F26" s="40" t="s">
        <v>166</v>
      </c>
    </row>
    <row r="27" spans="1:6">
      <c r="A27" s="40">
        <v>22</v>
      </c>
      <c r="B27" s="40" t="s">
        <v>182</v>
      </c>
      <c r="C27" s="40" t="s">
        <v>2874</v>
      </c>
      <c r="D27" s="61">
        <v>0.95</v>
      </c>
      <c r="E27" s="61">
        <v>0.95</v>
      </c>
      <c r="F27" s="40" t="s">
        <v>183</v>
      </c>
    </row>
    <row r="28" spans="1:6">
      <c r="A28" s="40">
        <v>23</v>
      </c>
      <c r="B28" s="40" t="s">
        <v>185</v>
      </c>
      <c r="C28" s="40" t="s">
        <v>2874</v>
      </c>
      <c r="D28" s="61">
        <v>0.9</v>
      </c>
      <c r="E28" s="61">
        <v>0.9</v>
      </c>
      <c r="F28" s="40" t="s">
        <v>186</v>
      </c>
    </row>
    <row r="29" spans="1:6">
      <c r="A29" s="40">
        <v>24</v>
      </c>
      <c r="B29" s="40" t="s">
        <v>188</v>
      </c>
      <c r="C29" s="40" t="s">
        <v>2874</v>
      </c>
      <c r="D29" s="61">
        <v>0.85</v>
      </c>
      <c r="E29" s="61">
        <v>0.85</v>
      </c>
      <c r="F29" s="40" t="s">
        <v>186</v>
      </c>
    </row>
    <row r="30" spans="1:6">
      <c r="A30" s="40">
        <v>25</v>
      </c>
      <c r="B30" s="40" t="s">
        <v>190</v>
      </c>
      <c r="C30" s="40" t="s">
        <v>2874</v>
      </c>
      <c r="D30" s="61">
        <v>0.8</v>
      </c>
      <c r="E30" s="61">
        <v>0.8</v>
      </c>
      <c r="F30" s="40" t="s">
        <v>186</v>
      </c>
    </row>
    <row r="31" spans="1:6">
      <c r="A31" s="40">
        <v>26</v>
      </c>
      <c r="B31" s="40" t="s">
        <v>192</v>
      </c>
      <c r="C31" s="40" t="s">
        <v>2874</v>
      </c>
      <c r="D31" s="61">
        <v>0.75</v>
      </c>
      <c r="E31" s="61">
        <v>0.75</v>
      </c>
      <c r="F31" s="40" t="s">
        <v>186</v>
      </c>
    </row>
    <row r="32" spans="1:6">
      <c r="A32" s="40">
        <v>27</v>
      </c>
      <c r="B32" s="40" t="s">
        <v>194</v>
      </c>
      <c r="C32" s="40" t="s">
        <v>2874</v>
      </c>
      <c r="D32" s="61">
        <v>0.7</v>
      </c>
      <c r="E32" s="61">
        <v>0.7</v>
      </c>
      <c r="F32" s="40" t="s">
        <v>186</v>
      </c>
    </row>
    <row r="33" spans="1:6">
      <c r="A33" s="40">
        <v>28</v>
      </c>
      <c r="B33" s="40" t="s">
        <v>196</v>
      </c>
      <c r="C33" s="40" t="s">
        <v>2874</v>
      </c>
      <c r="D33" s="61">
        <v>0.66666666666666663</v>
      </c>
      <c r="E33" s="61">
        <v>0.66666666666666663</v>
      </c>
      <c r="F33" s="40" t="s">
        <v>186</v>
      </c>
    </row>
    <row r="34" spans="1:6">
      <c r="A34" s="40">
        <v>29</v>
      </c>
      <c r="B34" s="40" t="s">
        <v>198</v>
      </c>
      <c r="C34" s="40" t="s">
        <v>2874</v>
      </c>
      <c r="D34" s="61">
        <v>0.6</v>
      </c>
      <c r="E34" s="61">
        <v>0.6</v>
      </c>
      <c r="F34" s="40" t="s">
        <v>186</v>
      </c>
    </row>
    <row r="35" spans="1:6">
      <c r="A35" s="40">
        <v>30</v>
      </c>
      <c r="B35" s="40" t="s">
        <v>200</v>
      </c>
      <c r="C35" s="40" t="s">
        <v>2874</v>
      </c>
      <c r="D35" s="61">
        <v>0.55000000000000004</v>
      </c>
      <c r="E35" s="61">
        <v>0.55000000000000004</v>
      </c>
      <c r="F35" s="40" t="s">
        <v>186</v>
      </c>
    </row>
    <row r="36" spans="1:6">
      <c r="A36" s="40">
        <v>31</v>
      </c>
      <c r="B36" s="40" t="s">
        <v>202</v>
      </c>
      <c r="C36" s="40" t="s">
        <v>2874</v>
      </c>
      <c r="D36" s="61">
        <v>0.45</v>
      </c>
      <c r="E36" s="61">
        <v>0.45</v>
      </c>
      <c r="F36" s="40" t="s">
        <v>186</v>
      </c>
    </row>
    <row r="37" spans="1:6">
      <c r="A37" s="40">
        <v>32</v>
      </c>
      <c r="B37" s="40" t="s">
        <v>204</v>
      </c>
      <c r="C37" s="40" t="s">
        <v>2874</v>
      </c>
      <c r="D37" s="61">
        <v>0.4</v>
      </c>
      <c r="E37" s="61">
        <v>0.4</v>
      </c>
      <c r="F37" s="40" t="s">
        <v>186</v>
      </c>
    </row>
    <row r="38" spans="1:6">
      <c r="A38" s="40">
        <v>33</v>
      </c>
      <c r="B38" s="40" t="s">
        <v>206</v>
      </c>
      <c r="C38" s="40" t="s">
        <v>2874</v>
      </c>
      <c r="D38" s="61">
        <v>0.35</v>
      </c>
      <c r="E38" s="61">
        <v>0.35</v>
      </c>
      <c r="F38" s="40" t="s">
        <v>186</v>
      </c>
    </row>
    <row r="39" spans="1:6">
      <c r="A39" s="40">
        <v>34</v>
      </c>
      <c r="B39" s="40" t="s">
        <v>208</v>
      </c>
      <c r="C39" s="40" t="s">
        <v>2874</v>
      </c>
      <c r="D39" s="61">
        <v>0.3</v>
      </c>
      <c r="E39" s="61">
        <v>0.3</v>
      </c>
      <c r="F39" s="40" t="s">
        <v>186</v>
      </c>
    </row>
    <row r="40" spans="1:6">
      <c r="A40" s="40">
        <v>35</v>
      </c>
      <c r="B40" s="40" t="s">
        <v>210</v>
      </c>
      <c r="C40" s="40" t="s">
        <v>2874</v>
      </c>
      <c r="D40" s="61">
        <v>0.2</v>
      </c>
      <c r="E40" s="61">
        <v>0.2</v>
      </c>
      <c r="F40" s="40" t="s">
        <v>186</v>
      </c>
    </row>
    <row r="41" spans="1:6">
      <c r="A41" s="40">
        <v>36</v>
      </c>
      <c r="B41" s="40" t="s">
        <v>212</v>
      </c>
      <c r="C41" s="40" t="s">
        <v>2874</v>
      </c>
      <c r="D41" s="61">
        <v>0.15</v>
      </c>
      <c r="E41" s="61">
        <v>0.15</v>
      </c>
      <c r="F41" s="40" t="s">
        <v>213</v>
      </c>
    </row>
    <row r="42" spans="1:6">
      <c r="A42" s="40">
        <v>37</v>
      </c>
      <c r="B42" s="40" t="s">
        <v>215</v>
      </c>
      <c r="C42" s="40" t="s">
        <v>2875</v>
      </c>
      <c r="D42" s="61">
        <v>1</v>
      </c>
      <c r="E42" s="61"/>
      <c r="F42" s="40" t="s">
        <v>216</v>
      </c>
    </row>
    <row r="43" spans="1:6">
      <c r="A43" s="40">
        <v>38</v>
      </c>
      <c r="B43" s="40" t="s">
        <v>218</v>
      </c>
      <c r="C43" s="40" t="s">
        <v>2875</v>
      </c>
      <c r="D43" s="61">
        <v>0.9</v>
      </c>
      <c r="E43" s="61"/>
      <c r="F43" s="40" t="s">
        <v>219</v>
      </c>
    </row>
    <row r="44" spans="1:6">
      <c r="A44" s="40">
        <v>39</v>
      </c>
      <c r="B44" s="40" t="s">
        <v>221</v>
      </c>
      <c r="C44" s="40" t="s">
        <v>2875</v>
      </c>
      <c r="D44" s="61">
        <v>0.8</v>
      </c>
      <c r="E44" s="61"/>
      <c r="F44" s="40" t="s">
        <v>219</v>
      </c>
    </row>
    <row r="45" spans="1:6">
      <c r="A45" s="40">
        <v>40</v>
      </c>
      <c r="B45" s="40" t="s">
        <v>223</v>
      </c>
      <c r="C45" s="40" t="s">
        <v>2875</v>
      </c>
      <c r="D45" s="61">
        <v>0.75</v>
      </c>
      <c r="E45" s="61"/>
      <c r="F45" s="40" t="s">
        <v>219</v>
      </c>
    </row>
    <row r="46" spans="1:6">
      <c r="A46" s="40">
        <v>41</v>
      </c>
      <c r="B46" s="40" t="s">
        <v>225</v>
      </c>
      <c r="C46" s="40" t="s">
        <v>2875</v>
      </c>
      <c r="D46" s="61">
        <v>0.66666666666666663</v>
      </c>
      <c r="E46" s="61"/>
      <c r="F46" s="40" t="s">
        <v>219</v>
      </c>
    </row>
    <row r="47" spans="1:6">
      <c r="A47" s="40">
        <v>42</v>
      </c>
      <c r="B47" s="40" t="s">
        <v>227</v>
      </c>
      <c r="C47" s="40" t="s">
        <v>2875</v>
      </c>
      <c r="D47" s="61">
        <v>0.6</v>
      </c>
      <c r="E47" s="61"/>
      <c r="F47" s="40" t="s">
        <v>219</v>
      </c>
    </row>
    <row r="48" spans="1:6">
      <c r="A48" s="40">
        <v>43</v>
      </c>
      <c r="B48" s="40" t="s">
        <v>229</v>
      </c>
      <c r="C48" s="40" t="s">
        <v>2875</v>
      </c>
      <c r="D48" s="61">
        <v>0.5</v>
      </c>
      <c r="E48" s="61"/>
      <c r="F48" s="40" t="s">
        <v>219</v>
      </c>
    </row>
    <row r="49" spans="1:6">
      <c r="A49" s="40">
        <v>44</v>
      </c>
      <c r="B49" s="40" t="s">
        <v>231</v>
      </c>
      <c r="C49" s="40" t="s">
        <v>2875</v>
      </c>
      <c r="D49" s="61">
        <v>0.4</v>
      </c>
      <c r="E49" s="61"/>
      <c r="F49" s="40" t="s">
        <v>219</v>
      </c>
    </row>
    <row r="50" spans="1:6">
      <c r="A50" s="40">
        <v>45</v>
      </c>
      <c r="B50" s="40" t="s">
        <v>233</v>
      </c>
      <c r="C50" s="40" t="s">
        <v>2875</v>
      </c>
      <c r="D50" s="61">
        <v>0.33333333333333331</v>
      </c>
      <c r="E50" s="61"/>
      <c r="F50" s="40" t="s">
        <v>219</v>
      </c>
    </row>
    <row r="51" spans="1:6">
      <c r="A51" s="40">
        <v>46</v>
      </c>
      <c r="B51" s="40" t="s">
        <v>235</v>
      </c>
      <c r="C51" s="40" t="s">
        <v>2875</v>
      </c>
      <c r="D51" s="61">
        <v>0.25</v>
      </c>
      <c r="E51" s="61"/>
      <c r="F51" s="40" t="s">
        <v>219</v>
      </c>
    </row>
    <row r="52" spans="1:6">
      <c r="A52" s="40">
        <v>47</v>
      </c>
      <c r="B52" s="40" t="s">
        <v>237</v>
      </c>
      <c r="C52" s="40" t="s">
        <v>2875</v>
      </c>
      <c r="D52" s="61">
        <v>0.2</v>
      </c>
      <c r="E52" s="61"/>
      <c r="F52" s="40" t="s">
        <v>219</v>
      </c>
    </row>
    <row r="53" spans="1:6">
      <c r="A53" s="40">
        <v>48</v>
      </c>
      <c r="B53" s="40" t="s">
        <v>239</v>
      </c>
      <c r="C53" s="40" t="s">
        <v>2876</v>
      </c>
      <c r="D53" s="61">
        <v>1.333333333333333</v>
      </c>
      <c r="E53" s="61"/>
      <c r="F53" s="40" t="s">
        <v>240</v>
      </c>
    </row>
    <row r="54" spans="1:6">
      <c r="A54" s="40">
        <v>49</v>
      </c>
      <c r="B54" s="40" t="s">
        <v>242</v>
      </c>
      <c r="C54" s="40" t="s">
        <v>2876</v>
      </c>
      <c r="D54" s="61">
        <v>0.75</v>
      </c>
      <c r="E54" s="61"/>
      <c r="F54" s="40" t="s">
        <v>243</v>
      </c>
    </row>
    <row r="55" spans="1:6">
      <c r="A55" s="40">
        <v>50</v>
      </c>
      <c r="B55" s="40" t="s">
        <v>245</v>
      </c>
      <c r="C55" s="40" t="s">
        <v>2876</v>
      </c>
      <c r="D55" s="61">
        <v>1.5</v>
      </c>
      <c r="E55" s="61"/>
      <c r="F55" s="40" t="s">
        <v>246</v>
      </c>
    </row>
    <row r="56" spans="1:6">
      <c r="A56" s="40">
        <v>51</v>
      </c>
      <c r="B56" s="40" t="s">
        <v>248</v>
      </c>
      <c r="C56" s="40" t="s">
        <v>2876</v>
      </c>
      <c r="D56" s="61">
        <v>0.66666666666666663</v>
      </c>
      <c r="E56" s="61"/>
      <c r="F56" s="40" t="s">
        <v>249</v>
      </c>
    </row>
    <row r="57" spans="1:6">
      <c r="A57" s="40">
        <v>52</v>
      </c>
      <c r="B57" s="40" t="s">
        <v>251</v>
      </c>
      <c r="C57" s="40" t="s">
        <v>2876</v>
      </c>
      <c r="D57" s="61">
        <v>1.7777777777777779</v>
      </c>
      <c r="E57" s="61"/>
      <c r="F57" s="40" t="s">
        <v>252</v>
      </c>
    </row>
    <row r="58" spans="1:6">
      <c r="A58" s="40">
        <v>53</v>
      </c>
      <c r="B58" s="40" t="s">
        <v>254</v>
      </c>
      <c r="C58" s="40" t="s">
        <v>2876</v>
      </c>
      <c r="D58" s="61">
        <v>0.5625</v>
      </c>
      <c r="E58" s="61"/>
      <c r="F58" s="40" t="s">
        <v>255</v>
      </c>
    </row>
    <row r="59" spans="1:6">
      <c r="A59" s="40">
        <v>54</v>
      </c>
      <c r="B59" s="40" t="s">
        <v>257</v>
      </c>
      <c r="C59" s="40" t="s">
        <v>2876</v>
      </c>
      <c r="D59" s="61">
        <v>2</v>
      </c>
      <c r="E59" s="61"/>
      <c r="F59" s="40" t="s">
        <v>258</v>
      </c>
    </row>
    <row r="60" spans="1:6">
      <c r="A60" s="40">
        <v>55</v>
      </c>
      <c r="B60" s="40" t="s">
        <v>260</v>
      </c>
      <c r="C60" s="40" t="s">
        <v>2876</v>
      </c>
      <c r="D60" s="61">
        <v>0.5</v>
      </c>
      <c r="E60" s="61"/>
      <c r="F60" s="40" t="s">
        <v>261</v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B9BD5"/>
  </sheetPr>
  <dimension ref="A1:G28"/>
  <sheetViews>
    <sheetView showGridLines="0" workbookViewId="0"/>
  </sheetViews>
  <sheetFormatPr defaultRowHeight="15"/>
  <cols>
    <col min="1" max="3" width="14" customWidth="1"/>
    <col min="4" max="4" width="26" customWidth="1"/>
    <col min="5" max="5" width="30" customWidth="1"/>
    <col min="6" max="6" width="54" customWidth="1"/>
    <col min="7" max="7" width="46" customWidth="1"/>
  </cols>
  <sheetData>
    <row r="1" spans="1:7" ht="26.1" customHeight="1">
      <c r="A1" s="71" t="s">
        <v>2877</v>
      </c>
      <c r="B1" s="80"/>
      <c r="C1" s="80"/>
      <c r="D1" s="80"/>
      <c r="E1" s="80"/>
      <c r="F1" s="80"/>
      <c r="G1" s="80"/>
    </row>
    <row r="2" spans="1:7" ht="32.1" customHeight="1">
      <c r="A2" s="73" t="s">
        <v>2878</v>
      </c>
      <c r="B2" s="80"/>
      <c r="C2" s="80"/>
      <c r="D2" s="80"/>
      <c r="E2" s="80"/>
      <c r="F2" s="80"/>
      <c r="G2" s="80"/>
    </row>
    <row r="4" spans="1:7" ht="24" customHeight="1">
      <c r="A4" s="39" t="s">
        <v>2879</v>
      </c>
      <c r="B4" s="39" t="s">
        <v>101</v>
      </c>
      <c r="C4" s="39" t="s">
        <v>102</v>
      </c>
      <c r="D4" s="39" t="s">
        <v>2861</v>
      </c>
      <c r="E4" s="39" t="s">
        <v>105</v>
      </c>
      <c r="F4" s="39" t="s">
        <v>107</v>
      </c>
      <c r="G4" s="39" t="s">
        <v>2505</v>
      </c>
    </row>
    <row r="5" spans="1:7">
      <c r="A5" s="40" t="s">
        <v>120</v>
      </c>
      <c r="B5" s="59">
        <v>841</v>
      </c>
      <c r="C5" s="59">
        <v>1189</v>
      </c>
      <c r="D5" s="40" t="s">
        <v>2880</v>
      </c>
      <c r="E5" s="40" t="s">
        <v>2881</v>
      </c>
      <c r="F5" s="40" t="s">
        <v>2882</v>
      </c>
      <c r="G5" s="43" t="s">
        <v>24</v>
      </c>
    </row>
    <row r="6" spans="1:7">
      <c r="A6" s="40" t="s">
        <v>282</v>
      </c>
      <c r="B6" s="59">
        <v>594</v>
      </c>
      <c r="C6" s="59">
        <v>841</v>
      </c>
      <c r="D6" s="40" t="s">
        <v>2880</v>
      </c>
      <c r="E6" s="40" t="s">
        <v>2883</v>
      </c>
      <c r="F6" s="40" t="s">
        <v>87</v>
      </c>
      <c r="G6" s="43" t="s">
        <v>24</v>
      </c>
    </row>
    <row r="7" spans="1:7">
      <c r="A7" s="40" t="s">
        <v>356</v>
      </c>
      <c r="B7" s="59">
        <v>420</v>
      </c>
      <c r="C7" s="59">
        <v>594</v>
      </c>
      <c r="D7" s="40" t="s">
        <v>2880</v>
      </c>
      <c r="E7" s="40" t="s">
        <v>2884</v>
      </c>
      <c r="F7" s="40" t="s">
        <v>87</v>
      </c>
      <c r="G7" s="43" t="s">
        <v>24</v>
      </c>
    </row>
    <row r="8" spans="1:7">
      <c r="A8" s="40" t="s">
        <v>430</v>
      </c>
      <c r="B8" s="59">
        <v>297</v>
      </c>
      <c r="C8" s="59">
        <v>420</v>
      </c>
      <c r="D8" s="40" t="s">
        <v>2880</v>
      </c>
      <c r="E8" s="40" t="s">
        <v>2885</v>
      </c>
      <c r="F8" s="40" t="s">
        <v>87</v>
      </c>
      <c r="G8" s="43" t="s">
        <v>24</v>
      </c>
    </row>
    <row r="9" spans="1:7">
      <c r="A9" s="40" t="s">
        <v>504</v>
      </c>
      <c r="B9" s="59">
        <v>210</v>
      </c>
      <c r="C9" s="59">
        <v>297</v>
      </c>
      <c r="D9" s="40" t="s">
        <v>2880</v>
      </c>
      <c r="E9" s="40" t="s">
        <v>2886</v>
      </c>
      <c r="F9" s="40" t="s">
        <v>87</v>
      </c>
      <c r="G9" s="43" t="s">
        <v>24</v>
      </c>
    </row>
    <row r="10" spans="1:7">
      <c r="A10" s="40" t="s">
        <v>578</v>
      </c>
      <c r="B10" s="59">
        <v>148</v>
      </c>
      <c r="C10" s="59">
        <v>210</v>
      </c>
      <c r="D10" s="40" t="s">
        <v>2880</v>
      </c>
      <c r="E10" s="40" t="s">
        <v>2887</v>
      </c>
      <c r="F10" s="40" t="s">
        <v>87</v>
      </c>
      <c r="G10" s="43" t="s">
        <v>24</v>
      </c>
    </row>
    <row r="11" spans="1:7">
      <c r="A11" s="40" t="s">
        <v>652</v>
      </c>
      <c r="B11" s="59">
        <v>105</v>
      </c>
      <c r="C11" s="59">
        <v>148</v>
      </c>
      <c r="D11" s="40" t="s">
        <v>2880</v>
      </c>
      <c r="E11" s="40" t="s">
        <v>2888</v>
      </c>
      <c r="F11" s="40" t="s">
        <v>87</v>
      </c>
      <c r="G11" s="43" t="s">
        <v>24</v>
      </c>
    </row>
    <row r="12" spans="1:7">
      <c r="A12" s="40" t="s">
        <v>726</v>
      </c>
      <c r="B12" s="59">
        <v>74</v>
      </c>
      <c r="C12" s="59">
        <v>105</v>
      </c>
      <c r="D12" s="40" t="s">
        <v>2880</v>
      </c>
      <c r="E12" s="40" t="s">
        <v>2889</v>
      </c>
      <c r="F12" s="40" t="s">
        <v>87</v>
      </c>
      <c r="G12" s="43" t="s">
        <v>24</v>
      </c>
    </row>
    <row r="13" spans="1:7">
      <c r="A13" s="40" t="s">
        <v>800</v>
      </c>
      <c r="B13" s="59">
        <v>52</v>
      </c>
      <c r="C13" s="59">
        <v>74</v>
      </c>
      <c r="D13" s="40" t="s">
        <v>2880</v>
      </c>
      <c r="E13" s="40" t="s">
        <v>2890</v>
      </c>
      <c r="F13" s="40" t="s">
        <v>87</v>
      </c>
      <c r="G13" s="43" t="s">
        <v>24</v>
      </c>
    </row>
    <row r="14" spans="1:7">
      <c r="A14" s="40" t="s">
        <v>874</v>
      </c>
      <c r="B14" s="59">
        <v>37</v>
      </c>
      <c r="C14" s="59">
        <v>52</v>
      </c>
      <c r="D14" s="40" t="s">
        <v>2880</v>
      </c>
      <c r="E14" s="40" t="s">
        <v>2891</v>
      </c>
      <c r="F14" s="40" t="s">
        <v>87</v>
      </c>
      <c r="G14" s="43" t="s">
        <v>24</v>
      </c>
    </row>
    <row r="15" spans="1:7">
      <c r="A15" s="40" t="s">
        <v>948</v>
      </c>
      <c r="B15" s="59">
        <v>26</v>
      </c>
      <c r="C15" s="59">
        <v>37</v>
      </c>
      <c r="D15" s="40" t="s">
        <v>2880</v>
      </c>
      <c r="E15" s="40" t="s">
        <v>2892</v>
      </c>
      <c r="F15" s="40" t="s">
        <v>87</v>
      </c>
      <c r="G15" s="43" t="s">
        <v>24</v>
      </c>
    </row>
    <row r="16" spans="1:7">
      <c r="A16" s="57" t="s">
        <v>1022</v>
      </c>
      <c r="B16" s="62">
        <v>18</v>
      </c>
      <c r="C16" s="62">
        <v>26</v>
      </c>
      <c r="D16" s="57" t="s">
        <v>2893</v>
      </c>
      <c r="E16" s="57" t="s">
        <v>2894</v>
      </c>
      <c r="F16" s="57" t="s">
        <v>2895</v>
      </c>
      <c r="G16" s="57" t="s">
        <v>87</v>
      </c>
    </row>
    <row r="17" spans="1:7">
      <c r="A17" s="57" t="s">
        <v>1096</v>
      </c>
      <c r="B17" s="62">
        <v>13</v>
      </c>
      <c r="C17" s="62">
        <v>18</v>
      </c>
      <c r="D17" s="57" t="s">
        <v>2893</v>
      </c>
      <c r="E17" s="57" t="s">
        <v>2894</v>
      </c>
      <c r="F17" s="57" t="s">
        <v>2895</v>
      </c>
      <c r="G17" s="57" t="s">
        <v>87</v>
      </c>
    </row>
    <row r="18" spans="1:7">
      <c r="A18" s="40" t="s">
        <v>1684</v>
      </c>
      <c r="B18" s="59">
        <v>1000</v>
      </c>
      <c r="C18" s="59">
        <v>1414</v>
      </c>
      <c r="D18" s="40" t="s">
        <v>2880</v>
      </c>
      <c r="E18" s="40" t="s">
        <v>2896</v>
      </c>
      <c r="F18" s="40" t="s">
        <v>87</v>
      </c>
      <c r="G18" s="43" t="s">
        <v>24</v>
      </c>
    </row>
    <row r="19" spans="1:7">
      <c r="A19" s="40" t="s">
        <v>1758</v>
      </c>
      <c r="B19" s="59">
        <v>707</v>
      </c>
      <c r="C19" s="59">
        <v>1000</v>
      </c>
      <c r="D19" s="40" t="s">
        <v>2880</v>
      </c>
      <c r="E19" s="40" t="s">
        <v>2897</v>
      </c>
      <c r="F19" s="40" t="s">
        <v>87</v>
      </c>
      <c r="G19" s="43" t="s">
        <v>24</v>
      </c>
    </row>
    <row r="20" spans="1:7">
      <c r="A20" s="40" t="s">
        <v>1832</v>
      </c>
      <c r="B20" s="59">
        <v>500</v>
      </c>
      <c r="C20" s="59">
        <v>707</v>
      </c>
      <c r="D20" s="40" t="s">
        <v>2880</v>
      </c>
      <c r="E20" s="40" t="s">
        <v>2898</v>
      </c>
      <c r="F20" s="40" t="s">
        <v>87</v>
      </c>
      <c r="G20" s="43" t="s">
        <v>24</v>
      </c>
    </row>
    <row r="21" spans="1:7">
      <c r="A21" s="40" t="s">
        <v>1906</v>
      </c>
      <c r="B21" s="59">
        <v>353</v>
      </c>
      <c r="C21" s="59">
        <v>500</v>
      </c>
      <c r="D21" s="40" t="s">
        <v>2880</v>
      </c>
      <c r="E21" s="40" t="s">
        <v>2899</v>
      </c>
      <c r="F21" s="40" t="s">
        <v>87</v>
      </c>
      <c r="G21" s="43" t="s">
        <v>24</v>
      </c>
    </row>
    <row r="22" spans="1:7">
      <c r="A22" s="40" t="s">
        <v>1980</v>
      </c>
      <c r="B22" s="59">
        <v>250</v>
      </c>
      <c r="C22" s="59">
        <v>353</v>
      </c>
      <c r="D22" s="40" t="s">
        <v>2880</v>
      </c>
      <c r="E22" s="40" t="s">
        <v>2900</v>
      </c>
      <c r="F22" s="40" t="s">
        <v>87</v>
      </c>
      <c r="G22" s="43" t="s">
        <v>24</v>
      </c>
    </row>
    <row r="23" spans="1:7">
      <c r="A23" s="40" t="s">
        <v>2054</v>
      </c>
      <c r="B23" s="59">
        <v>176</v>
      </c>
      <c r="C23" s="59">
        <v>250</v>
      </c>
      <c r="D23" s="40" t="s">
        <v>2880</v>
      </c>
      <c r="E23" s="40" t="s">
        <v>2901</v>
      </c>
      <c r="F23" s="40" t="s">
        <v>87</v>
      </c>
      <c r="G23" s="43" t="s">
        <v>24</v>
      </c>
    </row>
    <row r="24" spans="1:7">
      <c r="A24" s="40" t="s">
        <v>2128</v>
      </c>
      <c r="B24" s="59">
        <v>125</v>
      </c>
      <c r="C24" s="59">
        <v>176</v>
      </c>
      <c r="D24" s="40" t="s">
        <v>2880</v>
      </c>
      <c r="E24" s="40" t="s">
        <v>2902</v>
      </c>
      <c r="F24" s="40" t="s">
        <v>87</v>
      </c>
      <c r="G24" s="43" t="s">
        <v>24</v>
      </c>
    </row>
    <row r="25" spans="1:7">
      <c r="A25" s="40" t="s">
        <v>2202</v>
      </c>
      <c r="B25" s="59">
        <v>88</v>
      </c>
      <c r="C25" s="59">
        <v>125</v>
      </c>
      <c r="D25" s="40" t="s">
        <v>2880</v>
      </c>
      <c r="E25" s="40" t="s">
        <v>2903</v>
      </c>
      <c r="F25" s="40" t="s">
        <v>87</v>
      </c>
      <c r="G25" s="43" t="s">
        <v>24</v>
      </c>
    </row>
    <row r="26" spans="1:7">
      <c r="A26" s="40" t="s">
        <v>2276</v>
      </c>
      <c r="B26" s="59">
        <v>62</v>
      </c>
      <c r="C26" s="59">
        <v>88</v>
      </c>
      <c r="D26" s="40" t="s">
        <v>2880</v>
      </c>
      <c r="E26" s="40" t="s">
        <v>2904</v>
      </c>
      <c r="F26" s="40" t="s">
        <v>87</v>
      </c>
      <c r="G26" s="43" t="s">
        <v>24</v>
      </c>
    </row>
    <row r="27" spans="1:7">
      <c r="A27" s="40" t="s">
        <v>2350</v>
      </c>
      <c r="B27" s="59">
        <v>44</v>
      </c>
      <c r="C27" s="59">
        <v>62</v>
      </c>
      <c r="D27" s="40" t="s">
        <v>2880</v>
      </c>
      <c r="E27" s="40" t="s">
        <v>2905</v>
      </c>
      <c r="F27" s="40" t="s">
        <v>87</v>
      </c>
      <c r="G27" s="43" t="s">
        <v>24</v>
      </c>
    </row>
    <row r="28" spans="1:7">
      <c r="A28" s="40" t="s">
        <v>2424</v>
      </c>
      <c r="B28" s="59">
        <v>31</v>
      </c>
      <c r="C28" s="59">
        <v>44</v>
      </c>
      <c r="D28" s="40" t="s">
        <v>2880</v>
      </c>
      <c r="E28" s="40" t="s">
        <v>2906</v>
      </c>
      <c r="F28" s="40" t="s">
        <v>87</v>
      </c>
      <c r="G28" s="43" t="s">
        <v>24</v>
      </c>
    </row>
  </sheetData>
  <mergeCells count="2">
    <mergeCell ref="A2:G2"/>
    <mergeCell ref="A1:G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55A11"/>
  </sheetPr>
  <dimension ref="A1:H38"/>
  <sheetViews>
    <sheetView showGridLines="0" workbookViewId="0"/>
  </sheetViews>
  <sheetFormatPr defaultRowHeight="15"/>
  <cols>
    <col min="1" max="1" width="36" customWidth="1"/>
    <col min="2" max="3" width="18" customWidth="1"/>
    <col min="4" max="5" width="22" customWidth="1"/>
    <col min="6" max="6" width="28" customWidth="1"/>
    <col min="7" max="7" width="36" customWidth="1"/>
    <col min="8" max="8" width="56" customWidth="1"/>
  </cols>
  <sheetData>
    <row r="1" spans="1:8" ht="26.1" customHeight="1">
      <c r="A1" s="71" t="s">
        <v>2907</v>
      </c>
      <c r="B1" s="80"/>
      <c r="C1" s="80"/>
      <c r="D1" s="80"/>
      <c r="E1" s="80"/>
      <c r="F1" s="80"/>
      <c r="G1" s="80"/>
      <c r="H1" s="80"/>
    </row>
    <row r="2" spans="1:8" ht="38.1" customHeight="1">
      <c r="A2" s="73" t="s">
        <v>2908</v>
      </c>
      <c r="B2" s="80"/>
      <c r="C2" s="80"/>
      <c r="D2" s="80"/>
      <c r="E2" s="80"/>
      <c r="F2" s="80"/>
      <c r="G2" s="80"/>
      <c r="H2" s="80"/>
    </row>
    <row r="4" spans="1:8" ht="24" customHeight="1">
      <c r="A4" s="39" t="s">
        <v>2909</v>
      </c>
      <c r="B4" s="39" t="s">
        <v>2910</v>
      </c>
      <c r="C4" s="39" t="s">
        <v>2911</v>
      </c>
      <c r="D4" s="39" t="s">
        <v>2912</v>
      </c>
    </row>
    <row r="5" spans="1:8">
      <c r="A5" s="40" t="s">
        <v>2913</v>
      </c>
      <c r="B5" s="40">
        <v>600</v>
      </c>
      <c r="C5" s="40">
        <f>COUNTIF('02-Printing Size'!B2:B2169,"&lt;0")+COUNTIF('02-Printing Size'!C2:C2169,"&lt;0")</f>
        <v>0</v>
      </c>
      <c r="D5" s="40" t="str">
        <f>IF(C5=0,"PASS","CHECK")</f>
        <v>PASS</v>
      </c>
      <c r="E5" s="63"/>
      <c r="F5" s="63"/>
      <c r="G5" s="63"/>
      <c r="H5" s="63"/>
    </row>
    <row r="6" spans="1:8">
      <c r="A6" s="40" t="s">
        <v>2914</v>
      </c>
      <c r="B6" s="40">
        <v>460</v>
      </c>
      <c r="C6" s="40">
        <f>COUNTIF('02-Printing Size'!H2:H2169,"SKIPPED - NONPOSITIVE")+COUNTIF('02-Printing Size'!H2:H2169,"ERROR - NONPOSITIVE")</f>
        <v>0</v>
      </c>
      <c r="D6" s="40" t="str">
        <f>IF(C6=0,"PASS","CHECK")</f>
        <v>PASS</v>
      </c>
      <c r="E6" s="63"/>
      <c r="F6" s="63"/>
      <c r="G6" s="63"/>
      <c r="H6" s="63"/>
    </row>
    <row r="7" spans="1:8">
      <c r="A7" s="40" t="s">
        <v>2915</v>
      </c>
      <c r="B7" s="40" t="s">
        <v>2916</v>
      </c>
      <c r="C7" s="40">
        <f>COUNTIF('02-Printing Size'!H2:H2169,"ERROR - ENTER BOTH")+COUNTIF('02-Printing Size'!H2:H2169,"ERROR - NONPOSITIVE")+COUNTIF('02-Printing Size'!H2:H2169,"ERROR - BELOW MIN")+COUNTIF('02-Printing Size'!H2:H2169,"ERROR - EXCEEDS BASE")+COUNTIF('02-Printing Size'!H2:H2169,"ERROR - EXCEEDS ROLL WIDTH")+COUNTIF('02-Printing Size'!H2:H2169,"ERROR - EXCEEDS BED")+COUNTIF('02-Printing Size'!H2:H2169,"ERROR - WHOLE MM ONLY")</f>
        <v>0</v>
      </c>
      <c r="D7" s="40" t="str">
        <f>IF(C7=0,"PASS","CHECK")</f>
        <v>PASS</v>
      </c>
      <c r="E7" s="63"/>
      <c r="F7" s="63"/>
      <c r="G7" s="63"/>
      <c r="H7" s="63"/>
    </row>
    <row r="8" spans="1:8">
      <c r="A8" s="40" t="s">
        <v>2917</v>
      </c>
      <c r="B8" s="40">
        <v>1394</v>
      </c>
      <c r="C8" s="40">
        <f>COUNT('02-Printing Size'!B2:B2169)</f>
        <v>1556</v>
      </c>
      <c r="D8" s="40" t="str">
        <f>IF(C8&gt;0,"INFO","CHECK")</f>
        <v>INFO</v>
      </c>
      <c r="E8" s="63"/>
      <c r="F8" s="63"/>
      <c r="G8" s="63"/>
      <c r="H8" s="63"/>
    </row>
    <row r="9" spans="1:8">
      <c r="A9" s="40" t="s">
        <v>2918</v>
      </c>
      <c r="B9" s="40">
        <v>512</v>
      </c>
      <c r="C9" s="40">
        <f>COUNTBLANK('02-Printing Size'!B2:B2169)</f>
        <v>612</v>
      </c>
      <c r="D9" s="40" t="str">
        <f>IF(C9&gt;=0,"INFO","CHECK")</f>
        <v>INFO</v>
      </c>
      <c r="E9" s="63"/>
      <c r="F9" s="63"/>
      <c r="G9" s="63"/>
      <c r="H9" s="63"/>
    </row>
    <row r="10" spans="1:8">
      <c r="A10" s="40" t="s">
        <v>2919</v>
      </c>
      <c r="B10" s="40" t="s">
        <v>2916</v>
      </c>
      <c r="C10" s="40">
        <f>COUNTIF('02-Printing Size'!H2:H2169,"SKIPPED - NONPOSITIVE")+COUNTIF('02-Printing Size'!H2:H2169,"SKIPPED - BELOW MIN")+COUNTIF('02-Printing Size'!H2:H2169,"SKIPPED - EXCEEDS BASE")+COUNTIF('02-Printing Size'!H2:H2169,"SKIPPED - DUPLICATE")</f>
        <v>14</v>
      </c>
      <c r="D10" s="40" t="str">
        <f>IF(C10&gt;=0,"INFO","CHECK")</f>
        <v>INFO</v>
      </c>
      <c r="E10" s="63"/>
      <c r="F10" s="63"/>
      <c r="G10" s="63"/>
      <c r="H10" s="63"/>
    </row>
    <row r="11" spans="1:8">
      <c r="A11" s="40" t="s">
        <v>2920</v>
      </c>
      <c r="B11" s="40" t="s">
        <v>2916</v>
      </c>
      <c r="C11" s="40">
        <f>COUNTIF('02-Printing Size'!H2:H2169,"CUSTOM BLANK")</f>
        <v>422</v>
      </c>
      <c r="D11" s="40" t="str">
        <f>IF(C11&gt;=15,"PASS","CHECK")</f>
        <v>PASS</v>
      </c>
      <c r="E11" s="63"/>
      <c r="F11" s="63"/>
      <c r="G11" s="63"/>
      <c r="H11" s="63"/>
    </row>
    <row r="12" spans="1:8">
      <c r="A12" s="40" t="s">
        <v>2921</v>
      </c>
      <c r="B12" s="40" t="s">
        <v>2922</v>
      </c>
      <c r="C12" s="40">
        <f>COUNTIF('02-Printing Size'!H2:H2169,"VALID - DUPLICATE SIZE")</f>
        <v>2</v>
      </c>
      <c r="D12" s="40" t="str">
        <f>IF(C12&gt;=0,"INFO","CHECK")</f>
        <v>INFO</v>
      </c>
      <c r="E12" s="63"/>
      <c r="F12" s="63"/>
      <c r="G12" s="63"/>
      <c r="H12" s="63"/>
    </row>
    <row r="13" spans="1:8">
      <c r="A13" s="40" t="s">
        <v>2923</v>
      </c>
      <c r="B13" s="40" t="s">
        <v>2924</v>
      </c>
      <c r="C13" s="40">
        <f>COUNTIF('02-Printing Size'!D2:D2169,"DTF")</f>
        <v>0</v>
      </c>
      <c r="D13" s="40" t="str">
        <f>IF(C13=0,"PASS","CHECK")</f>
        <v>PASS</v>
      </c>
      <c r="E13" s="63"/>
      <c r="F13" s="63"/>
      <c r="G13" s="63"/>
      <c r="H13" s="63"/>
    </row>
    <row r="14" spans="1:8">
      <c r="A14" s="40" t="s">
        <v>2925</v>
      </c>
      <c r="B14" s="40" t="s">
        <v>2926</v>
      </c>
      <c r="C14" s="40" t="s">
        <v>2927</v>
      </c>
      <c r="D14" s="40" t="s">
        <v>2928</v>
      </c>
      <c r="E14" s="63"/>
      <c r="F14" s="63"/>
      <c r="G14" s="63"/>
      <c r="H14" s="63"/>
    </row>
    <row r="15" spans="1:8" ht="24" customHeight="1">
      <c r="A15" s="64" t="s">
        <v>2929</v>
      </c>
      <c r="B15" s="64" t="s">
        <v>2930</v>
      </c>
      <c r="C15" s="64" t="s">
        <v>2931</v>
      </c>
      <c r="D15" s="64" t="s">
        <v>2932</v>
      </c>
      <c r="E15" s="64" t="s">
        <v>2933</v>
      </c>
      <c r="F15" s="64" t="s">
        <v>2934</v>
      </c>
      <c r="G15" s="63"/>
      <c r="H15" s="63"/>
    </row>
    <row r="16" spans="1:8">
      <c r="A16" s="63" t="s">
        <v>82</v>
      </c>
      <c r="B16" s="63">
        <f>COUNTIF('02-Printing Size'!D2:D2169,A16)</f>
        <v>1344</v>
      </c>
      <c r="C16" s="63">
        <f>COUNTIFS('02-Printing Size'!D2:D2169,A16,'02-Printing Size'!B2:B2169,"&gt;0")</f>
        <v>1330</v>
      </c>
      <c r="D16" s="63">
        <f>COUNTIFS('02-Printing Size'!D2:D2169,A16,'02-Printing Size'!H2:H2169,"VALID - BASE")+COUNTIFS('02-Printing Size'!D2:D2169,A16,'02-Printing Size'!H2:H2169,"VALID - GENERATED")+COUNTIFS('02-Printing Size'!D2:D2169,A16,'02-Printing Size'!H2:H2169,"VALID - SAFE")+COUNTIFS('02-Printing Size'!D2:D2169,A16,'02-Printing Size'!H2:H2169,"VALID - NOMINAL EDGE")+COUNTIFS('02-Printing Size'!D2:D2169,A16,'02-Printing Size'!H2:H2169,"VALID - CUSTOM")+COUNTIFS('02-Printing Size'!D2:D2169,A16,'02-Printing Size'!H2:H2169,"VALID - CUSTOM SAFE")+COUNTIFS('02-Printing Size'!D2:D2169,A16,'02-Printing Size'!H2:H2169,"VALID - CUSTOM NOMINAL EDGE")+COUNTIFS('02-Printing Size'!D2:D2169,A16,'02-Printing Size'!H2:H2169,"VALID - DUPLICATE SIZE")</f>
        <v>1330</v>
      </c>
      <c r="E16" s="63">
        <f>COUNTIFS('02-Printing Size'!D2:D2169,A16,'02-Printing Size'!H2:H2169,"ERROR - ENTER BOTH")+COUNTIFS('02-Printing Size'!D2:D2169,A16,'02-Printing Size'!H2:H2169,"ERROR - NONPOSITIVE")+COUNTIFS('02-Printing Size'!D2:D2169,A16,'02-Printing Size'!H2:H2169,"ERROR - BELOW MIN")+COUNTIFS('02-Printing Size'!D2:D2169,A16,'02-Printing Size'!H2:H2169,"ERROR - EXCEEDS BASE")+COUNTIFS('02-Printing Size'!D2:D2169,A16,'02-Printing Size'!H2:H2169,"ERROR - EXCEEDS ROLL WIDTH")+COUNTIFS('02-Printing Size'!D2:D2169,A16,'02-Printing Size'!H2:H2169,"ERROR - EXCEEDS BED")+COUNTIFS('02-Printing Size'!D2:D2169,A16,'02-Printing Size'!H2:H2169,"ERROR - WHOLE MM ONLY")</f>
        <v>0</v>
      </c>
      <c r="F16" s="63">
        <f>COUNTIFS('02-Printing Size'!D2:D2169,A16,'02-Printing Size'!H2:H2169,"CUSTOM BLANK")</f>
        <v>0</v>
      </c>
      <c r="G16" s="63" t="s">
        <v>2935</v>
      </c>
      <c r="H16" s="63"/>
    </row>
    <row r="17" spans="1:8">
      <c r="A17" s="63" t="s">
        <v>263</v>
      </c>
      <c r="B17" s="63">
        <f>COUNTIF('02-Printing Size'!D2:D2169,A17)</f>
        <v>360</v>
      </c>
      <c r="C17" s="63">
        <f>COUNTIFS('02-Printing Size'!D2:D2169,A17,'02-Printing Size'!B2:B2169,"&gt;0")</f>
        <v>0</v>
      </c>
      <c r="D17" s="63">
        <f>COUNTIFS('02-Printing Size'!D2:D2169,A17,'02-Printing Size'!H2:H2169,"VALID - BASE")+COUNTIFS('02-Printing Size'!D2:D2169,A17,'02-Printing Size'!H2:H2169,"VALID - GENERATED")+COUNTIFS('02-Printing Size'!D2:D2169,A17,'02-Printing Size'!H2:H2169,"VALID - SAFE")+COUNTIFS('02-Printing Size'!D2:D2169,A17,'02-Printing Size'!H2:H2169,"VALID - NOMINAL EDGE")+COUNTIFS('02-Printing Size'!D2:D2169,A17,'02-Printing Size'!H2:H2169,"VALID - CUSTOM")+COUNTIFS('02-Printing Size'!D2:D2169,A17,'02-Printing Size'!H2:H2169,"VALID - CUSTOM SAFE")+COUNTIFS('02-Printing Size'!D2:D2169,A17,'02-Printing Size'!H2:H2169,"VALID - CUSTOM NOMINAL EDGE")+COUNTIFS('02-Printing Size'!D2:D2169,A17,'02-Printing Size'!H2:H2169,"VALID - DUPLICATE SIZE")</f>
        <v>0</v>
      </c>
      <c r="E17" s="63">
        <f>COUNTIFS('02-Printing Size'!D2:D2169,A17,'02-Printing Size'!H2:H2169,"ERROR - ENTER BOTH")+COUNTIFS('02-Printing Size'!D2:D2169,A17,'02-Printing Size'!H2:H2169,"ERROR - NONPOSITIVE")+COUNTIFS('02-Printing Size'!D2:D2169,A17,'02-Printing Size'!H2:H2169,"ERROR - BELOW MIN")+COUNTIFS('02-Printing Size'!D2:D2169,A17,'02-Printing Size'!H2:H2169,"ERROR - EXCEEDS BASE")+COUNTIFS('02-Printing Size'!D2:D2169,A17,'02-Printing Size'!H2:H2169,"ERROR - EXCEEDS ROLL WIDTH")+COUNTIFS('02-Printing Size'!D2:D2169,A17,'02-Printing Size'!H2:H2169,"ERROR - EXCEEDS BED")+COUNTIFS('02-Printing Size'!D2:D2169,A17,'02-Printing Size'!H2:H2169,"ERROR - WHOLE MM ONLY")</f>
        <v>0</v>
      </c>
      <c r="F17" s="63">
        <f>COUNTIFS('02-Printing Size'!D2:D2169,A17,'02-Printing Size'!H2:H2169,"CUSTOM BLANK")</f>
        <v>360</v>
      </c>
      <c r="G17" s="63"/>
      <c r="H17" s="63"/>
    </row>
    <row r="18" spans="1:8">
      <c r="A18" s="63" t="s">
        <v>2936</v>
      </c>
      <c r="B18" s="63">
        <f>COUNTIF('02-Printing Size'!D2:D2169,"DTF")</f>
        <v>0</v>
      </c>
      <c r="C18" s="63">
        <f>COUNTIFS('02-Printing Size'!D2:D2169,"DTF",'02-Printing Size'!B2:B2169,"&gt;0")</f>
        <v>0</v>
      </c>
      <c r="D18" s="63">
        <f>COUNTIFS('02-Printing Size'!D2:D2169,"DTF",'02-Printing Size'!H2:H2169,"VALID - BASE")+COUNTIFS('02-Printing Size'!D2:D2169,"DTF",'02-Printing Size'!H2:H2169,"VALID - GENERATED")+COUNTIFS('02-Printing Size'!D2:D2169,"DTF",'02-Printing Size'!H2:H2169,"VALID - SAFE")+COUNTIFS('02-Printing Size'!D2:D2169,"DTF",'02-Printing Size'!H2:H2169,"VALID - NOMINAL EDGE")+COUNTIFS('02-Printing Size'!D2:D2169,"DTF",'02-Printing Size'!H2:H2169,"VALID - CUSTOM")</f>
        <v>0</v>
      </c>
      <c r="E18" s="63">
        <f>COUNTIFS('02-Printing Size'!D2:D2169,"DTF",'02-Printing Size'!H2:H2169,"ERROR - ENTER BOTH")+COUNTIFS('02-Printing Size'!D2:D2169,"DTF",'02-Printing Size'!H2:H2169,"ERROR - NONPOSITIVE")+COUNTIFS('02-Printing Size'!D2:D2169,"DTF",'02-Printing Size'!H2:H2169,"ERROR - BELOW MIN")+COUNTIFS('02-Printing Size'!D2:D2169,"DTF",'02-Printing Size'!H2:H2169,"ERROR - EXCEEDS ROLL WIDTH")+COUNTIFS('02-Printing Size'!D2:D2169,A18,'02-Printing Size'!H2:H2169,"ERROR - WHOLE MM ONLY")</f>
        <v>0</v>
      </c>
      <c r="F18" s="63">
        <f>COUNTIFS('02-Printing Size'!D2:D2169,"DTF",'02-Printing Size'!H2:H2169,"CUSTOM BLANK")</f>
        <v>0</v>
      </c>
      <c r="G18" s="63" t="s">
        <v>2937</v>
      </c>
      <c r="H18" s="63"/>
    </row>
    <row r="19" spans="1:8">
      <c r="A19" s="63" t="s">
        <v>30</v>
      </c>
      <c r="B19" s="63">
        <f>COUNTIF('02-Printing Size'!D2:D2169,A19)</f>
        <v>51</v>
      </c>
      <c r="C19" s="63">
        <f>COUNTIFS('02-Printing Size'!D2:D2169,A19,'02-Printing Size'!B2:B2169,"&gt;0")</f>
        <v>36</v>
      </c>
      <c r="D19" s="63">
        <f>COUNTIFS('02-Printing Size'!D2:D2169,A19,'02-Printing Size'!H2:H2169,"VALID - BASE")+COUNTIFS('02-Printing Size'!D2:D2169,A19,'02-Printing Size'!H2:H2169,"VALID - GENERATED")+COUNTIFS('02-Printing Size'!D2:D2169,A19,'02-Printing Size'!H2:H2169,"VALID - SAFE")+COUNTIFS('02-Printing Size'!D2:D2169,A19,'02-Printing Size'!H2:H2169,"VALID - NOMINAL EDGE")+COUNTIFS('02-Printing Size'!D2:D2169,A19,'02-Printing Size'!H2:H2169,"VALID - CUSTOM")+COUNTIFS('02-Printing Size'!D2:D2169,A19,'02-Printing Size'!H2:H2169,"VALID - CUSTOM SAFE")+COUNTIFS('02-Printing Size'!D2:D2169,A19,'02-Printing Size'!H2:H2169,"VALID - CUSTOM NOMINAL EDGE")+COUNTIFS('02-Printing Size'!D2:D2169,A19,'02-Printing Size'!H2:H2169,"VALID - DUPLICATE SIZE")</f>
        <v>36</v>
      </c>
      <c r="E19" s="63">
        <f>COUNTIFS('02-Printing Size'!D2:D2169,A19,'02-Printing Size'!H2:H2169,"ERROR - ENTER BOTH")+COUNTIFS('02-Printing Size'!D2:D2169,A19,'02-Printing Size'!H2:H2169,"ERROR - NONPOSITIVE")+COUNTIFS('02-Printing Size'!D2:D2169,A19,'02-Printing Size'!H2:H2169,"ERROR - BELOW MIN")+COUNTIFS('02-Printing Size'!D2:D2169,A19,'02-Printing Size'!H2:H2169,"ERROR - EXCEEDS BASE")+COUNTIFS('02-Printing Size'!D2:D2169,A19,'02-Printing Size'!H2:H2169,"ERROR - EXCEEDS ROLL WIDTH")+COUNTIFS('02-Printing Size'!D2:D2169,A19,'02-Printing Size'!H2:H2169,"ERROR - EXCEEDS BED")+COUNTIFS('02-Printing Size'!D2:D2169,A19,'02-Printing Size'!H2:H2169,"ERROR - WHOLE MM ONLY")</f>
        <v>0</v>
      </c>
      <c r="F19" s="63">
        <f>COUNTIFS('02-Printing Size'!D2:D2169,A19,'02-Printing Size'!H2:H2169,"CUSTOM BLANK")</f>
        <v>15</v>
      </c>
      <c r="G19" s="63"/>
      <c r="H19" s="63"/>
    </row>
    <row r="20" spans="1:8">
      <c r="A20" s="63" t="s">
        <v>36</v>
      </c>
      <c r="B20" s="63">
        <f>COUNTIF('02-Printing Size'!D2:D2169,A20)</f>
        <v>51</v>
      </c>
      <c r="C20" s="63">
        <f>COUNTIFS('02-Printing Size'!D2:D2169,A20,'02-Printing Size'!B2:B2169,"&gt;0")</f>
        <v>36</v>
      </c>
      <c r="D20" s="63">
        <f>COUNTIFS('02-Printing Size'!D2:D2169,A20,'02-Printing Size'!H2:H2169,"VALID - BASE")+COUNTIFS('02-Printing Size'!D2:D2169,A20,'02-Printing Size'!H2:H2169,"VALID - GENERATED")+COUNTIFS('02-Printing Size'!D2:D2169,A20,'02-Printing Size'!H2:H2169,"VALID - SAFE")+COUNTIFS('02-Printing Size'!D2:D2169,A20,'02-Printing Size'!H2:H2169,"VALID - NOMINAL EDGE")+COUNTIFS('02-Printing Size'!D2:D2169,A20,'02-Printing Size'!H2:H2169,"VALID - CUSTOM")+COUNTIFS('02-Printing Size'!D2:D2169,A20,'02-Printing Size'!H2:H2169,"VALID - CUSTOM SAFE")+COUNTIFS('02-Printing Size'!D2:D2169,A20,'02-Printing Size'!H2:H2169,"VALID - CUSTOM NOMINAL EDGE")+COUNTIFS('02-Printing Size'!D2:D2169,A20,'02-Printing Size'!H2:H2169,"VALID - DUPLICATE SIZE")</f>
        <v>36</v>
      </c>
      <c r="E20" s="63">
        <f>COUNTIFS('02-Printing Size'!D2:D2169,A20,'02-Printing Size'!H2:H2169,"ERROR - ENTER BOTH")+COUNTIFS('02-Printing Size'!D2:D2169,A20,'02-Printing Size'!H2:H2169,"ERROR - NONPOSITIVE")+COUNTIFS('02-Printing Size'!D2:D2169,A20,'02-Printing Size'!H2:H2169,"ERROR - BELOW MIN")+COUNTIFS('02-Printing Size'!D2:D2169,A20,'02-Printing Size'!H2:H2169,"ERROR - EXCEEDS BASE")+COUNTIFS('02-Printing Size'!D2:D2169,A20,'02-Printing Size'!H2:H2169,"ERROR - EXCEEDS ROLL WIDTH")+COUNTIFS('02-Printing Size'!D2:D2169,A20,'02-Printing Size'!H2:H2169,"ERROR - EXCEEDS BED")+COUNTIFS('02-Printing Size'!D2:D2169,A20,'02-Printing Size'!H2:H2169,"ERROR - WHOLE MM ONLY")</f>
        <v>0</v>
      </c>
      <c r="F20" s="63">
        <f>COUNTIFS('02-Printing Size'!D2:D2169,A20,'02-Printing Size'!H2:H2169,"CUSTOM BLANK")</f>
        <v>15</v>
      </c>
      <c r="G20" s="63"/>
      <c r="H20" s="63"/>
    </row>
    <row r="21" spans="1:8">
      <c r="A21" s="63" t="s">
        <v>47</v>
      </c>
      <c r="B21" s="63">
        <f>COUNTIF('02-Printing Size'!D2:D2169,A21)</f>
        <v>50</v>
      </c>
      <c r="C21" s="63">
        <f>COUNTIFS('02-Printing Size'!D2:D2169,A21,'02-Printing Size'!B2:B2169,"&gt;0")</f>
        <v>18</v>
      </c>
      <c r="D21" s="63">
        <f>COUNTIFS('02-Printing Size'!D2:D2169,A21,'02-Printing Size'!H2:H2169,"VALID - BASE")+COUNTIFS('02-Printing Size'!D2:D2169,A21,'02-Printing Size'!H2:H2169,"VALID - GENERATED")+COUNTIFS('02-Printing Size'!D2:D2169,A21,'02-Printing Size'!H2:H2169,"VALID - SAFE")+COUNTIFS('02-Printing Size'!D2:D2169,A21,'02-Printing Size'!H2:H2169,"VALID - NOMINAL EDGE")+COUNTIFS('02-Printing Size'!D2:D2169,A21,'02-Printing Size'!H2:H2169,"VALID - CUSTOM")+COUNTIFS('02-Printing Size'!D2:D2169,A21,'02-Printing Size'!H2:H2169,"VALID - CUSTOM SAFE")+COUNTIFS('02-Printing Size'!D2:D2169,A21,'02-Printing Size'!H2:H2169,"VALID - CUSTOM NOMINAL EDGE")+COUNTIFS('02-Printing Size'!D2:D2169,A21,'02-Printing Size'!H2:H2169,"VALID - DUPLICATE SIZE")</f>
        <v>18</v>
      </c>
      <c r="E21" s="63">
        <f>COUNTIFS('02-Printing Size'!D2:D2169,A21,'02-Printing Size'!H2:H2169,"ERROR - ENTER BOTH")+COUNTIFS('02-Printing Size'!D2:D2169,A21,'02-Printing Size'!H2:H2169,"ERROR - NONPOSITIVE")+COUNTIFS('02-Printing Size'!D2:D2169,A21,'02-Printing Size'!H2:H2169,"ERROR - BELOW MIN")+COUNTIFS('02-Printing Size'!D2:D2169,A21,'02-Printing Size'!H2:H2169,"ERROR - EXCEEDS BASE")+COUNTIFS('02-Printing Size'!D2:D2169,A21,'02-Printing Size'!H2:H2169,"ERROR - EXCEEDS ROLL WIDTH")+COUNTIFS('02-Printing Size'!D2:D2169,A21,'02-Printing Size'!H2:H2169,"ERROR - EXCEEDS BED")+COUNTIFS('02-Printing Size'!D2:D2169,A21,'02-Printing Size'!H2:H2169,"ERROR - WHOLE MM ONLY")</f>
        <v>0</v>
      </c>
      <c r="F21" s="63">
        <f>COUNTIFS('02-Printing Size'!D2:D2169,A21,'02-Printing Size'!H2:H2169,"CUSTOM BLANK")</f>
        <v>32</v>
      </c>
      <c r="G21" s="63"/>
      <c r="H21" s="63"/>
    </row>
    <row r="22" spans="1:8">
      <c r="A22" s="63" t="s">
        <v>41</v>
      </c>
      <c r="B22" s="63">
        <f>COUNTIF('02-Printing Size'!D2:D2169,A22)</f>
        <v>136</v>
      </c>
      <c r="C22" s="63">
        <f>COUNTIFS('02-Printing Size'!D2:D2169,A22,'02-Printing Size'!B2:B2169,"&gt;0")</f>
        <v>136</v>
      </c>
      <c r="D22" s="63">
        <f>COUNTIFS('02-Printing Size'!D2:D2169,A22,'02-Printing Size'!H2:H2169,"VALID - BASE")+COUNTIFS('02-Printing Size'!D2:D2169,A22,'02-Printing Size'!H2:H2169,"VALID - GENERATED")+COUNTIFS('02-Printing Size'!D2:D2169,A22,'02-Printing Size'!H2:H2169,"VALID - SAFE")+COUNTIFS('02-Printing Size'!D2:D2169,A22,'02-Printing Size'!H2:H2169,"VALID - NOMINAL EDGE")+COUNTIFS('02-Printing Size'!D2:D2169,A22,'02-Printing Size'!H2:H2169,"VALID - CUSTOM")+COUNTIFS('02-Printing Size'!D2:D2169,A22,'02-Printing Size'!H2:H2169,"VALID - CUSTOM SAFE")+COUNTIFS('02-Printing Size'!D2:D2169,A22,'02-Printing Size'!H2:H2169,"VALID - CUSTOM NOMINAL EDGE")+COUNTIFS('02-Printing Size'!D2:D2169,A22,'02-Printing Size'!H2:H2169,"VALID - DUPLICATE SIZE")</f>
        <v>136</v>
      </c>
      <c r="E22" s="63">
        <f>COUNTIFS('02-Printing Size'!D2:D2169,A22,'02-Printing Size'!H2:H2169,"ERROR - ENTER BOTH")+COUNTIFS('02-Printing Size'!D2:D2169,A22,'02-Printing Size'!H2:H2169,"ERROR - NONPOSITIVE")+COUNTIFS('02-Printing Size'!D2:D2169,A22,'02-Printing Size'!H2:H2169,"ERROR - BELOW MIN")+COUNTIFS('02-Printing Size'!D2:D2169,A22,'02-Printing Size'!H2:H2169,"ERROR - EXCEEDS BASE")+COUNTIFS('02-Printing Size'!D2:D2169,A22,'02-Printing Size'!H2:H2169,"ERROR - EXCEEDS ROLL WIDTH")+COUNTIFS('02-Printing Size'!D2:D2169,A22,'02-Printing Size'!H2:H2169,"ERROR - EXCEEDS BED")+COUNTIFS('02-Printing Size'!D2:D2169,A22,'02-Printing Size'!H2:H2169,"ERROR - WHOLE MM ONLY")</f>
        <v>0</v>
      </c>
      <c r="F22" s="63">
        <f>COUNTIFS('02-Printing Size'!D2:D2169,A22,'02-Printing Size'!H2:H2169,"CUSTOM BLANK")</f>
        <v>0</v>
      </c>
      <c r="G22" s="63"/>
      <c r="H22" s="63"/>
    </row>
    <row r="23" spans="1:8">
      <c r="A23" s="63"/>
      <c r="B23" s="63"/>
      <c r="C23" s="63"/>
      <c r="D23" s="63"/>
      <c r="E23" s="63"/>
      <c r="F23" s="63"/>
      <c r="G23" s="63"/>
      <c r="H23" s="63"/>
    </row>
    <row r="24" spans="1:8">
      <c r="A24" s="63"/>
      <c r="B24" s="63"/>
      <c r="C24" s="63"/>
      <c r="D24" s="63"/>
      <c r="E24" s="63"/>
      <c r="F24" s="63"/>
      <c r="G24" s="63"/>
      <c r="H24" s="63"/>
    </row>
    <row r="25" spans="1:8">
      <c r="A25" s="63"/>
      <c r="B25" s="63"/>
      <c r="C25" s="63"/>
      <c r="D25" s="63"/>
      <c r="E25" s="63"/>
      <c r="F25" s="63"/>
      <c r="G25" s="63"/>
      <c r="H25" s="63"/>
    </row>
    <row r="26" spans="1:8">
      <c r="A26" s="84" t="s">
        <v>2938</v>
      </c>
      <c r="B26" s="85"/>
      <c r="C26" s="85"/>
      <c r="D26" s="85"/>
      <c r="E26" s="85"/>
      <c r="F26" s="85"/>
      <c r="G26" s="85"/>
      <c r="H26" s="85"/>
    </row>
    <row r="27" spans="1:8" ht="24" customHeight="1">
      <c r="A27" s="64" t="s">
        <v>69</v>
      </c>
      <c r="B27" s="64" t="s">
        <v>72</v>
      </c>
      <c r="C27" s="64" t="s">
        <v>73</v>
      </c>
      <c r="D27" s="64" t="s">
        <v>2939</v>
      </c>
      <c r="E27" s="64" t="s">
        <v>2940</v>
      </c>
      <c r="F27" s="64" t="s">
        <v>2941</v>
      </c>
      <c r="G27" s="64" t="s">
        <v>2942</v>
      </c>
      <c r="H27" s="64" t="s">
        <v>2943</v>
      </c>
    </row>
    <row r="28" spans="1:8">
      <c r="A28" s="40" t="s">
        <v>2944</v>
      </c>
      <c r="B28" s="40" t="s">
        <v>2945</v>
      </c>
      <c r="C28" s="40" t="s">
        <v>2946</v>
      </c>
      <c r="D28" s="40" t="s">
        <v>2947</v>
      </c>
      <c r="E28" s="40" t="s">
        <v>2948</v>
      </c>
      <c r="F28" s="40" t="s">
        <v>98</v>
      </c>
      <c r="G28" s="40" t="s">
        <v>2949</v>
      </c>
      <c r="H28" s="40" t="s">
        <v>24</v>
      </c>
    </row>
    <row r="29" spans="1:8">
      <c r="A29" s="40" t="s">
        <v>30</v>
      </c>
      <c r="B29" s="40">
        <f>'01-Process Controls'!D7</f>
        <v>600</v>
      </c>
      <c r="C29" s="40">
        <f>'01-Process Controls'!E7</f>
        <v>900</v>
      </c>
      <c r="D29" s="40">
        <f>'01-Process Controls'!F7</f>
        <v>900</v>
      </c>
      <c r="E29" s="40">
        <f>'01-Process Controls'!H7</f>
        <v>10</v>
      </c>
      <c r="F29" s="40" t="str">
        <f>'01-Process Controls'!J7</f>
        <v>No</v>
      </c>
      <c r="G29" s="40" t="s">
        <v>2950</v>
      </c>
      <c r="H29" s="40" t="str">
        <f>'01-Process Controls'!K7</f>
        <v>Nominal 600 x 900 mm copied from the original workbook. Confirm printable area, jig and object-height limits. Production dimensions round down to whole millimetres.</v>
      </c>
    </row>
    <row r="30" spans="1:8">
      <c r="A30" s="40" t="s">
        <v>36</v>
      </c>
      <c r="B30" s="40">
        <f>'01-Process Controls'!D8</f>
        <v>1300</v>
      </c>
      <c r="C30" s="40">
        <f>'01-Process Controls'!E8</f>
        <v>900</v>
      </c>
      <c r="D30" s="40">
        <f>'01-Process Controls'!F8</f>
        <v>900</v>
      </c>
      <c r="E30" s="40">
        <f>'01-Process Controls'!H8</f>
        <v>10</v>
      </c>
      <c r="F30" s="40" t="str">
        <f>'01-Process Controls'!J8</f>
        <v>No</v>
      </c>
      <c r="G30" s="40" t="s">
        <v>2950</v>
      </c>
      <c r="H30" s="40" t="str">
        <f>'01-Process Controls'!K8</f>
        <v>Nominal 1300 x 900 mm copied from the original workbook. LCCO2 size codes round down to whole millimetres; keep kerf and precise vector geometry in the laser/CAD file.</v>
      </c>
    </row>
    <row r="31" spans="1:8">
      <c r="A31" s="40" t="s">
        <v>41</v>
      </c>
      <c r="B31" s="40">
        <f>'01-Process Controls'!D9</f>
        <v>1600</v>
      </c>
      <c r="C31" s="40">
        <f>'01-Process Controls'!E9</f>
        <v>0</v>
      </c>
      <c r="D31" s="40">
        <f>'01-Process Controls'!F9</f>
        <v>1000</v>
      </c>
      <c r="E31" s="40">
        <f>'01-Process Controls'!H9</f>
        <v>10</v>
      </c>
      <c r="F31" s="40" t="str">
        <f>'01-Process Controls'!J9</f>
        <v>No</v>
      </c>
      <c r="G31" s="40" t="s">
        <v>2950</v>
      </c>
      <c r="H31" s="40" t="str">
        <f>'01-Process Controls'!K9</f>
        <v>1600 mm is treated as cross-roll printable width. Feed length is variable; 1000 mm is only the default panel. Production dimensions round down to whole millimetres.</v>
      </c>
    </row>
    <row r="33" spans="1:8">
      <c r="A33" s="79" t="s">
        <v>2951</v>
      </c>
      <c r="B33" s="85"/>
      <c r="C33" s="85"/>
      <c r="D33" s="85"/>
      <c r="E33" s="85"/>
      <c r="F33" s="85"/>
      <c r="G33" s="85"/>
      <c r="H33" s="85"/>
    </row>
    <row r="34" spans="1:8" ht="24" customHeight="1">
      <c r="A34" s="64" t="s">
        <v>2909</v>
      </c>
      <c r="B34" s="64" t="s">
        <v>2952</v>
      </c>
      <c r="C34" s="64" t="s">
        <v>2953</v>
      </c>
      <c r="D34" s="64" t="s">
        <v>2912</v>
      </c>
      <c r="E34" s="64" t="s">
        <v>2954</v>
      </c>
      <c r="F34" s="64"/>
      <c r="G34" s="64"/>
      <c r="H34" s="64"/>
    </row>
    <row r="35" spans="1:8">
      <c r="A35" s="40" t="s">
        <v>2955</v>
      </c>
      <c r="B35" s="40">
        <v>81</v>
      </c>
      <c r="C35" s="40">
        <f>COUNTA('03-POD Product Guide'!$A$155:$A$235)</f>
        <v>81</v>
      </c>
      <c r="D35" s="40" t="str">
        <f>IF(B35=C35,"PASS","CHECK")</f>
        <v>PASS</v>
      </c>
      <c r="E35" s="40" t="s">
        <v>2956</v>
      </c>
      <c r="F35" s="40"/>
      <c r="G35" s="40"/>
      <c r="H35" s="40"/>
    </row>
    <row r="36" spans="1:8">
      <c r="A36" s="40" t="s">
        <v>2957</v>
      </c>
      <c r="B36" s="40">
        <v>81</v>
      </c>
      <c r="C36" s="40">
        <f>COUNTIF('03-POD Product Guide'!$Q$155:$Q$235,"VALID - LOWEST PAPER")</f>
        <v>81</v>
      </c>
      <c r="D36" s="40" t="str">
        <f>IF(B36=C36,"PASS","CHECK")</f>
        <v>PASS</v>
      </c>
      <c r="E36" s="40" t="s">
        <v>2958</v>
      </c>
      <c r="F36" s="40"/>
      <c r="G36" s="40"/>
      <c r="H36" s="40"/>
    </row>
    <row r="37" spans="1:8">
      <c r="A37" s="40" t="s">
        <v>2959</v>
      </c>
      <c r="B37" s="40">
        <v>3</v>
      </c>
      <c r="C37" s="40">
        <f>COUNTIFS('03-POD Product Guide'!$B$155:$B$235,"Baby bodysuit",'03-POD Product Guide'!$D$155:$D$235,"0-6 months",'03-POD Product Guide'!$G$155:$G$235,"Front centre",'03-POD Product Guide'!$K$155:$K$235,"A5")+COUNTIFS('03-POD Product Guide'!$B$155:$B$235,"Baby bodysuit",'03-POD Product Guide'!$D$155:$D$235,"6-12 months",'03-POD Product Guide'!$G$155:$G$235,"Front centre",'03-POD Product Guide'!$K$155:$K$235,"B5")+COUNTIFS('03-POD Product Guide'!$B$155:$B$235,"Baby bodysuit",'03-POD Product Guide'!$D$155:$D$235,"12-24 months",'03-POD Product Guide'!$G$155:$G$235,"Front centre",'03-POD Product Guide'!$K$155:$K$235,"A4")</f>
        <v>3</v>
      </c>
      <c r="D37" s="40" t="str">
        <f>IF(B37=C37,"PASS","CHECK")</f>
        <v>PASS</v>
      </c>
      <c r="E37" s="40" t="s">
        <v>2960</v>
      </c>
      <c r="F37" s="40"/>
      <c r="G37" s="40"/>
      <c r="H37" s="40"/>
    </row>
    <row r="38" spans="1:8">
      <c r="A38" s="40" t="s">
        <v>2961</v>
      </c>
      <c r="B38" s="40">
        <v>0</v>
      </c>
      <c r="C38" s="40">
        <f>COUNTIF('03-POD Product Guide'!$Q$155:$Q$235,"REVIEW - NO PAPER FIT")+COUNTIF('03-POD Product Guide'!$Q$155:$Q$235,"ERROR - CODE MISSING")+COUNTIF('03-POD Product Guide'!$Q$155:$Q$235,"ERROR - FIT")</f>
        <v>0</v>
      </c>
      <c r="D38" s="40" t="str">
        <f>IF(B38=C38,"PASS","CHECK")</f>
        <v>PASS</v>
      </c>
      <c r="E38" s="40" t="s">
        <v>2962</v>
      </c>
      <c r="F38" s="40"/>
      <c r="G38" s="40"/>
      <c r="H38" s="40"/>
    </row>
  </sheetData>
  <mergeCells count="4">
    <mergeCell ref="A33:H33"/>
    <mergeCell ref="A26:H26"/>
    <mergeCell ref="A2:H2"/>
    <mergeCell ref="A1:H1"/>
  </mergeCells>
  <conditionalFormatting sqref="D5:D12">
    <cfRule type="expression" dxfId="4" priority="1">
      <formula>ISNUMBER(SEARCH("ERROR",D5))</formula>
    </cfRule>
    <cfRule type="expression" dxfId="3" priority="2">
      <formula>ISNUMBER(SEARCH("NOMINAL EDGE",D5))</formula>
    </cfRule>
    <cfRule type="expression" dxfId="2" priority="3">
      <formula>LEFT(D5,5)="VALID"</formula>
    </cfRule>
    <cfRule type="expression" dxfId="1" priority="4">
      <formula>LEFT(D5,7)="CUSTOM "</formula>
    </cfRule>
    <cfRule type="expression" dxfId="0" priority="5">
      <formula>LEFT(D5,7)="SKIPPED"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1:H1907"/>
  <sheetViews>
    <sheetView workbookViewId="0"/>
  </sheetViews>
  <sheetFormatPr defaultRowHeight="15"/>
  <cols>
    <col min="1" max="1" width="21.5703125" style="1" customWidth="1"/>
    <col min="2" max="2" width="20.5703125" style="1" customWidth="1"/>
    <col min="3" max="3" width="19" style="1" customWidth="1"/>
    <col min="5" max="5" width="23.85546875" customWidth="1"/>
    <col min="6" max="6" width="14.85546875" customWidth="1"/>
    <col min="7" max="7" width="21.7109375" customWidth="1"/>
    <col min="8" max="8" width="45.28515625" customWidth="1"/>
  </cols>
  <sheetData>
    <row r="1" spans="1:8" ht="15.75" customHeight="1">
      <c r="A1" s="66" t="s">
        <v>100</v>
      </c>
      <c r="B1" s="66" t="s">
        <v>101</v>
      </c>
      <c r="C1" s="66" t="s">
        <v>102</v>
      </c>
      <c r="E1" s="66" t="s">
        <v>100</v>
      </c>
      <c r="F1" s="66" t="s">
        <v>101</v>
      </c>
      <c r="G1" s="66" t="s">
        <v>102</v>
      </c>
      <c r="H1" s="66" t="s">
        <v>2963</v>
      </c>
    </row>
    <row r="2" spans="1:8">
      <c r="A2" s="2" t="s">
        <v>120</v>
      </c>
      <c r="B2" s="2">
        <v>841</v>
      </c>
      <c r="C2" s="2">
        <v>1189</v>
      </c>
      <c r="E2" s="3" t="s">
        <v>120</v>
      </c>
      <c r="F2" s="3">
        <v>841</v>
      </c>
      <c r="G2" s="3">
        <v>1189</v>
      </c>
      <c r="H2" s="3" t="s">
        <v>2964</v>
      </c>
    </row>
    <row r="3" spans="1:8">
      <c r="A3" s="1" t="s">
        <v>125</v>
      </c>
      <c r="B3" s="1">
        <v>280.33333333333331</v>
      </c>
      <c r="C3" s="1">
        <v>1189</v>
      </c>
      <c r="E3" s="3" t="s">
        <v>282</v>
      </c>
      <c r="F3" s="3">
        <v>594</v>
      </c>
      <c r="G3" s="3">
        <v>841</v>
      </c>
      <c r="H3" s="3" t="s">
        <v>2965</v>
      </c>
    </row>
    <row r="4" spans="1:8">
      <c r="A4" s="1" t="s">
        <v>128</v>
      </c>
      <c r="B4" s="1">
        <v>841</v>
      </c>
      <c r="C4" s="1">
        <v>841</v>
      </c>
      <c r="E4" s="3" t="s">
        <v>356</v>
      </c>
      <c r="F4" s="3">
        <v>420</v>
      </c>
      <c r="G4" s="3">
        <v>594</v>
      </c>
      <c r="H4" s="3" t="s">
        <v>2966</v>
      </c>
    </row>
    <row r="5" spans="1:8">
      <c r="A5" s="1" t="s">
        <v>131</v>
      </c>
      <c r="B5" s="1">
        <v>841</v>
      </c>
      <c r="C5" s="1">
        <v>420.5</v>
      </c>
      <c r="E5" s="3" t="s">
        <v>430</v>
      </c>
      <c r="F5" s="3">
        <v>297</v>
      </c>
      <c r="G5" s="3">
        <v>420</v>
      </c>
      <c r="H5" s="3" t="s">
        <v>2967</v>
      </c>
    </row>
    <row r="6" spans="1:8">
      <c r="A6" s="1" t="s">
        <v>134</v>
      </c>
      <c r="B6" s="1">
        <v>841</v>
      </c>
      <c r="C6" s="1">
        <v>297.25</v>
      </c>
      <c r="E6" s="3" t="s">
        <v>504</v>
      </c>
      <c r="F6" s="3">
        <v>210</v>
      </c>
      <c r="G6" s="3">
        <v>297</v>
      </c>
      <c r="H6" s="3" t="s">
        <v>2968</v>
      </c>
    </row>
    <row r="7" spans="1:8">
      <c r="A7" s="1" t="s">
        <v>137</v>
      </c>
      <c r="B7" s="1">
        <v>280.33333333333331</v>
      </c>
      <c r="C7" s="1">
        <v>420.5</v>
      </c>
      <c r="E7" s="3" t="s">
        <v>578</v>
      </c>
      <c r="F7" s="3">
        <v>148</v>
      </c>
      <c r="G7" s="3">
        <v>210</v>
      </c>
      <c r="H7" s="3" t="s">
        <v>2969</v>
      </c>
    </row>
    <row r="8" spans="1:8">
      <c r="A8" s="1" t="s">
        <v>140</v>
      </c>
      <c r="B8" s="1">
        <v>420.5</v>
      </c>
      <c r="C8" s="1">
        <v>420.5</v>
      </c>
      <c r="E8" s="3" t="s">
        <v>652</v>
      </c>
      <c r="F8" s="3">
        <v>105</v>
      </c>
      <c r="G8" s="3">
        <v>148</v>
      </c>
      <c r="H8" s="3" t="s">
        <v>2970</v>
      </c>
    </row>
    <row r="9" spans="1:8">
      <c r="A9" s="1" t="s">
        <v>143</v>
      </c>
      <c r="B9" s="1">
        <v>841</v>
      </c>
      <c r="C9" s="1">
        <v>1129</v>
      </c>
      <c r="E9" s="3" t="s">
        <v>726</v>
      </c>
      <c r="F9" s="3">
        <v>74</v>
      </c>
      <c r="G9" s="3">
        <v>105</v>
      </c>
      <c r="H9" s="3" t="s">
        <v>2971</v>
      </c>
    </row>
    <row r="10" spans="1:8">
      <c r="A10" s="1" t="s">
        <v>146</v>
      </c>
      <c r="B10" s="1">
        <v>280.33333333333331</v>
      </c>
      <c r="C10" s="1">
        <v>1149</v>
      </c>
      <c r="E10" s="3" t="s">
        <v>800</v>
      </c>
      <c r="F10" s="3">
        <v>52</v>
      </c>
      <c r="G10" s="3">
        <v>74</v>
      </c>
      <c r="H10" s="3" t="s">
        <v>2972</v>
      </c>
    </row>
    <row r="11" spans="1:8">
      <c r="A11" s="1" t="s">
        <v>149</v>
      </c>
      <c r="B11" s="1">
        <v>280.33333333333331</v>
      </c>
      <c r="C11" s="1">
        <v>1129</v>
      </c>
      <c r="E11" s="3" t="s">
        <v>874</v>
      </c>
      <c r="F11" s="3">
        <v>37</v>
      </c>
      <c r="G11" s="3">
        <v>52</v>
      </c>
      <c r="H11" s="3" t="s">
        <v>2973</v>
      </c>
    </row>
    <row r="12" spans="1:8">
      <c r="A12" s="1" t="s">
        <v>152</v>
      </c>
      <c r="B12" s="1">
        <v>841</v>
      </c>
      <c r="C12" s="1">
        <v>1149</v>
      </c>
      <c r="E12" s="3" t="s">
        <v>948</v>
      </c>
      <c r="F12" s="3">
        <v>26</v>
      </c>
      <c r="G12" s="3">
        <v>37</v>
      </c>
      <c r="H12" s="3" t="s">
        <v>2974</v>
      </c>
    </row>
    <row r="13" spans="1:8">
      <c r="A13" s="1" t="s">
        <v>155</v>
      </c>
      <c r="B13" s="1">
        <v>821</v>
      </c>
      <c r="C13" s="1">
        <v>1169</v>
      </c>
      <c r="E13" s="3"/>
      <c r="F13" s="3"/>
      <c r="G13" s="3"/>
      <c r="H13" s="3"/>
    </row>
    <row r="14" spans="1:8">
      <c r="A14" s="1" t="s">
        <v>158</v>
      </c>
      <c r="B14" s="1">
        <v>801</v>
      </c>
      <c r="C14" s="1">
        <v>1149</v>
      </c>
      <c r="E14" s="3" t="s">
        <v>1684</v>
      </c>
      <c r="F14" s="3">
        <v>1000</v>
      </c>
      <c r="G14" s="3">
        <v>1414</v>
      </c>
      <c r="H14" s="3" t="s">
        <v>2975</v>
      </c>
    </row>
    <row r="15" spans="1:8">
      <c r="A15" s="1" t="s">
        <v>161</v>
      </c>
      <c r="B15" s="1">
        <v>781</v>
      </c>
      <c r="C15" s="1">
        <v>1129</v>
      </c>
      <c r="E15" s="3" t="s">
        <v>1758</v>
      </c>
      <c r="F15" s="3">
        <v>707</v>
      </c>
      <c r="G15" s="3">
        <v>1000</v>
      </c>
      <c r="H15" s="3" t="s">
        <v>2976</v>
      </c>
    </row>
    <row r="16" spans="1:8">
      <c r="A16" s="1" t="s">
        <v>164</v>
      </c>
      <c r="B16" s="1">
        <v>761</v>
      </c>
      <c r="C16" s="1">
        <v>1109</v>
      </c>
      <c r="E16" s="3" t="s">
        <v>1832</v>
      </c>
      <c r="F16" s="3">
        <v>500</v>
      </c>
      <c r="G16" s="3">
        <v>707</v>
      </c>
      <c r="H16" s="3" t="s">
        <v>2977</v>
      </c>
    </row>
    <row r="17" spans="1:8">
      <c r="A17" s="1" t="s">
        <v>167</v>
      </c>
      <c r="B17" s="1">
        <v>741</v>
      </c>
      <c r="C17" s="1">
        <v>1089</v>
      </c>
      <c r="E17" s="3" t="s">
        <v>1906</v>
      </c>
      <c r="F17" s="3">
        <v>353</v>
      </c>
      <c r="G17" s="3">
        <v>500</v>
      </c>
      <c r="H17" s="3" t="s">
        <v>2978</v>
      </c>
    </row>
    <row r="18" spans="1:8">
      <c r="A18" s="1" t="s">
        <v>169</v>
      </c>
      <c r="B18" s="1">
        <v>721</v>
      </c>
      <c r="C18" s="1">
        <v>1069</v>
      </c>
      <c r="E18" s="3" t="s">
        <v>1980</v>
      </c>
      <c r="F18" s="3">
        <v>250</v>
      </c>
      <c r="G18" s="3">
        <v>353</v>
      </c>
      <c r="H18" s="3" t="s">
        <v>2979</v>
      </c>
    </row>
    <row r="19" spans="1:8">
      <c r="A19" s="1" t="s">
        <v>171</v>
      </c>
      <c r="B19" s="1">
        <v>701</v>
      </c>
      <c r="C19" s="1">
        <v>1049</v>
      </c>
      <c r="E19" s="3" t="s">
        <v>2054</v>
      </c>
      <c r="F19" s="3">
        <v>176</v>
      </c>
      <c r="G19" s="3">
        <v>250</v>
      </c>
      <c r="H19" s="3" t="s">
        <v>2980</v>
      </c>
    </row>
    <row r="20" spans="1:8">
      <c r="A20" s="1" t="s">
        <v>173</v>
      </c>
      <c r="B20" s="1">
        <v>821</v>
      </c>
      <c r="C20" s="1">
        <v>821</v>
      </c>
      <c r="E20" s="3" t="s">
        <v>2128</v>
      </c>
      <c r="F20" s="3">
        <v>125</v>
      </c>
      <c r="G20" s="3">
        <v>176</v>
      </c>
      <c r="H20" s="3" t="s">
        <v>2981</v>
      </c>
    </row>
    <row r="21" spans="1:8">
      <c r="A21" s="1" t="s">
        <v>175</v>
      </c>
      <c r="B21" s="1">
        <v>801</v>
      </c>
      <c r="C21" s="1">
        <v>801</v>
      </c>
      <c r="E21" s="3" t="s">
        <v>2202</v>
      </c>
      <c r="F21" s="3">
        <v>88</v>
      </c>
      <c r="G21" s="3">
        <v>125</v>
      </c>
      <c r="H21" s="3" t="s">
        <v>2982</v>
      </c>
    </row>
    <row r="22" spans="1:8">
      <c r="A22" s="1" t="s">
        <v>177</v>
      </c>
      <c r="B22" s="1">
        <v>781</v>
      </c>
      <c r="C22" s="1">
        <v>781</v>
      </c>
      <c r="E22" s="3" t="s">
        <v>2276</v>
      </c>
      <c r="F22" s="3">
        <v>62</v>
      </c>
      <c r="G22" s="3">
        <v>88</v>
      </c>
      <c r="H22" s="3" t="s">
        <v>2983</v>
      </c>
    </row>
    <row r="23" spans="1:8">
      <c r="A23" s="1" t="s">
        <v>179</v>
      </c>
      <c r="B23" s="1">
        <v>761</v>
      </c>
      <c r="C23" s="1">
        <v>761</v>
      </c>
      <c r="E23" s="3" t="s">
        <v>2350</v>
      </c>
      <c r="F23" s="3">
        <v>44</v>
      </c>
      <c r="G23" s="3">
        <v>62</v>
      </c>
      <c r="H23" s="3" t="s">
        <v>2984</v>
      </c>
    </row>
    <row r="24" spans="1:8">
      <c r="A24" s="1" t="s">
        <v>181</v>
      </c>
      <c r="B24" s="1">
        <v>741</v>
      </c>
      <c r="C24" s="1">
        <v>741</v>
      </c>
      <c r="E24" s="3" t="s">
        <v>2424</v>
      </c>
      <c r="F24" s="3">
        <v>31</v>
      </c>
      <c r="G24" s="3">
        <v>44</v>
      </c>
      <c r="H24" s="3" t="s">
        <v>2985</v>
      </c>
    </row>
    <row r="25" spans="1:8">
      <c r="A25" s="1" t="s">
        <v>184</v>
      </c>
      <c r="B25" s="1">
        <v>721</v>
      </c>
      <c r="C25" s="1">
        <v>721</v>
      </c>
    </row>
    <row r="26" spans="1:8">
      <c r="A26" s="1" t="s">
        <v>187</v>
      </c>
      <c r="B26" s="1">
        <v>701</v>
      </c>
      <c r="C26" s="1">
        <v>701</v>
      </c>
    </row>
    <row r="27" spans="1:8">
      <c r="A27" s="1" t="s">
        <v>189</v>
      </c>
      <c r="B27" s="1">
        <v>681</v>
      </c>
      <c r="C27" s="1">
        <v>681</v>
      </c>
    </row>
    <row r="28" spans="1:8">
      <c r="A28" s="1" t="s">
        <v>191</v>
      </c>
      <c r="B28" s="1">
        <v>661</v>
      </c>
      <c r="C28" s="1">
        <v>661</v>
      </c>
    </row>
    <row r="29" spans="1:8">
      <c r="A29" s="1" t="s">
        <v>193</v>
      </c>
      <c r="B29" s="1">
        <v>641</v>
      </c>
      <c r="C29" s="1">
        <v>641</v>
      </c>
    </row>
    <row r="30" spans="1:8">
      <c r="A30" s="1" t="s">
        <v>195</v>
      </c>
      <c r="B30" s="1">
        <v>821</v>
      </c>
      <c r="C30" s="1">
        <v>1189</v>
      </c>
    </row>
    <row r="31" spans="1:8">
      <c r="A31" s="1" t="s">
        <v>197</v>
      </c>
      <c r="B31" s="1">
        <v>801</v>
      </c>
      <c r="C31" s="1">
        <v>1189</v>
      </c>
    </row>
    <row r="32" spans="1:8">
      <c r="A32" s="1" t="s">
        <v>199</v>
      </c>
      <c r="B32" s="1">
        <v>781</v>
      </c>
      <c r="C32" s="1">
        <v>1189</v>
      </c>
    </row>
    <row r="33" spans="1:3">
      <c r="A33" s="1" t="s">
        <v>201</v>
      </c>
      <c r="B33" s="1">
        <v>761</v>
      </c>
      <c r="C33" s="1">
        <v>1189</v>
      </c>
    </row>
    <row r="34" spans="1:3">
      <c r="A34" s="1" t="s">
        <v>203</v>
      </c>
      <c r="B34" s="1">
        <v>741</v>
      </c>
      <c r="C34" s="1">
        <v>1189</v>
      </c>
    </row>
    <row r="35" spans="1:3">
      <c r="A35" s="1" t="s">
        <v>205</v>
      </c>
      <c r="B35" s="1">
        <v>721</v>
      </c>
      <c r="C35" s="1">
        <v>1189</v>
      </c>
    </row>
    <row r="36" spans="1:3">
      <c r="A36" s="1" t="s">
        <v>207</v>
      </c>
      <c r="B36" s="1">
        <v>701</v>
      </c>
      <c r="C36" s="1">
        <v>1189</v>
      </c>
    </row>
    <row r="37" spans="1:3">
      <c r="A37" s="1" t="s">
        <v>209</v>
      </c>
      <c r="B37" s="1">
        <v>681</v>
      </c>
      <c r="C37" s="1">
        <v>1189</v>
      </c>
    </row>
    <row r="38" spans="1:3">
      <c r="A38" s="1" t="s">
        <v>211</v>
      </c>
      <c r="B38" s="1">
        <v>661</v>
      </c>
      <c r="C38" s="1">
        <v>1189</v>
      </c>
    </row>
    <row r="39" spans="1:3">
      <c r="A39" s="1" t="s">
        <v>214</v>
      </c>
      <c r="B39" s="1">
        <v>641</v>
      </c>
      <c r="C39" s="1">
        <v>1189</v>
      </c>
    </row>
    <row r="40" spans="1:3">
      <c r="A40" s="1" t="s">
        <v>217</v>
      </c>
      <c r="B40" s="1">
        <v>621</v>
      </c>
      <c r="C40" s="1">
        <v>1189</v>
      </c>
    </row>
    <row r="41" spans="1:3">
      <c r="A41" s="1" t="s">
        <v>220</v>
      </c>
      <c r="B41" s="1">
        <v>601</v>
      </c>
      <c r="C41" s="1">
        <v>1189</v>
      </c>
    </row>
    <row r="42" spans="1:3">
      <c r="A42" s="1" t="s">
        <v>222</v>
      </c>
      <c r="B42" s="1">
        <v>581</v>
      </c>
      <c r="C42" s="1">
        <v>1189</v>
      </c>
    </row>
    <row r="43" spans="1:3">
      <c r="A43" s="1" t="s">
        <v>224</v>
      </c>
      <c r="B43" s="1">
        <v>561</v>
      </c>
      <c r="C43" s="1">
        <v>1189</v>
      </c>
    </row>
    <row r="44" spans="1:3">
      <c r="A44" s="1" t="s">
        <v>226</v>
      </c>
      <c r="B44" s="1">
        <v>841</v>
      </c>
      <c r="C44" s="1">
        <v>1169</v>
      </c>
    </row>
    <row r="45" spans="1:3">
      <c r="A45" s="1" t="s">
        <v>228</v>
      </c>
      <c r="B45" s="1">
        <v>841</v>
      </c>
      <c r="C45" s="1">
        <v>1149</v>
      </c>
    </row>
    <row r="46" spans="1:3">
      <c r="A46" s="1" t="s">
        <v>230</v>
      </c>
      <c r="B46" s="1">
        <v>841</v>
      </c>
      <c r="C46" s="1">
        <v>1129</v>
      </c>
    </row>
    <row r="47" spans="1:3">
      <c r="A47" s="1" t="s">
        <v>232</v>
      </c>
      <c r="B47" s="1">
        <v>841</v>
      </c>
      <c r="C47" s="1">
        <v>1109</v>
      </c>
    </row>
    <row r="48" spans="1:3">
      <c r="A48" s="1" t="s">
        <v>234</v>
      </c>
      <c r="B48" s="1">
        <v>841</v>
      </c>
      <c r="C48" s="1">
        <v>1089</v>
      </c>
    </row>
    <row r="49" spans="1:3">
      <c r="A49" s="1" t="s">
        <v>236</v>
      </c>
      <c r="B49" s="1">
        <v>841</v>
      </c>
      <c r="C49" s="1">
        <v>1069</v>
      </c>
    </row>
    <row r="50" spans="1:3">
      <c r="A50" s="1" t="s">
        <v>238</v>
      </c>
      <c r="B50" s="1">
        <v>841</v>
      </c>
      <c r="C50" s="1">
        <v>1049</v>
      </c>
    </row>
    <row r="51" spans="1:3">
      <c r="A51" s="1" t="s">
        <v>241</v>
      </c>
      <c r="B51" s="1">
        <v>841</v>
      </c>
      <c r="C51" s="1">
        <v>1029</v>
      </c>
    </row>
    <row r="52" spans="1:3">
      <c r="A52" s="1" t="s">
        <v>244</v>
      </c>
      <c r="B52" s="1">
        <v>841</v>
      </c>
      <c r="C52" s="1">
        <v>1009</v>
      </c>
    </row>
    <row r="53" spans="1:3">
      <c r="A53" s="1" t="s">
        <v>247</v>
      </c>
      <c r="B53" s="1">
        <v>841</v>
      </c>
      <c r="C53" s="1">
        <v>989</v>
      </c>
    </row>
    <row r="54" spans="1:3">
      <c r="A54" s="1" t="s">
        <v>250</v>
      </c>
      <c r="B54" s="1">
        <v>841</v>
      </c>
      <c r="C54" s="1">
        <v>969</v>
      </c>
    </row>
    <row r="55" spans="1:3">
      <c r="A55" s="1" t="s">
        <v>253</v>
      </c>
      <c r="B55" s="1">
        <v>841</v>
      </c>
      <c r="C55" s="1">
        <v>949</v>
      </c>
    </row>
    <row r="56" spans="1:3">
      <c r="A56" s="1" t="s">
        <v>256</v>
      </c>
      <c r="B56" s="1">
        <v>841</v>
      </c>
      <c r="C56" s="1">
        <v>929</v>
      </c>
    </row>
    <row r="57" spans="1:3">
      <c r="A57" s="1" t="s">
        <v>259</v>
      </c>
      <c r="B57" s="1">
        <v>841</v>
      </c>
      <c r="C57" s="1">
        <v>909</v>
      </c>
    </row>
    <row r="58" spans="1:3">
      <c r="A58" s="1" t="s">
        <v>262</v>
      </c>
    </row>
    <row r="59" spans="1:3">
      <c r="A59" s="1" t="s">
        <v>268</v>
      </c>
    </row>
    <row r="60" spans="1:3">
      <c r="A60" s="1" t="s">
        <v>269</v>
      </c>
    </row>
    <row r="61" spans="1:3">
      <c r="A61" s="1" t="s">
        <v>270</v>
      </c>
    </row>
    <row r="62" spans="1:3">
      <c r="A62" s="1" t="s">
        <v>271</v>
      </c>
    </row>
    <row r="63" spans="1:3">
      <c r="A63" s="1" t="s">
        <v>272</v>
      </c>
    </row>
    <row r="64" spans="1:3">
      <c r="A64" s="1" t="s">
        <v>273</v>
      </c>
    </row>
    <row r="65" spans="1:3">
      <c r="A65" s="1" t="s">
        <v>274</v>
      </c>
    </row>
    <row r="66" spans="1:3">
      <c r="A66" s="1" t="s">
        <v>275</v>
      </c>
    </row>
    <row r="67" spans="1:3">
      <c r="A67" s="1" t="s">
        <v>276</v>
      </c>
    </row>
    <row r="68" spans="1:3">
      <c r="A68" s="1" t="s">
        <v>277</v>
      </c>
    </row>
    <row r="69" spans="1:3">
      <c r="A69" s="1" t="s">
        <v>278</v>
      </c>
    </row>
    <row r="70" spans="1:3">
      <c r="A70" s="1" t="s">
        <v>279</v>
      </c>
    </row>
    <row r="71" spans="1:3">
      <c r="A71" s="1" t="s">
        <v>280</v>
      </c>
    </row>
    <row r="72" spans="1:3">
      <c r="A72" s="1" t="s">
        <v>281</v>
      </c>
    </row>
    <row r="73" spans="1:3">
      <c r="A73" s="2" t="s">
        <v>282</v>
      </c>
      <c r="B73" s="2">
        <v>594</v>
      </c>
      <c r="C73" s="2">
        <v>841</v>
      </c>
    </row>
    <row r="74" spans="1:3">
      <c r="A74" s="1" t="s">
        <v>285</v>
      </c>
      <c r="B74" s="1">
        <v>198</v>
      </c>
      <c r="C74" s="1">
        <v>841</v>
      </c>
    </row>
    <row r="75" spans="1:3">
      <c r="A75" s="1" t="s">
        <v>286</v>
      </c>
      <c r="B75" s="1">
        <v>594</v>
      </c>
      <c r="C75" s="1">
        <v>594</v>
      </c>
    </row>
    <row r="76" spans="1:3">
      <c r="A76" s="1" t="s">
        <v>287</v>
      </c>
      <c r="B76" s="1">
        <v>594</v>
      </c>
      <c r="C76" s="1">
        <v>297</v>
      </c>
    </row>
    <row r="77" spans="1:3">
      <c r="A77" s="1" t="s">
        <v>288</v>
      </c>
      <c r="B77" s="1">
        <v>594</v>
      </c>
      <c r="C77" s="1">
        <v>210.25</v>
      </c>
    </row>
    <row r="78" spans="1:3">
      <c r="A78" s="1" t="s">
        <v>289</v>
      </c>
      <c r="B78" s="1">
        <v>198</v>
      </c>
      <c r="C78" s="1">
        <v>297</v>
      </c>
    </row>
    <row r="79" spans="1:3">
      <c r="A79" s="1" t="s">
        <v>290</v>
      </c>
      <c r="B79" s="1">
        <v>297</v>
      </c>
      <c r="C79" s="1">
        <v>297</v>
      </c>
    </row>
    <row r="80" spans="1:3">
      <c r="A80" s="1" t="s">
        <v>291</v>
      </c>
      <c r="B80" s="1">
        <v>594</v>
      </c>
      <c r="C80" s="1">
        <v>781</v>
      </c>
    </row>
    <row r="81" spans="1:3">
      <c r="A81" s="1" t="s">
        <v>292</v>
      </c>
      <c r="B81" s="1">
        <v>198</v>
      </c>
      <c r="C81" s="1">
        <v>801</v>
      </c>
    </row>
    <row r="82" spans="1:3">
      <c r="A82" s="1" t="s">
        <v>293</v>
      </c>
      <c r="B82" s="1">
        <v>198</v>
      </c>
      <c r="C82" s="1">
        <v>781</v>
      </c>
    </row>
    <row r="83" spans="1:3">
      <c r="A83" s="1" t="s">
        <v>294</v>
      </c>
      <c r="B83" s="1">
        <v>594</v>
      </c>
      <c r="C83" s="1">
        <v>801</v>
      </c>
    </row>
    <row r="84" spans="1:3">
      <c r="A84" s="1" t="s">
        <v>295</v>
      </c>
      <c r="B84" s="1">
        <v>574</v>
      </c>
      <c r="C84" s="1">
        <v>821</v>
      </c>
    </row>
    <row r="85" spans="1:3">
      <c r="A85" s="1" t="s">
        <v>296</v>
      </c>
      <c r="B85" s="1">
        <v>554</v>
      </c>
      <c r="C85" s="1">
        <v>801</v>
      </c>
    </row>
    <row r="86" spans="1:3">
      <c r="A86" s="1" t="s">
        <v>297</v>
      </c>
      <c r="B86" s="1">
        <v>534</v>
      </c>
      <c r="C86" s="1">
        <v>781</v>
      </c>
    </row>
    <row r="87" spans="1:3">
      <c r="A87" s="1" t="s">
        <v>298</v>
      </c>
      <c r="B87" s="1">
        <v>514</v>
      </c>
      <c r="C87" s="1">
        <v>761</v>
      </c>
    </row>
    <row r="88" spans="1:3">
      <c r="A88" s="1" t="s">
        <v>299</v>
      </c>
      <c r="B88" s="1">
        <v>494</v>
      </c>
      <c r="C88" s="1">
        <v>741</v>
      </c>
    </row>
    <row r="89" spans="1:3">
      <c r="A89" s="1" t="s">
        <v>300</v>
      </c>
      <c r="B89" s="1">
        <v>474</v>
      </c>
      <c r="C89" s="1">
        <v>721</v>
      </c>
    </row>
    <row r="90" spans="1:3">
      <c r="A90" s="1" t="s">
        <v>301</v>
      </c>
      <c r="B90" s="1">
        <v>454</v>
      </c>
      <c r="C90" s="1">
        <v>701</v>
      </c>
    </row>
    <row r="91" spans="1:3">
      <c r="A91" s="1" t="s">
        <v>302</v>
      </c>
      <c r="B91" s="1">
        <v>574</v>
      </c>
      <c r="C91" s="1">
        <v>574</v>
      </c>
    </row>
    <row r="92" spans="1:3">
      <c r="A92" s="1" t="s">
        <v>303</v>
      </c>
      <c r="B92" s="1">
        <v>554</v>
      </c>
      <c r="C92" s="1">
        <v>554</v>
      </c>
    </row>
    <row r="93" spans="1:3">
      <c r="A93" s="1" t="s">
        <v>304</v>
      </c>
      <c r="B93" s="1">
        <v>534</v>
      </c>
      <c r="C93" s="1">
        <v>534</v>
      </c>
    </row>
    <row r="94" spans="1:3">
      <c r="A94" s="1" t="s">
        <v>305</v>
      </c>
      <c r="B94" s="1">
        <v>514</v>
      </c>
      <c r="C94" s="1">
        <v>514</v>
      </c>
    </row>
    <row r="95" spans="1:3">
      <c r="A95" s="1" t="s">
        <v>306</v>
      </c>
      <c r="B95" s="1">
        <v>494</v>
      </c>
      <c r="C95" s="1">
        <v>494</v>
      </c>
    </row>
    <row r="96" spans="1:3">
      <c r="A96" s="1" t="s">
        <v>307</v>
      </c>
      <c r="B96" s="1">
        <v>474</v>
      </c>
      <c r="C96" s="1">
        <v>474</v>
      </c>
    </row>
    <row r="97" spans="1:3">
      <c r="A97" s="1" t="s">
        <v>308</v>
      </c>
      <c r="B97" s="1">
        <v>454</v>
      </c>
      <c r="C97" s="1">
        <v>454</v>
      </c>
    </row>
    <row r="98" spans="1:3">
      <c r="A98" s="1" t="s">
        <v>309</v>
      </c>
      <c r="B98" s="1">
        <v>434</v>
      </c>
      <c r="C98" s="1">
        <v>434</v>
      </c>
    </row>
    <row r="99" spans="1:3">
      <c r="A99" s="1" t="s">
        <v>310</v>
      </c>
      <c r="B99" s="1">
        <v>414</v>
      </c>
      <c r="C99" s="1">
        <v>414</v>
      </c>
    </row>
    <row r="100" spans="1:3">
      <c r="A100" s="1" t="s">
        <v>311</v>
      </c>
      <c r="B100" s="1">
        <v>394</v>
      </c>
      <c r="C100" s="1">
        <v>394</v>
      </c>
    </row>
    <row r="101" spans="1:3">
      <c r="A101" s="1" t="s">
        <v>312</v>
      </c>
      <c r="B101" s="1">
        <v>574</v>
      </c>
      <c r="C101" s="1">
        <v>841</v>
      </c>
    </row>
    <row r="102" spans="1:3">
      <c r="A102" s="1" t="s">
        <v>313</v>
      </c>
      <c r="B102" s="1">
        <v>554</v>
      </c>
      <c r="C102" s="1">
        <v>841</v>
      </c>
    </row>
    <row r="103" spans="1:3">
      <c r="A103" s="1" t="s">
        <v>314</v>
      </c>
      <c r="B103" s="1">
        <v>534</v>
      </c>
      <c r="C103" s="1">
        <v>841</v>
      </c>
    </row>
    <row r="104" spans="1:3">
      <c r="A104" s="1" t="s">
        <v>315</v>
      </c>
      <c r="B104" s="1">
        <v>514</v>
      </c>
      <c r="C104" s="1">
        <v>841</v>
      </c>
    </row>
    <row r="105" spans="1:3">
      <c r="A105" s="1" t="s">
        <v>316</v>
      </c>
      <c r="B105" s="1">
        <v>494</v>
      </c>
      <c r="C105" s="1">
        <v>841</v>
      </c>
    </row>
    <row r="106" spans="1:3">
      <c r="A106" s="1" t="s">
        <v>317</v>
      </c>
      <c r="B106" s="1">
        <v>474</v>
      </c>
      <c r="C106" s="1">
        <v>841</v>
      </c>
    </row>
    <row r="107" spans="1:3">
      <c r="A107" s="1" t="s">
        <v>318</v>
      </c>
      <c r="B107" s="1">
        <v>454</v>
      </c>
      <c r="C107" s="1">
        <v>841</v>
      </c>
    </row>
    <row r="108" spans="1:3">
      <c r="A108" s="1" t="s">
        <v>319</v>
      </c>
      <c r="B108" s="1">
        <v>434</v>
      </c>
      <c r="C108" s="1">
        <v>841</v>
      </c>
    </row>
    <row r="109" spans="1:3">
      <c r="A109" s="1" t="s">
        <v>320</v>
      </c>
      <c r="B109" s="1">
        <v>414</v>
      </c>
      <c r="C109" s="1">
        <v>841</v>
      </c>
    </row>
    <row r="110" spans="1:3">
      <c r="A110" s="1" t="s">
        <v>321</v>
      </c>
      <c r="B110" s="1">
        <v>394</v>
      </c>
      <c r="C110" s="1">
        <v>841</v>
      </c>
    </row>
    <row r="111" spans="1:3">
      <c r="A111" s="1" t="s">
        <v>322</v>
      </c>
      <c r="B111" s="1">
        <v>374</v>
      </c>
      <c r="C111" s="1">
        <v>841</v>
      </c>
    </row>
    <row r="112" spans="1:3">
      <c r="A112" s="1" t="s">
        <v>323</v>
      </c>
      <c r="B112" s="1">
        <v>354</v>
      </c>
      <c r="C112" s="1">
        <v>841</v>
      </c>
    </row>
    <row r="113" spans="1:3">
      <c r="A113" s="1" t="s">
        <v>324</v>
      </c>
      <c r="B113" s="1">
        <v>334</v>
      </c>
      <c r="C113" s="1">
        <v>841</v>
      </c>
    </row>
    <row r="114" spans="1:3">
      <c r="A114" s="1" t="s">
        <v>325</v>
      </c>
      <c r="B114" s="1">
        <v>314</v>
      </c>
      <c r="C114" s="1">
        <v>841</v>
      </c>
    </row>
    <row r="115" spans="1:3">
      <c r="A115" s="1" t="s">
        <v>326</v>
      </c>
      <c r="B115" s="1">
        <v>594</v>
      </c>
      <c r="C115" s="1">
        <v>821</v>
      </c>
    </row>
    <row r="116" spans="1:3">
      <c r="A116" s="1" t="s">
        <v>327</v>
      </c>
      <c r="B116" s="1">
        <v>594</v>
      </c>
      <c r="C116" s="1">
        <v>801</v>
      </c>
    </row>
    <row r="117" spans="1:3">
      <c r="A117" s="1" t="s">
        <v>328</v>
      </c>
      <c r="B117" s="1">
        <v>594</v>
      </c>
      <c r="C117" s="1">
        <v>781</v>
      </c>
    </row>
    <row r="118" spans="1:3">
      <c r="A118" s="1" t="s">
        <v>329</v>
      </c>
      <c r="B118" s="1">
        <v>594</v>
      </c>
      <c r="C118" s="1">
        <v>761</v>
      </c>
    </row>
    <row r="119" spans="1:3">
      <c r="A119" s="1" t="s">
        <v>330</v>
      </c>
      <c r="B119" s="1">
        <v>594</v>
      </c>
      <c r="C119" s="1">
        <v>741</v>
      </c>
    </row>
    <row r="120" spans="1:3">
      <c r="A120" s="1" t="s">
        <v>331</v>
      </c>
      <c r="B120" s="1">
        <v>594</v>
      </c>
      <c r="C120" s="1">
        <v>721</v>
      </c>
    </row>
    <row r="121" spans="1:3">
      <c r="A121" s="1" t="s">
        <v>332</v>
      </c>
      <c r="B121" s="1">
        <v>594</v>
      </c>
      <c r="C121" s="1">
        <v>701</v>
      </c>
    </row>
    <row r="122" spans="1:3">
      <c r="A122" s="1" t="s">
        <v>333</v>
      </c>
      <c r="B122" s="1">
        <v>594</v>
      </c>
      <c r="C122" s="1">
        <v>681</v>
      </c>
    </row>
    <row r="123" spans="1:3">
      <c r="A123" s="1" t="s">
        <v>334</v>
      </c>
      <c r="B123" s="1">
        <v>594</v>
      </c>
      <c r="C123" s="1">
        <v>661</v>
      </c>
    </row>
    <row r="124" spans="1:3">
      <c r="A124" s="1" t="s">
        <v>335</v>
      </c>
      <c r="B124" s="1">
        <v>594</v>
      </c>
      <c r="C124" s="1">
        <v>641</v>
      </c>
    </row>
    <row r="125" spans="1:3">
      <c r="A125" s="1" t="s">
        <v>336</v>
      </c>
      <c r="B125" s="1">
        <v>594</v>
      </c>
      <c r="C125" s="1">
        <v>621</v>
      </c>
    </row>
    <row r="126" spans="1:3">
      <c r="A126" s="1" t="s">
        <v>337</v>
      </c>
      <c r="B126" s="1">
        <v>594</v>
      </c>
      <c r="C126" s="1">
        <v>601</v>
      </c>
    </row>
    <row r="127" spans="1:3">
      <c r="A127" s="1" t="s">
        <v>338</v>
      </c>
      <c r="B127" s="1">
        <v>594</v>
      </c>
      <c r="C127" s="1">
        <v>581</v>
      </c>
    </row>
    <row r="128" spans="1:3">
      <c r="A128" s="1" t="s">
        <v>339</v>
      </c>
      <c r="B128" s="1">
        <v>594</v>
      </c>
      <c r="C128" s="1">
        <v>561</v>
      </c>
    </row>
    <row r="129" spans="1:3">
      <c r="A129" s="1" t="s">
        <v>340</v>
      </c>
    </row>
    <row r="130" spans="1:3">
      <c r="A130" s="1" t="s">
        <v>342</v>
      </c>
    </row>
    <row r="131" spans="1:3">
      <c r="A131" s="1" t="s">
        <v>343</v>
      </c>
    </row>
    <row r="132" spans="1:3">
      <c r="A132" s="1" t="s">
        <v>344</v>
      </c>
    </row>
    <row r="133" spans="1:3">
      <c r="A133" s="1" t="s">
        <v>345</v>
      </c>
    </row>
    <row r="134" spans="1:3">
      <c r="A134" s="1" t="s">
        <v>346</v>
      </c>
    </row>
    <row r="135" spans="1:3">
      <c r="A135" s="1" t="s">
        <v>347</v>
      </c>
    </row>
    <row r="136" spans="1:3">
      <c r="A136" s="1" t="s">
        <v>348</v>
      </c>
    </row>
    <row r="137" spans="1:3">
      <c r="A137" s="1" t="s">
        <v>349</v>
      </c>
    </row>
    <row r="138" spans="1:3">
      <c r="A138" s="1" t="s">
        <v>350</v>
      </c>
    </row>
    <row r="139" spans="1:3">
      <c r="A139" s="1" t="s">
        <v>351</v>
      </c>
    </row>
    <row r="140" spans="1:3">
      <c r="A140" s="1" t="s">
        <v>352</v>
      </c>
    </row>
    <row r="141" spans="1:3">
      <c r="A141" s="1" t="s">
        <v>353</v>
      </c>
    </row>
    <row r="142" spans="1:3">
      <c r="A142" s="1" t="s">
        <v>354</v>
      </c>
    </row>
    <row r="143" spans="1:3">
      <c r="A143" s="1" t="s">
        <v>355</v>
      </c>
    </row>
    <row r="144" spans="1:3">
      <c r="A144" s="2" t="s">
        <v>356</v>
      </c>
      <c r="B144" s="2">
        <v>420</v>
      </c>
      <c r="C144" s="2">
        <v>594</v>
      </c>
    </row>
    <row r="145" spans="1:3">
      <c r="A145" s="1" t="s">
        <v>359</v>
      </c>
      <c r="B145" s="1">
        <v>140</v>
      </c>
      <c r="C145" s="1">
        <v>594</v>
      </c>
    </row>
    <row r="146" spans="1:3">
      <c r="A146" s="1" t="s">
        <v>360</v>
      </c>
      <c r="B146" s="1">
        <v>420</v>
      </c>
      <c r="C146" s="1">
        <v>420</v>
      </c>
    </row>
    <row r="147" spans="1:3">
      <c r="A147" s="1" t="s">
        <v>361</v>
      </c>
      <c r="B147" s="1">
        <v>420</v>
      </c>
      <c r="C147" s="1">
        <v>210</v>
      </c>
    </row>
    <row r="148" spans="1:3">
      <c r="A148" s="1" t="s">
        <v>362</v>
      </c>
      <c r="B148" s="1">
        <v>420</v>
      </c>
      <c r="C148" s="1">
        <v>148.5</v>
      </c>
    </row>
    <row r="149" spans="1:3">
      <c r="A149" s="1" t="s">
        <v>363</v>
      </c>
      <c r="B149" s="1">
        <v>140</v>
      </c>
      <c r="C149" s="1">
        <v>210</v>
      </c>
    </row>
    <row r="150" spans="1:3">
      <c r="A150" s="1" t="s">
        <v>364</v>
      </c>
      <c r="B150" s="1">
        <v>210</v>
      </c>
      <c r="C150" s="1">
        <v>210</v>
      </c>
    </row>
    <row r="151" spans="1:3">
      <c r="A151" s="1" t="s">
        <v>365</v>
      </c>
      <c r="B151" s="1">
        <v>420</v>
      </c>
      <c r="C151" s="1">
        <v>534</v>
      </c>
    </row>
    <row r="152" spans="1:3">
      <c r="A152" s="1" t="s">
        <v>366</v>
      </c>
      <c r="B152" s="1">
        <v>140</v>
      </c>
      <c r="C152" s="1">
        <v>554</v>
      </c>
    </row>
    <row r="153" spans="1:3">
      <c r="A153" s="1" t="s">
        <v>367</v>
      </c>
      <c r="B153" s="1">
        <v>140</v>
      </c>
      <c r="C153" s="1">
        <v>534</v>
      </c>
    </row>
    <row r="154" spans="1:3">
      <c r="A154" s="1" t="s">
        <v>368</v>
      </c>
      <c r="B154" s="1">
        <v>420</v>
      </c>
      <c r="C154" s="1">
        <v>554</v>
      </c>
    </row>
    <row r="155" spans="1:3">
      <c r="A155" s="1" t="s">
        <v>369</v>
      </c>
      <c r="B155" s="1">
        <v>400</v>
      </c>
      <c r="C155" s="1">
        <v>574</v>
      </c>
    </row>
    <row r="156" spans="1:3">
      <c r="A156" s="1" t="s">
        <v>370</v>
      </c>
      <c r="B156" s="1">
        <v>380</v>
      </c>
      <c r="C156" s="1">
        <v>554</v>
      </c>
    </row>
    <row r="157" spans="1:3">
      <c r="A157" s="1" t="s">
        <v>371</v>
      </c>
      <c r="B157" s="1">
        <v>360</v>
      </c>
      <c r="C157" s="1">
        <v>534</v>
      </c>
    </row>
    <row r="158" spans="1:3">
      <c r="A158" s="1" t="s">
        <v>372</v>
      </c>
      <c r="B158" s="1">
        <v>340</v>
      </c>
      <c r="C158" s="1">
        <v>514</v>
      </c>
    </row>
    <row r="159" spans="1:3">
      <c r="A159" s="1" t="s">
        <v>373</v>
      </c>
      <c r="B159" s="1">
        <v>320</v>
      </c>
      <c r="C159" s="1">
        <v>494</v>
      </c>
    </row>
    <row r="160" spans="1:3">
      <c r="A160" s="1" t="s">
        <v>374</v>
      </c>
      <c r="B160" s="1">
        <v>300</v>
      </c>
      <c r="C160" s="1">
        <v>474</v>
      </c>
    </row>
    <row r="161" spans="1:3">
      <c r="A161" s="1" t="s">
        <v>375</v>
      </c>
      <c r="B161" s="1">
        <v>280</v>
      </c>
      <c r="C161" s="1">
        <v>454</v>
      </c>
    </row>
    <row r="162" spans="1:3">
      <c r="A162" s="1" t="s">
        <v>376</v>
      </c>
      <c r="B162" s="1">
        <v>400</v>
      </c>
      <c r="C162" s="1">
        <v>400</v>
      </c>
    </row>
    <row r="163" spans="1:3">
      <c r="A163" s="1" t="s">
        <v>377</v>
      </c>
      <c r="B163" s="1">
        <v>380</v>
      </c>
      <c r="C163" s="1">
        <v>380</v>
      </c>
    </row>
    <row r="164" spans="1:3">
      <c r="A164" s="1" t="s">
        <v>378</v>
      </c>
      <c r="B164" s="1">
        <v>360</v>
      </c>
      <c r="C164" s="1">
        <v>360</v>
      </c>
    </row>
    <row r="165" spans="1:3">
      <c r="A165" s="1" t="s">
        <v>379</v>
      </c>
      <c r="B165" s="1">
        <v>340</v>
      </c>
      <c r="C165" s="1">
        <v>340</v>
      </c>
    </row>
    <row r="166" spans="1:3">
      <c r="A166" s="1" t="s">
        <v>380</v>
      </c>
      <c r="B166" s="1">
        <v>320</v>
      </c>
      <c r="C166" s="1">
        <v>320</v>
      </c>
    </row>
    <row r="167" spans="1:3">
      <c r="A167" s="1" t="s">
        <v>381</v>
      </c>
      <c r="B167" s="1">
        <v>300</v>
      </c>
      <c r="C167" s="1">
        <v>300</v>
      </c>
    </row>
    <row r="168" spans="1:3">
      <c r="A168" s="1" t="s">
        <v>382</v>
      </c>
      <c r="B168" s="1">
        <v>280</v>
      </c>
      <c r="C168" s="1">
        <v>280</v>
      </c>
    </row>
    <row r="169" spans="1:3">
      <c r="A169" s="1" t="s">
        <v>383</v>
      </c>
      <c r="B169" s="1">
        <v>260</v>
      </c>
      <c r="C169" s="1">
        <v>260</v>
      </c>
    </row>
    <row r="170" spans="1:3">
      <c r="A170" s="1" t="s">
        <v>384</v>
      </c>
      <c r="B170" s="1">
        <v>240</v>
      </c>
      <c r="C170" s="1">
        <v>240</v>
      </c>
    </row>
    <row r="171" spans="1:3">
      <c r="A171" s="1" t="s">
        <v>385</v>
      </c>
      <c r="B171" s="1">
        <v>220</v>
      </c>
      <c r="C171" s="1">
        <v>220</v>
      </c>
    </row>
    <row r="172" spans="1:3">
      <c r="A172" s="1" t="s">
        <v>386</v>
      </c>
      <c r="B172" s="1">
        <v>400</v>
      </c>
      <c r="C172" s="1">
        <v>594</v>
      </c>
    </row>
    <row r="173" spans="1:3">
      <c r="A173" s="1" t="s">
        <v>387</v>
      </c>
      <c r="B173" s="1">
        <v>380</v>
      </c>
      <c r="C173" s="1">
        <v>594</v>
      </c>
    </row>
    <row r="174" spans="1:3">
      <c r="A174" s="1" t="s">
        <v>388</v>
      </c>
      <c r="B174" s="1">
        <v>360</v>
      </c>
      <c r="C174" s="1">
        <v>594</v>
      </c>
    </row>
    <row r="175" spans="1:3">
      <c r="A175" s="1" t="s">
        <v>389</v>
      </c>
      <c r="B175" s="1">
        <v>340</v>
      </c>
      <c r="C175" s="1">
        <v>594</v>
      </c>
    </row>
    <row r="176" spans="1:3">
      <c r="A176" s="1" t="s">
        <v>390</v>
      </c>
      <c r="B176" s="1">
        <v>320</v>
      </c>
      <c r="C176" s="1">
        <v>594</v>
      </c>
    </row>
    <row r="177" spans="1:3">
      <c r="A177" s="1" t="s">
        <v>391</v>
      </c>
      <c r="B177" s="1">
        <v>300</v>
      </c>
      <c r="C177" s="1">
        <v>594</v>
      </c>
    </row>
    <row r="178" spans="1:3">
      <c r="A178" s="1" t="s">
        <v>392</v>
      </c>
      <c r="B178" s="1">
        <v>280</v>
      </c>
      <c r="C178" s="1">
        <v>594</v>
      </c>
    </row>
    <row r="179" spans="1:3">
      <c r="A179" s="1" t="s">
        <v>393</v>
      </c>
      <c r="B179" s="1">
        <v>260</v>
      </c>
      <c r="C179" s="1">
        <v>594</v>
      </c>
    </row>
    <row r="180" spans="1:3">
      <c r="A180" s="1" t="s">
        <v>394</v>
      </c>
      <c r="B180" s="1">
        <v>240</v>
      </c>
      <c r="C180" s="1">
        <v>594</v>
      </c>
    </row>
    <row r="181" spans="1:3">
      <c r="A181" s="1" t="s">
        <v>395</v>
      </c>
      <c r="B181" s="1">
        <v>220</v>
      </c>
      <c r="C181" s="1">
        <v>594</v>
      </c>
    </row>
    <row r="182" spans="1:3">
      <c r="A182" s="1" t="s">
        <v>396</v>
      </c>
      <c r="B182" s="1">
        <v>200</v>
      </c>
      <c r="C182" s="1">
        <v>594</v>
      </c>
    </row>
    <row r="183" spans="1:3">
      <c r="A183" s="1" t="s">
        <v>397</v>
      </c>
      <c r="B183" s="1">
        <v>180</v>
      </c>
      <c r="C183" s="1">
        <v>594</v>
      </c>
    </row>
    <row r="184" spans="1:3">
      <c r="A184" s="1" t="s">
        <v>398</v>
      </c>
      <c r="B184" s="1">
        <v>160</v>
      </c>
      <c r="C184" s="1">
        <v>594</v>
      </c>
    </row>
    <row r="185" spans="1:3">
      <c r="A185" s="1" t="s">
        <v>399</v>
      </c>
      <c r="B185" s="1">
        <v>140</v>
      </c>
      <c r="C185" s="1">
        <v>594</v>
      </c>
    </row>
    <row r="186" spans="1:3">
      <c r="A186" s="1" t="s">
        <v>400</v>
      </c>
      <c r="B186" s="1">
        <v>420</v>
      </c>
      <c r="C186" s="1">
        <v>574</v>
      </c>
    </row>
    <row r="187" spans="1:3">
      <c r="A187" s="1" t="s">
        <v>401</v>
      </c>
      <c r="B187" s="1">
        <v>420</v>
      </c>
      <c r="C187" s="1">
        <v>554</v>
      </c>
    </row>
    <row r="188" spans="1:3">
      <c r="A188" s="1" t="s">
        <v>402</v>
      </c>
      <c r="B188" s="1">
        <v>420</v>
      </c>
      <c r="C188" s="1">
        <v>534</v>
      </c>
    </row>
    <row r="189" spans="1:3">
      <c r="A189" s="1" t="s">
        <v>403</v>
      </c>
      <c r="B189" s="1">
        <v>420</v>
      </c>
      <c r="C189" s="1">
        <v>514</v>
      </c>
    </row>
    <row r="190" spans="1:3">
      <c r="A190" s="1" t="s">
        <v>404</v>
      </c>
      <c r="B190" s="1">
        <v>420</v>
      </c>
      <c r="C190" s="1">
        <v>494</v>
      </c>
    </row>
    <row r="191" spans="1:3">
      <c r="A191" s="1" t="s">
        <v>405</v>
      </c>
      <c r="B191" s="1">
        <v>420</v>
      </c>
      <c r="C191" s="1">
        <v>474</v>
      </c>
    </row>
    <row r="192" spans="1:3">
      <c r="A192" s="1" t="s">
        <v>406</v>
      </c>
      <c r="B192" s="1">
        <v>420</v>
      </c>
      <c r="C192" s="1">
        <v>454</v>
      </c>
    </row>
    <row r="193" spans="1:3">
      <c r="A193" s="1" t="s">
        <v>407</v>
      </c>
      <c r="B193" s="1">
        <v>420</v>
      </c>
      <c r="C193" s="1">
        <v>434</v>
      </c>
    </row>
    <row r="194" spans="1:3">
      <c r="A194" s="1" t="s">
        <v>408</v>
      </c>
      <c r="B194" s="1">
        <v>420</v>
      </c>
      <c r="C194" s="1">
        <v>414</v>
      </c>
    </row>
    <row r="195" spans="1:3">
      <c r="A195" s="1" t="s">
        <v>409</v>
      </c>
      <c r="B195" s="1">
        <v>420</v>
      </c>
      <c r="C195" s="1">
        <v>394</v>
      </c>
    </row>
    <row r="196" spans="1:3">
      <c r="A196" s="1" t="s">
        <v>410</v>
      </c>
      <c r="B196" s="1">
        <v>420</v>
      </c>
      <c r="C196" s="1">
        <v>374</v>
      </c>
    </row>
    <row r="197" spans="1:3">
      <c r="A197" s="1" t="s">
        <v>411</v>
      </c>
      <c r="B197" s="1">
        <v>420</v>
      </c>
      <c r="C197" s="1">
        <v>354</v>
      </c>
    </row>
    <row r="198" spans="1:3">
      <c r="A198" s="1" t="s">
        <v>412</v>
      </c>
      <c r="B198" s="1">
        <v>420</v>
      </c>
      <c r="C198" s="1">
        <v>334</v>
      </c>
    </row>
    <row r="199" spans="1:3">
      <c r="A199" s="1" t="s">
        <v>413</v>
      </c>
      <c r="B199" s="1">
        <v>420</v>
      </c>
      <c r="C199" s="1">
        <v>314</v>
      </c>
    </row>
    <row r="200" spans="1:3">
      <c r="A200" s="1" t="s">
        <v>414</v>
      </c>
    </row>
    <row r="201" spans="1:3">
      <c r="A201" s="1" t="s">
        <v>416</v>
      </c>
    </row>
    <row r="202" spans="1:3">
      <c r="A202" s="1" t="s">
        <v>417</v>
      </c>
    </row>
    <row r="203" spans="1:3">
      <c r="A203" s="1" t="s">
        <v>418</v>
      </c>
    </row>
    <row r="204" spans="1:3">
      <c r="A204" s="1" t="s">
        <v>419</v>
      </c>
    </row>
    <row r="205" spans="1:3">
      <c r="A205" s="1" t="s">
        <v>420</v>
      </c>
    </row>
    <row r="206" spans="1:3">
      <c r="A206" s="1" t="s">
        <v>421</v>
      </c>
    </row>
    <row r="207" spans="1:3">
      <c r="A207" s="1" t="s">
        <v>422</v>
      </c>
    </row>
    <row r="208" spans="1:3">
      <c r="A208" s="1" t="s">
        <v>423</v>
      </c>
    </row>
    <row r="209" spans="1:3">
      <c r="A209" s="1" t="s">
        <v>424</v>
      </c>
    </row>
    <row r="210" spans="1:3">
      <c r="A210" s="1" t="s">
        <v>425</v>
      </c>
    </row>
    <row r="211" spans="1:3">
      <c r="A211" s="1" t="s">
        <v>426</v>
      </c>
    </row>
    <row r="212" spans="1:3">
      <c r="A212" s="1" t="s">
        <v>427</v>
      </c>
    </row>
    <row r="213" spans="1:3">
      <c r="A213" s="1" t="s">
        <v>428</v>
      </c>
    </row>
    <row r="214" spans="1:3">
      <c r="A214" s="1" t="s">
        <v>429</v>
      </c>
    </row>
    <row r="215" spans="1:3">
      <c r="A215" s="2" t="s">
        <v>430</v>
      </c>
      <c r="B215" s="2">
        <v>297</v>
      </c>
      <c r="C215" s="2">
        <v>420</v>
      </c>
    </row>
    <row r="216" spans="1:3">
      <c r="A216" s="1" t="s">
        <v>433</v>
      </c>
      <c r="B216" s="1">
        <v>99</v>
      </c>
      <c r="C216" s="1">
        <v>420</v>
      </c>
    </row>
    <row r="217" spans="1:3">
      <c r="A217" s="1" t="s">
        <v>434</v>
      </c>
      <c r="B217" s="1">
        <v>297</v>
      </c>
      <c r="C217" s="1">
        <v>297</v>
      </c>
    </row>
    <row r="218" spans="1:3">
      <c r="A218" s="1" t="s">
        <v>435</v>
      </c>
      <c r="B218" s="1">
        <v>297</v>
      </c>
      <c r="C218" s="1">
        <v>148.5</v>
      </c>
    </row>
    <row r="219" spans="1:3">
      <c r="A219" s="1" t="s">
        <v>436</v>
      </c>
      <c r="B219" s="1">
        <v>297</v>
      </c>
      <c r="C219" s="1">
        <v>105</v>
      </c>
    </row>
    <row r="220" spans="1:3">
      <c r="A220" s="1" t="s">
        <v>437</v>
      </c>
      <c r="B220" s="1">
        <v>99</v>
      </c>
      <c r="C220" s="1">
        <v>148.5</v>
      </c>
    </row>
    <row r="221" spans="1:3">
      <c r="A221" s="1" t="s">
        <v>438</v>
      </c>
      <c r="B221" s="1">
        <v>148.5</v>
      </c>
      <c r="C221" s="1">
        <v>148.5</v>
      </c>
    </row>
    <row r="222" spans="1:3">
      <c r="A222" s="1" t="s">
        <v>439</v>
      </c>
      <c r="B222" s="1">
        <v>297</v>
      </c>
      <c r="C222" s="1">
        <v>360</v>
      </c>
    </row>
    <row r="223" spans="1:3">
      <c r="A223" s="1" t="s">
        <v>440</v>
      </c>
      <c r="B223" s="1">
        <v>99</v>
      </c>
      <c r="C223" s="1">
        <v>380</v>
      </c>
    </row>
    <row r="224" spans="1:3">
      <c r="A224" s="1" t="s">
        <v>441</v>
      </c>
      <c r="B224" s="1">
        <v>99</v>
      </c>
      <c r="C224" s="1">
        <v>360</v>
      </c>
    </row>
    <row r="225" spans="1:3">
      <c r="A225" s="1" t="s">
        <v>442</v>
      </c>
      <c r="B225" s="1">
        <v>297</v>
      </c>
      <c r="C225" s="1">
        <v>380</v>
      </c>
    </row>
    <row r="226" spans="1:3">
      <c r="A226" s="1" t="s">
        <v>443</v>
      </c>
      <c r="B226" s="1">
        <v>277</v>
      </c>
      <c r="C226" s="1">
        <v>400</v>
      </c>
    </row>
    <row r="227" spans="1:3">
      <c r="A227" s="1" t="s">
        <v>444</v>
      </c>
      <c r="B227" s="1">
        <v>257</v>
      </c>
      <c r="C227" s="1">
        <v>380</v>
      </c>
    </row>
    <row r="228" spans="1:3">
      <c r="A228" s="1" t="s">
        <v>445</v>
      </c>
      <c r="B228" s="1">
        <v>237</v>
      </c>
      <c r="C228" s="1">
        <v>360</v>
      </c>
    </row>
    <row r="229" spans="1:3">
      <c r="A229" s="1" t="s">
        <v>446</v>
      </c>
      <c r="B229" s="1">
        <v>217</v>
      </c>
      <c r="C229" s="1">
        <v>340</v>
      </c>
    </row>
    <row r="230" spans="1:3">
      <c r="A230" s="1" t="s">
        <v>447</v>
      </c>
      <c r="B230" s="1">
        <v>197</v>
      </c>
      <c r="C230" s="1">
        <v>320</v>
      </c>
    </row>
    <row r="231" spans="1:3">
      <c r="A231" s="1" t="s">
        <v>448</v>
      </c>
      <c r="B231" s="1">
        <v>177</v>
      </c>
      <c r="C231" s="1">
        <v>300</v>
      </c>
    </row>
    <row r="232" spans="1:3">
      <c r="A232" s="1" t="s">
        <v>449</v>
      </c>
      <c r="B232" s="1">
        <v>157</v>
      </c>
      <c r="C232" s="1">
        <v>280</v>
      </c>
    </row>
    <row r="233" spans="1:3">
      <c r="A233" s="1" t="s">
        <v>450</v>
      </c>
      <c r="B233" s="1">
        <v>277</v>
      </c>
      <c r="C233" s="1">
        <v>277</v>
      </c>
    </row>
    <row r="234" spans="1:3">
      <c r="A234" s="1" t="s">
        <v>451</v>
      </c>
      <c r="B234" s="1">
        <v>257</v>
      </c>
      <c r="C234" s="1">
        <v>257</v>
      </c>
    </row>
    <row r="235" spans="1:3">
      <c r="A235" s="1" t="s">
        <v>452</v>
      </c>
      <c r="B235" s="1">
        <v>237</v>
      </c>
      <c r="C235" s="1">
        <v>237</v>
      </c>
    </row>
    <row r="236" spans="1:3">
      <c r="A236" s="1" t="s">
        <v>453</v>
      </c>
      <c r="B236" s="1">
        <v>217</v>
      </c>
      <c r="C236" s="1">
        <v>217</v>
      </c>
    </row>
    <row r="237" spans="1:3">
      <c r="A237" s="1" t="s">
        <v>454</v>
      </c>
      <c r="B237" s="1">
        <v>197</v>
      </c>
      <c r="C237" s="1">
        <v>197</v>
      </c>
    </row>
    <row r="238" spans="1:3">
      <c r="A238" s="1" t="s">
        <v>455</v>
      </c>
      <c r="B238" s="1">
        <v>177</v>
      </c>
      <c r="C238" s="1">
        <v>177</v>
      </c>
    </row>
    <row r="239" spans="1:3">
      <c r="A239" s="1" t="s">
        <v>456</v>
      </c>
      <c r="B239" s="1">
        <v>157</v>
      </c>
      <c r="C239" s="1">
        <v>157</v>
      </c>
    </row>
    <row r="240" spans="1:3">
      <c r="A240" s="1" t="s">
        <v>457</v>
      </c>
      <c r="B240" s="1">
        <v>137</v>
      </c>
      <c r="C240" s="1">
        <v>137</v>
      </c>
    </row>
    <row r="241" spans="1:3">
      <c r="A241" s="1" t="s">
        <v>458</v>
      </c>
      <c r="B241" s="1">
        <v>117</v>
      </c>
      <c r="C241" s="1">
        <v>117</v>
      </c>
    </row>
    <row r="242" spans="1:3">
      <c r="A242" s="1" t="s">
        <v>459</v>
      </c>
      <c r="B242" s="1">
        <v>97</v>
      </c>
      <c r="C242" s="1">
        <v>97</v>
      </c>
    </row>
    <row r="243" spans="1:3">
      <c r="A243" s="1" t="s">
        <v>460</v>
      </c>
      <c r="B243" s="1">
        <v>277</v>
      </c>
      <c r="C243" s="1">
        <v>420</v>
      </c>
    </row>
    <row r="244" spans="1:3">
      <c r="A244" s="1" t="s">
        <v>461</v>
      </c>
      <c r="B244" s="1">
        <v>257</v>
      </c>
      <c r="C244" s="1">
        <v>420</v>
      </c>
    </row>
    <row r="245" spans="1:3">
      <c r="A245" s="1" t="s">
        <v>462</v>
      </c>
      <c r="B245" s="1">
        <v>237</v>
      </c>
      <c r="C245" s="1">
        <v>420</v>
      </c>
    </row>
    <row r="246" spans="1:3">
      <c r="A246" s="1" t="s">
        <v>463</v>
      </c>
      <c r="B246" s="1">
        <v>217</v>
      </c>
      <c r="C246" s="1">
        <v>420</v>
      </c>
    </row>
    <row r="247" spans="1:3">
      <c r="A247" s="1" t="s">
        <v>464</v>
      </c>
      <c r="B247" s="1">
        <v>197</v>
      </c>
      <c r="C247" s="1">
        <v>420</v>
      </c>
    </row>
    <row r="248" spans="1:3">
      <c r="A248" s="1" t="s">
        <v>465</v>
      </c>
      <c r="B248" s="1">
        <v>177</v>
      </c>
      <c r="C248" s="1">
        <v>420</v>
      </c>
    </row>
    <row r="249" spans="1:3">
      <c r="A249" s="1" t="s">
        <v>466</v>
      </c>
      <c r="B249" s="1">
        <v>157</v>
      </c>
      <c r="C249" s="1">
        <v>420</v>
      </c>
    </row>
    <row r="250" spans="1:3">
      <c r="A250" s="1" t="s">
        <v>467</v>
      </c>
      <c r="B250" s="1">
        <v>137</v>
      </c>
      <c r="C250" s="1">
        <v>420</v>
      </c>
    </row>
    <row r="251" spans="1:3">
      <c r="A251" s="1" t="s">
        <v>468</v>
      </c>
      <c r="B251" s="1">
        <v>117</v>
      </c>
      <c r="C251" s="1">
        <v>420</v>
      </c>
    </row>
    <row r="252" spans="1:3">
      <c r="A252" s="1" t="s">
        <v>469</v>
      </c>
      <c r="B252" s="1">
        <v>97</v>
      </c>
      <c r="C252" s="1">
        <v>420</v>
      </c>
    </row>
    <row r="253" spans="1:3">
      <c r="A253" s="1" t="s">
        <v>470</v>
      </c>
      <c r="B253" s="1">
        <v>77</v>
      </c>
      <c r="C253" s="1">
        <v>420</v>
      </c>
    </row>
    <row r="254" spans="1:3">
      <c r="A254" s="1" t="s">
        <v>471</v>
      </c>
      <c r="B254" s="1">
        <v>57</v>
      </c>
      <c r="C254" s="1">
        <v>420</v>
      </c>
    </row>
    <row r="255" spans="1:3">
      <c r="A255" s="1" t="s">
        <v>472</v>
      </c>
      <c r="B255" s="1">
        <v>37</v>
      </c>
      <c r="C255" s="1">
        <v>420</v>
      </c>
    </row>
    <row r="256" spans="1:3">
      <c r="A256" s="1" t="s">
        <v>473</v>
      </c>
      <c r="B256" s="1">
        <v>17</v>
      </c>
      <c r="C256" s="1">
        <v>420</v>
      </c>
    </row>
    <row r="257" spans="1:3">
      <c r="A257" s="1" t="s">
        <v>474</v>
      </c>
      <c r="B257" s="1">
        <v>297</v>
      </c>
      <c r="C257" s="1">
        <v>400</v>
      </c>
    </row>
    <row r="258" spans="1:3">
      <c r="A258" s="1" t="s">
        <v>475</v>
      </c>
      <c r="B258" s="1">
        <v>297</v>
      </c>
      <c r="C258" s="1">
        <v>380</v>
      </c>
    </row>
    <row r="259" spans="1:3">
      <c r="A259" s="1" t="s">
        <v>476</v>
      </c>
      <c r="B259" s="1">
        <v>297</v>
      </c>
      <c r="C259" s="1">
        <v>360</v>
      </c>
    </row>
    <row r="260" spans="1:3">
      <c r="A260" s="1" t="s">
        <v>477</v>
      </c>
      <c r="B260" s="1">
        <v>297</v>
      </c>
      <c r="C260" s="1">
        <v>340</v>
      </c>
    </row>
    <row r="261" spans="1:3">
      <c r="A261" s="1" t="s">
        <v>478</v>
      </c>
      <c r="B261" s="1">
        <v>297</v>
      </c>
      <c r="C261" s="1">
        <v>320</v>
      </c>
    </row>
    <row r="262" spans="1:3">
      <c r="A262" s="1" t="s">
        <v>479</v>
      </c>
      <c r="B262" s="1">
        <v>297</v>
      </c>
      <c r="C262" s="1">
        <v>300</v>
      </c>
    </row>
    <row r="263" spans="1:3">
      <c r="A263" s="1" t="s">
        <v>480</v>
      </c>
      <c r="B263" s="1">
        <v>297</v>
      </c>
      <c r="C263" s="1">
        <v>280</v>
      </c>
    </row>
    <row r="264" spans="1:3">
      <c r="A264" s="1" t="s">
        <v>481</v>
      </c>
      <c r="B264" s="1">
        <v>297</v>
      </c>
      <c r="C264" s="1">
        <v>260</v>
      </c>
    </row>
    <row r="265" spans="1:3">
      <c r="A265" s="1" t="s">
        <v>482</v>
      </c>
      <c r="B265" s="1">
        <v>297</v>
      </c>
      <c r="C265" s="1">
        <v>240</v>
      </c>
    </row>
    <row r="266" spans="1:3">
      <c r="A266" s="1" t="s">
        <v>483</v>
      </c>
      <c r="B266" s="1">
        <v>297</v>
      </c>
      <c r="C266" s="1">
        <v>220</v>
      </c>
    </row>
    <row r="267" spans="1:3">
      <c r="A267" s="1" t="s">
        <v>484</v>
      </c>
      <c r="B267" s="1">
        <v>297</v>
      </c>
      <c r="C267" s="1">
        <v>200</v>
      </c>
    </row>
    <row r="268" spans="1:3">
      <c r="A268" s="1" t="s">
        <v>485</v>
      </c>
      <c r="B268" s="1">
        <v>297</v>
      </c>
      <c r="C268" s="1">
        <v>180</v>
      </c>
    </row>
    <row r="269" spans="1:3">
      <c r="A269" s="1" t="s">
        <v>486</v>
      </c>
      <c r="B269" s="1">
        <v>297</v>
      </c>
      <c r="C269" s="1">
        <v>160</v>
      </c>
    </row>
    <row r="270" spans="1:3">
      <c r="A270" s="1" t="s">
        <v>487</v>
      </c>
      <c r="B270" s="1">
        <v>297</v>
      </c>
      <c r="C270" s="1">
        <v>140</v>
      </c>
    </row>
    <row r="271" spans="1:3">
      <c r="A271" s="1" t="s">
        <v>488</v>
      </c>
    </row>
    <row r="272" spans="1:3">
      <c r="A272" s="1" t="s">
        <v>490</v>
      </c>
    </row>
    <row r="273" spans="1:3">
      <c r="A273" s="1" t="s">
        <v>491</v>
      </c>
    </row>
    <row r="274" spans="1:3">
      <c r="A274" s="1" t="s">
        <v>492</v>
      </c>
    </row>
    <row r="275" spans="1:3">
      <c r="A275" s="1" t="s">
        <v>493</v>
      </c>
    </row>
    <row r="276" spans="1:3">
      <c r="A276" s="1" t="s">
        <v>494</v>
      </c>
    </row>
    <row r="277" spans="1:3">
      <c r="A277" s="1" t="s">
        <v>495</v>
      </c>
    </row>
    <row r="278" spans="1:3">
      <c r="A278" s="1" t="s">
        <v>496</v>
      </c>
    </row>
    <row r="279" spans="1:3">
      <c r="A279" s="1" t="s">
        <v>497</v>
      </c>
    </row>
    <row r="280" spans="1:3">
      <c r="A280" s="1" t="s">
        <v>498</v>
      </c>
    </row>
    <row r="281" spans="1:3">
      <c r="A281" s="1" t="s">
        <v>499</v>
      </c>
    </row>
    <row r="282" spans="1:3">
      <c r="A282" s="1" t="s">
        <v>500</v>
      </c>
    </row>
    <row r="283" spans="1:3">
      <c r="A283" s="1" t="s">
        <v>501</v>
      </c>
    </row>
    <row r="284" spans="1:3">
      <c r="A284" s="1" t="s">
        <v>502</v>
      </c>
    </row>
    <row r="285" spans="1:3">
      <c r="A285" s="1" t="s">
        <v>503</v>
      </c>
    </row>
    <row r="286" spans="1:3">
      <c r="A286" s="2" t="s">
        <v>504</v>
      </c>
      <c r="B286" s="2">
        <v>210</v>
      </c>
      <c r="C286" s="2">
        <v>297</v>
      </c>
    </row>
    <row r="287" spans="1:3">
      <c r="A287" s="1" t="s">
        <v>507</v>
      </c>
      <c r="B287" s="1">
        <v>70</v>
      </c>
      <c r="C287" s="1">
        <v>297</v>
      </c>
    </row>
    <row r="288" spans="1:3">
      <c r="A288" s="1" t="s">
        <v>508</v>
      </c>
      <c r="B288" s="1">
        <v>210</v>
      </c>
      <c r="C288" s="1">
        <v>210</v>
      </c>
    </row>
    <row r="289" spans="1:3">
      <c r="A289" s="1" t="s">
        <v>509</v>
      </c>
      <c r="B289" s="1">
        <v>210</v>
      </c>
      <c r="C289" s="1">
        <v>105</v>
      </c>
    </row>
    <row r="290" spans="1:3">
      <c r="A290" s="1" t="s">
        <v>510</v>
      </c>
      <c r="B290" s="1">
        <v>210</v>
      </c>
      <c r="C290" s="1">
        <v>74.25</v>
      </c>
    </row>
    <row r="291" spans="1:3">
      <c r="A291" s="1" t="s">
        <v>511</v>
      </c>
      <c r="B291" s="1">
        <v>70</v>
      </c>
      <c r="C291" s="1">
        <v>105</v>
      </c>
    </row>
    <row r="292" spans="1:3">
      <c r="A292" s="1" t="s">
        <v>512</v>
      </c>
      <c r="B292" s="1">
        <v>105</v>
      </c>
      <c r="C292" s="1">
        <v>105</v>
      </c>
    </row>
    <row r="293" spans="1:3">
      <c r="A293" s="1" t="s">
        <v>513</v>
      </c>
      <c r="B293" s="1">
        <v>210</v>
      </c>
      <c r="C293" s="1">
        <v>237</v>
      </c>
    </row>
    <row r="294" spans="1:3">
      <c r="A294" s="1" t="s">
        <v>514</v>
      </c>
      <c r="B294" s="1">
        <v>70</v>
      </c>
      <c r="C294" s="1">
        <v>257</v>
      </c>
    </row>
    <row r="295" spans="1:3">
      <c r="A295" s="1" t="s">
        <v>515</v>
      </c>
      <c r="B295" s="1">
        <v>70</v>
      </c>
      <c r="C295" s="1">
        <v>237</v>
      </c>
    </row>
    <row r="296" spans="1:3">
      <c r="A296" s="1" t="s">
        <v>516</v>
      </c>
      <c r="B296" s="1">
        <v>210</v>
      </c>
      <c r="C296" s="1">
        <v>257</v>
      </c>
    </row>
    <row r="297" spans="1:3">
      <c r="A297" s="1" t="s">
        <v>517</v>
      </c>
      <c r="B297" s="1">
        <v>190</v>
      </c>
      <c r="C297" s="1">
        <v>277</v>
      </c>
    </row>
    <row r="298" spans="1:3">
      <c r="A298" s="1" t="s">
        <v>518</v>
      </c>
      <c r="B298" s="1">
        <v>170</v>
      </c>
      <c r="C298" s="1">
        <v>257</v>
      </c>
    </row>
    <row r="299" spans="1:3">
      <c r="A299" s="1" t="s">
        <v>519</v>
      </c>
      <c r="B299" s="1">
        <v>150</v>
      </c>
      <c r="C299" s="1">
        <v>237</v>
      </c>
    </row>
    <row r="300" spans="1:3">
      <c r="A300" s="1" t="s">
        <v>520</v>
      </c>
      <c r="B300" s="1">
        <v>130</v>
      </c>
      <c r="C300" s="1">
        <v>217</v>
      </c>
    </row>
    <row r="301" spans="1:3">
      <c r="A301" s="1" t="s">
        <v>521</v>
      </c>
      <c r="B301" s="1">
        <v>110</v>
      </c>
      <c r="C301" s="1">
        <v>197</v>
      </c>
    </row>
    <row r="302" spans="1:3">
      <c r="A302" s="1" t="s">
        <v>522</v>
      </c>
      <c r="B302" s="1">
        <v>90</v>
      </c>
      <c r="C302" s="1">
        <v>177</v>
      </c>
    </row>
    <row r="303" spans="1:3">
      <c r="A303" s="1" t="s">
        <v>523</v>
      </c>
      <c r="B303" s="1">
        <v>70</v>
      </c>
      <c r="C303" s="1">
        <v>157</v>
      </c>
    </row>
    <row r="304" spans="1:3">
      <c r="A304" s="1" t="s">
        <v>524</v>
      </c>
      <c r="B304" s="1">
        <v>190</v>
      </c>
      <c r="C304" s="1">
        <v>190</v>
      </c>
    </row>
    <row r="305" spans="1:3">
      <c r="A305" s="1" t="s">
        <v>525</v>
      </c>
      <c r="B305" s="1">
        <v>170</v>
      </c>
      <c r="C305" s="1">
        <v>170</v>
      </c>
    </row>
    <row r="306" spans="1:3">
      <c r="A306" s="1" t="s">
        <v>526</v>
      </c>
      <c r="B306" s="1">
        <v>150</v>
      </c>
      <c r="C306" s="1">
        <v>150</v>
      </c>
    </row>
    <row r="307" spans="1:3">
      <c r="A307" s="1" t="s">
        <v>527</v>
      </c>
      <c r="B307" s="1">
        <v>130</v>
      </c>
      <c r="C307" s="1">
        <v>130</v>
      </c>
    </row>
    <row r="308" spans="1:3">
      <c r="A308" s="1" t="s">
        <v>528</v>
      </c>
      <c r="B308" s="1">
        <v>110</v>
      </c>
      <c r="C308" s="1">
        <v>110</v>
      </c>
    </row>
    <row r="309" spans="1:3">
      <c r="A309" s="1" t="s">
        <v>529</v>
      </c>
      <c r="B309" s="1">
        <v>90</v>
      </c>
      <c r="C309" s="1">
        <v>90</v>
      </c>
    </row>
    <row r="310" spans="1:3">
      <c r="A310" s="1" t="s">
        <v>530</v>
      </c>
      <c r="B310" s="1">
        <v>70</v>
      </c>
      <c r="C310" s="1">
        <v>70</v>
      </c>
    </row>
    <row r="311" spans="1:3">
      <c r="A311" s="1" t="s">
        <v>531</v>
      </c>
      <c r="B311" s="1">
        <v>50</v>
      </c>
      <c r="C311" s="1">
        <v>50</v>
      </c>
    </row>
    <row r="312" spans="1:3">
      <c r="A312" s="1" t="s">
        <v>532</v>
      </c>
      <c r="B312" s="1">
        <v>30</v>
      </c>
      <c r="C312" s="1">
        <v>30</v>
      </c>
    </row>
    <row r="313" spans="1:3">
      <c r="A313" s="1" t="s">
        <v>533</v>
      </c>
      <c r="B313" s="1">
        <v>10</v>
      </c>
      <c r="C313" s="1">
        <v>10</v>
      </c>
    </row>
    <row r="314" spans="1:3">
      <c r="A314" s="1" t="s">
        <v>534</v>
      </c>
      <c r="B314" s="1">
        <v>190</v>
      </c>
      <c r="C314" s="1">
        <v>297</v>
      </c>
    </row>
    <row r="315" spans="1:3">
      <c r="A315" s="1" t="s">
        <v>535</v>
      </c>
      <c r="B315" s="1">
        <v>170</v>
      </c>
      <c r="C315" s="1">
        <v>297</v>
      </c>
    </row>
    <row r="316" spans="1:3">
      <c r="A316" s="1" t="s">
        <v>536</v>
      </c>
      <c r="B316" s="1">
        <v>150</v>
      </c>
      <c r="C316" s="1">
        <v>297</v>
      </c>
    </row>
    <row r="317" spans="1:3">
      <c r="A317" s="1" t="s">
        <v>537</v>
      </c>
      <c r="B317" s="1">
        <v>130</v>
      </c>
      <c r="C317" s="1">
        <v>297</v>
      </c>
    </row>
    <row r="318" spans="1:3">
      <c r="A318" s="1" t="s">
        <v>538</v>
      </c>
      <c r="B318" s="1">
        <v>110</v>
      </c>
      <c r="C318" s="1">
        <v>297</v>
      </c>
    </row>
    <row r="319" spans="1:3">
      <c r="A319" s="1" t="s">
        <v>539</v>
      </c>
      <c r="B319" s="1">
        <v>90</v>
      </c>
      <c r="C319" s="1">
        <v>297</v>
      </c>
    </row>
    <row r="320" spans="1:3">
      <c r="A320" s="1" t="s">
        <v>540</v>
      </c>
      <c r="B320" s="1">
        <v>70</v>
      </c>
      <c r="C320" s="1">
        <v>297</v>
      </c>
    </row>
    <row r="321" spans="1:3">
      <c r="A321" s="1" t="s">
        <v>541</v>
      </c>
      <c r="B321" s="1">
        <v>50</v>
      </c>
      <c r="C321" s="1">
        <v>297</v>
      </c>
    </row>
    <row r="322" spans="1:3">
      <c r="A322" s="1" t="s">
        <v>542</v>
      </c>
      <c r="B322" s="1">
        <v>30</v>
      </c>
      <c r="C322" s="1">
        <v>297</v>
      </c>
    </row>
    <row r="323" spans="1:3">
      <c r="A323" s="1" t="s">
        <v>543</v>
      </c>
      <c r="B323" s="1">
        <v>10</v>
      </c>
      <c r="C323" s="1">
        <v>297</v>
      </c>
    </row>
    <row r="324" spans="1:3">
      <c r="A324" s="1" t="s">
        <v>544</v>
      </c>
      <c r="B324" s="1">
        <v>-10</v>
      </c>
      <c r="C324" s="1">
        <v>297</v>
      </c>
    </row>
    <row r="325" spans="1:3">
      <c r="A325" s="1" t="s">
        <v>545</v>
      </c>
      <c r="B325" s="1">
        <v>-30</v>
      </c>
      <c r="C325" s="1">
        <v>297</v>
      </c>
    </row>
    <row r="326" spans="1:3">
      <c r="A326" s="1" t="s">
        <v>546</v>
      </c>
      <c r="B326" s="1">
        <v>-50</v>
      </c>
      <c r="C326" s="1">
        <v>297</v>
      </c>
    </row>
    <row r="327" spans="1:3">
      <c r="A327" s="1" t="s">
        <v>547</v>
      </c>
      <c r="B327" s="1">
        <v>-70</v>
      </c>
      <c r="C327" s="1">
        <v>297</v>
      </c>
    </row>
    <row r="328" spans="1:3">
      <c r="A328" s="1" t="s">
        <v>548</v>
      </c>
      <c r="B328" s="1">
        <v>210</v>
      </c>
      <c r="C328" s="1">
        <v>277</v>
      </c>
    </row>
    <row r="329" spans="1:3">
      <c r="A329" s="1" t="s">
        <v>549</v>
      </c>
      <c r="B329" s="1">
        <v>210</v>
      </c>
      <c r="C329" s="1">
        <v>257</v>
      </c>
    </row>
    <row r="330" spans="1:3">
      <c r="A330" s="1" t="s">
        <v>550</v>
      </c>
      <c r="B330" s="1">
        <v>210</v>
      </c>
      <c r="C330" s="1">
        <v>237</v>
      </c>
    </row>
    <row r="331" spans="1:3">
      <c r="A331" s="1" t="s">
        <v>551</v>
      </c>
      <c r="B331" s="1">
        <v>210</v>
      </c>
      <c r="C331" s="1">
        <v>217</v>
      </c>
    </row>
    <row r="332" spans="1:3">
      <c r="A332" s="1" t="s">
        <v>552</v>
      </c>
      <c r="B332" s="1">
        <v>210</v>
      </c>
      <c r="C332" s="1">
        <v>197</v>
      </c>
    </row>
    <row r="333" spans="1:3">
      <c r="A333" s="1" t="s">
        <v>553</v>
      </c>
      <c r="B333" s="1">
        <v>210</v>
      </c>
      <c r="C333" s="1">
        <v>177</v>
      </c>
    </row>
    <row r="334" spans="1:3">
      <c r="A334" s="1" t="s">
        <v>554</v>
      </c>
      <c r="B334" s="1">
        <v>210</v>
      </c>
      <c r="C334" s="1">
        <v>157</v>
      </c>
    </row>
    <row r="335" spans="1:3">
      <c r="A335" s="1" t="s">
        <v>555</v>
      </c>
      <c r="B335" s="1">
        <v>210</v>
      </c>
      <c r="C335" s="1">
        <v>137</v>
      </c>
    </row>
    <row r="336" spans="1:3">
      <c r="A336" s="1" t="s">
        <v>556</v>
      </c>
      <c r="B336" s="1">
        <v>210</v>
      </c>
      <c r="C336" s="1">
        <v>117</v>
      </c>
    </row>
    <row r="337" spans="1:3">
      <c r="A337" s="1" t="s">
        <v>557</v>
      </c>
      <c r="B337" s="1">
        <v>210</v>
      </c>
      <c r="C337" s="1">
        <v>97</v>
      </c>
    </row>
    <row r="338" spans="1:3">
      <c r="A338" s="1" t="s">
        <v>558</v>
      </c>
      <c r="B338" s="1">
        <v>210</v>
      </c>
      <c r="C338" s="1">
        <v>77</v>
      </c>
    </row>
    <row r="339" spans="1:3">
      <c r="A339" s="1" t="s">
        <v>559</v>
      </c>
      <c r="B339" s="1">
        <v>210</v>
      </c>
      <c r="C339" s="1">
        <v>57</v>
      </c>
    </row>
    <row r="340" spans="1:3">
      <c r="A340" s="1" t="s">
        <v>560</v>
      </c>
      <c r="B340" s="1">
        <v>210</v>
      </c>
      <c r="C340" s="1">
        <v>37</v>
      </c>
    </row>
    <row r="341" spans="1:3">
      <c r="A341" s="1" t="s">
        <v>561</v>
      </c>
      <c r="B341" s="1">
        <v>210</v>
      </c>
      <c r="C341" s="1">
        <v>17</v>
      </c>
    </row>
    <row r="342" spans="1:3">
      <c r="A342" s="1" t="s">
        <v>562</v>
      </c>
    </row>
    <row r="343" spans="1:3">
      <c r="A343" s="1" t="s">
        <v>564</v>
      </c>
    </row>
    <row r="344" spans="1:3">
      <c r="A344" s="1" t="s">
        <v>565</v>
      </c>
    </row>
    <row r="345" spans="1:3">
      <c r="A345" s="1" t="s">
        <v>566</v>
      </c>
    </row>
    <row r="346" spans="1:3">
      <c r="A346" s="1" t="s">
        <v>567</v>
      </c>
    </row>
    <row r="347" spans="1:3">
      <c r="A347" s="1" t="s">
        <v>568</v>
      </c>
    </row>
    <row r="348" spans="1:3">
      <c r="A348" s="1" t="s">
        <v>569</v>
      </c>
    </row>
    <row r="349" spans="1:3">
      <c r="A349" s="1" t="s">
        <v>570</v>
      </c>
    </row>
    <row r="350" spans="1:3">
      <c r="A350" s="1" t="s">
        <v>571</v>
      </c>
    </row>
    <row r="351" spans="1:3">
      <c r="A351" s="1" t="s">
        <v>572</v>
      </c>
    </row>
    <row r="352" spans="1:3">
      <c r="A352" s="1" t="s">
        <v>573</v>
      </c>
    </row>
    <row r="353" spans="1:3">
      <c r="A353" s="1" t="s">
        <v>574</v>
      </c>
    </row>
    <row r="354" spans="1:3">
      <c r="A354" s="1" t="s">
        <v>575</v>
      </c>
    </row>
    <row r="355" spans="1:3">
      <c r="A355" s="1" t="s">
        <v>576</v>
      </c>
    </row>
    <row r="356" spans="1:3">
      <c r="A356" s="1" t="s">
        <v>577</v>
      </c>
    </row>
    <row r="357" spans="1:3">
      <c r="A357" s="2" t="s">
        <v>578</v>
      </c>
      <c r="B357" s="2">
        <v>148</v>
      </c>
      <c r="C357" s="2">
        <v>210</v>
      </c>
    </row>
    <row r="358" spans="1:3">
      <c r="A358" s="1" t="s">
        <v>581</v>
      </c>
      <c r="B358" s="1">
        <v>49.333333333333343</v>
      </c>
      <c r="C358" s="1">
        <v>210</v>
      </c>
    </row>
    <row r="359" spans="1:3">
      <c r="A359" s="1" t="s">
        <v>582</v>
      </c>
      <c r="B359" s="1">
        <v>148</v>
      </c>
      <c r="C359" s="1">
        <v>148</v>
      </c>
    </row>
    <row r="360" spans="1:3">
      <c r="A360" s="1" t="s">
        <v>583</v>
      </c>
      <c r="B360" s="1">
        <v>148</v>
      </c>
      <c r="C360" s="1">
        <v>74</v>
      </c>
    </row>
    <row r="361" spans="1:3">
      <c r="A361" s="1" t="s">
        <v>584</v>
      </c>
      <c r="B361" s="1">
        <v>148</v>
      </c>
      <c r="C361" s="1">
        <v>52.5</v>
      </c>
    </row>
    <row r="362" spans="1:3">
      <c r="A362" s="1" t="s">
        <v>585</v>
      </c>
      <c r="B362" s="1">
        <v>49.333333333333343</v>
      </c>
      <c r="C362" s="1">
        <v>74</v>
      </c>
    </row>
    <row r="363" spans="1:3">
      <c r="A363" s="1" t="s">
        <v>586</v>
      </c>
      <c r="B363" s="1">
        <v>74</v>
      </c>
      <c r="C363" s="1">
        <v>74</v>
      </c>
    </row>
    <row r="364" spans="1:3">
      <c r="A364" s="1" t="s">
        <v>587</v>
      </c>
      <c r="B364" s="1">
        <v>148</v>
      </c>
      <c r="C364" s="1">
        <v>150</v>
      </c>
    </row>
    <row r="365" spans="1:3">
      <c r="A365" s="1" t="s">
        <v>588</v>
      </c>
      <c r="B365" s="1">
        <v>49.333333333333343</v>
      </c>
      <c r="C365" s="1">
        <v>170</v>
      </c>
    </row>
    <row r="366" spans="1:3">
      <c r="A366" s="1" t="s">
        <v>589</v>
      </c>
      <c r="B366" s="1">
        <v>49.333333333333343</v>
      </c>
      <c r="C366" s="1">
        <v>150</v>
      </c>
    </row>
    <row r="367" spans="1:3">
      <c r="A367" s="1" t="s">
        <v>590</v>
      </c>
      <c r="B367" s="1">
        <v>148</v>
      </c>
      <c r="C367" s="1">
        <v>170</v>
      </c>
    </row>
    <row r="368" spans="1:3">
      <c r="A368" s="1" t="s">
        <v>591</v>
      </c>
      <c r="B368" s="1">
        <v>128</v>
      </c>
      <c r="C368" s="1">
        <v>190</v>
      </c>
    </row>
    <row r="369" spans="1:3">
      <c r="A369" s="1" t="s">
        <v>592</v>
      </c>
      <c r="B369" s="1">
        <v>108</v>
      </c>
      <c r="C369" s="1">
        <v>170</v>
      </c>
    </row>
    <row r="370" spans="1:3">
      <c r="A370" s="1" t="s">
        <v>593</v>
      </c>
      <c r="B370" s="1">
        <v>88</v>
      </c>
      <c r="C370" s="1">
        <v>150</v>
      </c>
    </row>
    <row r="371" spans="1:3">
      <c r="A371" s="1" t="s">
        <v>594</v>
      </c>
      <c r="B371" s="1">
        <v>68</v>
      </c>
      <c r="C371" s="1">
        <v>130</v>
      </c>
    </row>
    <row r="372" spans="1:3">
      <c r="A372" s="1" t="s">
        <v>595</v>
      </c>
      <c r="B372" s="1">
        <v>48</v>
      </c>
      <c r="C372" s="1">
        <v>110</v>
      </c>
    </row>
    <row r="373" spans="1:3">
      <c r="A373" s="1" t="s">
        <v>596</v>
      </c>
      <c r="B373" s="1">
        <v>28</v>
      </c>
      <c r="C373" s="1">
        <v>90</v>
      </c>
    </row>
    <row r="374" spans="1:3">
      <c r="A374" s="1" t="s">
        <v>597</v>
      </c>
      <c r="B374" s="1">
        <v>8</v>
      </c>
      <c r="C374" s="1">
        <v>70</v>
      </c>
    </row>
    <row r="375" spans="1:3">
      <c r="A375" s="1" t="s">
        <v>598</v>
      </c>
      <c r="B375" s="1">
        <v>128</v>
      </c>
      <c r="C375" s="1">
        <v>128</v>
      </c>
    </row>
    <row r="376" spans="1:3">
      <c r="A376" s="1" t="s">
        <v>599</v>
      </c>
      <c r="B376" s="1">
        <v>108</v>
      </c>
      <c r="C376" s="1">
        <v>108</v>
      </c>
    </row>
    <row r="377" spans="1:3">
      <c r="A377" s="1" t="s">
        <v>600</v>
      </c>
      <c r="B377" s="1">
        <v>88</v>
      </c>
      <c r="C377" s="1">
        <v>88</v>
      </c>
    </row>
    <row r="378" spans="1:3">
      <c r="A378" s="1" t="s">
        <v>601</v>
      </c>
      <c r="B378" s="1">
        <v>68</v>
      </c>
      <c r="C378" s="1">
        <v>68</v>
      </c>
    </row>
    <row r="379" spans="1:3">
      <c r="A379" s="1" t="s">
        <v>602</v>
      </c>
      <c r="B379" s="1">
        <v>48</v>
      </c>
      <c r="C379" s="1">
        <v>48</v>
      </c>
    </row>
    <row r="380" spans="1:3">
      <c r="A380" s="1" t="s">
        <v>603</v>
      </c>
      <c r="B380" s="1">
        <v>28</v>
      </c>
      <c r="C380" s="1">
        <v>28</v>
      </c>
    </row>
    <row r="381" spans="1:3">
      <c r="A381" s="1" t="s">
        <v>604</v>
      </c>
      <c r="B381" s="1">
        <v>8</v>
      </c>
      <c r="C381" s="1">
        <v>8</v>
      </c>
    </row>
    <row r="382" spans="1:3">
      <c r="A382" s="1" t="s">
        <v>605</v>
      </c>
      <c r="B382" s="1">
        <v>-12</v>
      </c>
      <c r="C382" s="1">
        <v>-12</v>
      </c>
    </row>
    <row r="383" spans="1:3">
      <c r="A383" s="1" t="s">
        <v>606</v>
      </c>
      <c r="B383" s="1">
        <v>-32</v>
      </c>
      <c r="C383" s="1">
        <v>-32</v>
      </c>
    </row>
    <row r="384" spans="1:3">
      <c r="A384" s="1" t="s">
        <v>607</v>
      </c>
      <c r="B384" s="1">
        <v>-52</v>
      </c>
      <c r="C384" s="1">
        <v>-52</v>
      </c>
    </row>
    <row r="385" spans="1:3">
      <c r="A385" s="1" t="s">
        <v>608</v>
      </c>
      <c r="B385" s="1">
        <v>128</v>
      </c>
      <c r="C385" s="1">
        <v>210</v>
      </c>
    </row>
    <row r="386" spans="1:3">
      <c r="A386" s="1" t="s">
        <v>609</v>
      </c>
      <c r="B386" s="1">
        <v>108</v>
      </c>
      <c r="C386" s="1">
        <v>210</v>
      </c>
    </row>
    <row r="387" spans="1:3">
      <c r="A387" s="1" t="s">
        <v>610</v>
      </c>
      <c r="B387" s="1">
        <v>88</v>
      </c>
      <c r="C387" s="1">
        <v>210</v>
      </c>
    </row>
    <row r="388" spans="1:3">
      <c r="A388" s="1" t="s">
        <v>611</v>
      </c>
      <c r="B388" s="1">
        <v>68</v>
      </c>
      <c r="C388" s="1">
        <v>210</v>
      </c>
    </row>
    <row r="389" spans="1:3">
      <c r="A389" s="1" t="s">
        <v>612</v>
      </c>
      <c r="B389" s="1">
        <v>48</v>
      </c>
      <c r="C389" s="1">
        <v>210</v>
      </c>
    </row>
    <row r="390" spans="1:3">
      <c r="A390" s="1" t="s">
        <v>613</v>
      </c>
      <c r="B390" s="1">
        <v>28</v>
      </c>
      <c r="C390" s="1">
        <v>210</v>
      </c>
    </row>
    <row r="391" spans="1:3">
      <c r="A391" s="1" t="s">
        <v>614</v>
      </c>
      <c r="B391" s="1">
        <v>8</v>
      </c>
      <c r="C391" s="1">
        <v>210</v>
      </c>
    </row>
    <row r="392" spans="1:3">
      <c r="A392" s="1" t="s">
        <v>615</v>
      </c>
      <c r="B392" s="1">
        <v>-12</v>
      </c>
      <c r="C392" s="1">
        <v>210</v>
      </c>
    </row>
    <row r="393" spans="1:3">
      <c r="A393" s="1" t="s">
        <v>616</v>
      </c>
      <c r="B393" s="1">
        <v>-32</v>
      </c>
      <c r="C393" s="1">
        <v>210</v>
      </c>
    </row>
    <row r="394" spans="1:3">
      <c r="A394" s="1" t="s">
        <v>617</v>
      </c>
      <c r="B394" s="1">
        <v>-52</v>
      </c>
      <c r="C394" s="1">
        <v>210</v>
      </c>
    </row>
    <row r="395" spans="1:3">
      <c r="A395" s="1" t="s">
        <v>618</v>
      </c>
      <c r="B395" s="1">
        <v>-72</v>
      </c>
      <c r="C395" s="1">
        <v>210</v>
      </c>
    </row>
    <row r="396" spans="1:3">
      <c r="A396" s="1" t="s">
        <v>619</v>
      </c>
      <c r="B396" s="1">
        <v>-92</v>
      </c>
      <c r="C396" s="1">
        <v>210</v>
      </c>
    </row>
    <row r="397" spans="1:3">
      <c r="A397" s="1" t="s">
        <v>620</v>
      </c>
      <c r="B397" s="1">
        <v>-112</v>
      </c>
      <c r="C397" s="1">
        <v>210</v>
      </c>
    </row>
    <row r="398" spans="1:3">
      <c r="A398" s="1" t="s">
        <v>621</v>
      </c>
      <c r="B398" s="1">
        <v>-132</v>
      </c>
      <c r="C398" s="1">
        <v>210</v>
      </c>
    </row>
    <row r="399" spans="1:3">
      <c r="A399" s="1" t="s">
        <v>622</v>
      </c>
      <c r="B399" s="1">
        <v>148</v>
      </c>
      <c r="C399" s="1">
        <v>190</v>
      </c>
    </row>
    <row r="400" spans="1:3">
      <c r="A400" s="1" t="s">
        <v>623</v>
      </c>
      <c r="B400" s="1">
        <v>148</v>
      </c>
      <c r="C400" s="1">
        <v>170</v>
      </c>
    </row>
    <row r="401" spans="1:3">
      <c r="A401" s="1" t="s">
        <v>624</v>
      </c>
      <c r="B401" s="1">
        <v>148</v>
      </c>
      <c r="C401" s="1">
        <v>150</v>
      </c>
    </row>
    <row r="402" spans="1:3">
      <c r="A402" s="1" t="s">
        <v>625</v>
      </c>
      <c r="B402" s="1">
        <v>148</v>
      </c>
      <c r="C402" s="1">
        <v>130</v>
      </c>
    </row>
    <row r="403" spans="1:3">
      <c r="A403" s="1" t="s">
        <v>626</v>
      </c>
      <c r="B403" s="1">
        <v>148</v>
      </c>
      <c r="C403" s="1">
        <v>110</v>
      </c>
    </row>
    <row r="404" spans="1:3">
      <c r="A404" s="1" t="s">
        <v>627</v>
      </c>
      <c r="B404" s="1">
        <v>148</v>
      </c>
      <c r="C404" s="1">
        <v>90</v>
      </c>
    </row>
    <row r="405" spans="1:3">
      <c r="A405" s="1" t="s">
        <v>628</v>
      </c>
      <c r="B405" s="1">
        <v>148</v>
      </c>
      <c r="C405" s="1">
        <v>70</v>
      </c>
    </row>
    <row r="406" spans="1:3">
      <c r="A406" s="1" t="s">
        <v>629</v>
      </c>
      <c r="B406" s="1">
        <v>148</v>
      </c>
      <c r="C406" s="1">
        <v>50</v>
      </c>
    </row>
    <row r="407" spans="1:3">
      <c r="A407" s="1" t="s">
        <v>630</v>
      </c>
      <c r="B407" s="1">
        <v>148</v>
      </c>
      <c r="C407" s="1">
        <v>30</v>
      </c>
    </row>
    <row r="408" spans="1:3">
      <c r="A408" s="1" t="s">
        <v>631</v>
      </c>
      <c r="B408" s="1">
        <v>148</v>
      </c>
      <c r="C408" s="1">
        <v>10</v>
      </c>
    </row>
    <row r="409" spans="1:3">
      <c r="A409" s="1" t="s">
        <v>632</v>
      </c>
      <c r="B409" s="1">
        <v>148</v>
      </c>
      <c r="C409" s="1">
        <v>-10</v>
      </c>
    </row>
    <row r="410" spans="1:3">
      <c r="A410" s="1" t="s">
        <v>633</v>
      </c>
      <c r="B410" s="1">
        <v>148</v>
      </c>
      <c r="C410" s="1">
        <v>-30</v>
      </c>
    </row>
    <row r="411" spans="1:3">
      <c r="A411" s="1" t="s">
        <v>634</v>
      </c>
      <c r="B411" s="1">
        <v>148</v>
      </c>
      <c r="C411" s="1">
        <v>-50</v>
      </c>
    </row>
    <row r="412" spans="1:3">
      <c r="A412" s="1" t="s">
        <v>635</v>
      </c>
      <c r="B412" s="1">
        <v>148</v>
      </c>
      <c r="C412" s="1">
        <v>-70</v>
      </c>
    </row>
    <row r="413" spans="1:3">
      <c r="A413" s="1" t="s">
        <v>636</v>
      </c>
    </row>
    <row r="414" spans="1:3">
      <c r="A414" s="1" t="s">
        <v>638</v>
      </c>
    </row>
    <row r="415" spans="1:3">
      <c r="A415" s="1" t="s">
        <v>639</v>
      </c>
    </row>
    <row r="416" spans="1:3">
      <c r="A416" s="1" t="s">
        <v>640</v>
      </c>
    </row>
    <row r="417" spans="1:3">
      <c r="A417" s="1" t="s">
        <v>641</v>
      </c>
    </row>
    <row r="418" spans="1:3">
      <c r="A418" s="1" t="s">
        <v>642</v>
      </c>
    </row>
    <row r="419" spans="1:3">
      <c r="A419" s="1" t="s">
        <v>643</v>
      </c>
    </row>
    <row r="420" spans="1:3">
      <c r="A420" s="1" t="s">
        <v>644</v>
      </c>
    </row>
    <row r="421" spans="1:3">
      <c r="A421" s="1" t="s">
        <v>645</v>
      </c>
    </row>
    <row r="422" spans="1:3">
      <c r="A422" s="1" t="s">
        <v>646</v>
      </c>
    </row>
    <row r="423" spans="1:3">
      <c r="A423" s="1" t="s">
        <v>647</v>
      </c>
    </row>
    <row r="424" spans="1:3">
      <c r="A424" s="1" t="s">
        <v>648</v>
      </c>
    </row>
    <row r="425" spans="1:3">
      <c r="A425" s="1" t="s">
        <v>649</v>
      </c>
    </row>
    <row r="426" spans="1:3">
      <c r="A426" s="1" t="s">
        <v>650</v>
      </c>
    </row>
    <row r="427" spans="1:3">
      <c r="A427" s="1" t="s">
        <v>651</v>
      </c>
    </row>
    <row r="428" spans="1:3">
      <c r="A428" s="2" t="s">
        <v>652</v>
      </c>
      <c r="B428" s="2">
        <v>105</v>
      </c>
      <c r="C428" s="2">
        <v>148</v>
      </c>
    </row>
    <row r="429" spans="1:3">
      <c r="A429" s="1" t="s">
        <v>655</v>
      </c>
      <c r="B429" s="1">
        <v>35</v>
      </c>
      <c r="C429" s="1">
        <v>148</v>
      </c>
    </row>
    <row r="430" spans="1:3">
      <c r="A430" s="1" t="s">
        <v>656</v>
      </c>
      <c r="B430" s="1">
        <v>105</v>
      </c>
      <c r="C430" s="1">
        <v>105</v>
      </c>
    </row>
    <row r="431" spans="1:3">
      <c r="A431" s="1" t="s">
        <v>657</v>
      </c>
      <c r="B431" s="1">
        <v>105</v>
      </c>
      <c r="C431" s="1">
        <v>52.5</v>
      </c>
    </row>
    <row r="432" spans="1:3">
      <c r="A432" s="1" t="s">
        <v>658</v>
      </c>
      <c r="B432" s="1">
        <v>105</v>
      </c>
      <c r="C432" s="1">
        <v>37</v>
      </c>
    </row>
    <row r="433" spans="1:3">
      <c r="A433" s="1" t="s">
        <v>659</v>
      </c>
      <c r="B433" s="1">
        <v>35</v>
      </c>
      <c r="C433" s="1">
        <v>52.5</v>
      </c>
    </row>
    <row r="434" spans="1:3">
      <c r="A434" s="1" t="s">
        <v>660</v>
      </c>
      <c r="B434" s="1">
        <v>52.5</v>
      </c>
      <c r="C434" s="1">
        <v>52.5</v>
      </c>
    </row>
    <row r="435" spans="1:3">
      <c r="A435" s="1" t="s">
        <v>661</v>
      </c>
      <c r="B435" s="1">
        <v>105</v>
      </c>
      <c r="C435" s="1">
        <v>88</v>
      </c>
    </row>
    <row r="436" spans="1:3">
      <c r="A436" s="1" t="s">
        <v>662</v>
      </c>
      <c r="B436" s="1">
        <v>35</v>
      </c>
      <c r="C436" s="1">
        <v>108</v>
      </c>
    </row>
    <row r="437" spans="1:3">
      <c r="A437" s="1" t="s">
        <v>663</v>
      </c>
      <c r="B437" s="1">
        <v>35</v>
      </c>
      <c r="C437" s="1">
        <v>88</v>
      </c>
    </row>
    <row r="438" spans="1:3">
      <c r="A438" s="1" t="s">
        <v>664</v>
      </c>
      <c r="B438" s="1">
        <v>105</v>
      </c>
      <c r="C438" s="1">
        <v>108</v>
      </c>
    </row>
    <row r="439" spans="1:3">
      <c r="A439" s="1" t="s">
        <v>665</v>
      </c>
      <c r="B439" s="1">
        <v>85</v>
      </c>
      <c r="C439" s="1">
        <v>128</v>
      </c>
    </row>
    <row r="440" spans="1:3">
      <c r="A440" s="1" t="s">
        <v>666</v>
      </c>
      <c r="B440" s="1">
        <v>65</v>
      </c>
      <c r="C440" s="1">
        <v>108</v>
      </c>
    </row>
    <row r="441" spans="1:3">
      <c r="A441" s="1" t="s">
        <v>667</v>
      </c>
      <c r="B441" s="1">
        <v>45</v>
      </c>
      <c r="C441" s="1">
        <v>88</v>
      </c>
    </row>
    <row r="442" spans="1:3">
      <c r="A442" s="1" t="s">
        <v>668</v>
      </c>
      <c r="B442" s="1">
        <v>25</v>
      </c>
      <c r="C442" s="1">
        <v>68</v>
      </c>
    </row>
    <row r="443" spans="1:3">
      <c r="A443" s="1" t="s">
        <v>669</v>
      </c>
      <c r="B443" s="1">
        <v>5</v>
      </c>
      <c r="C443" s="1">
        <v>48</v>
      </c>
    </row>
    <row r="444" spans="1:3">
      <c r="A444" s="1" t="s">
        <v>670</v>
      </c>
      <c r="B444" s="1">
        <v>-15</v>
      </c>
      <c r="C444" s="1">
        <v>28</v>
      </c>
    </row>
    <row r="445" spans="1:3">
      <c r="A445" s="1" t="s">
        <v>671</v>
      </c>
      <c r="B445" s="1">
        <v>-35</v>
      </c>
      <c r="C445" s="1">
        <v>8</v>
      </c>
    </row>
    <row r="446" spans="1:3">
      <c r="A446" s="1" t="s">
        <v>672</v>
      </c>
      <c r="B446" s="1">
        <v>85</v>
      </c>
      <c r="C446" s="1">
        <v>85</v>
      </c>
    </row>
    <row r="447" spans="1:3">
      <c r="A447" s="1" t="s">
        <v>673</v>
      </c>
      <c r="B447" s="1">
        <v>65</v>
      </c>
      <c r="C447" s="1">
        <v>65</v>
      </c>
    </row>
    <row r="448" spans="1:3">
      <c r="A448" s="1" t="s">
        <v>674</v>
      </c>
      <c r="B448" s="1">
        <v>45</v>
      </c>
      <c r="C448" s="1">
        <v>45</v>
      </c>
    </row>
    <row r="449" spans="1:3">
      <c r="A449" s="1" t="s">
        <v>675</v>
      </c>
      <c r="B449" s="1">
        <v>25</v>
      </c>
      <c r="C449" s="1">
        <v>25</v>
      </c>
    </row>
    <row r="450" spans="1:3">
      <c r="A450" s="1" t="s">
        <v>676</v>
      </c>
      <c r="B450" s="1">
        <v>5</v>
      </c>
      <c r="C450" s="1">
        <v>5</v>
      </c>
    </row>
    <row r="451" spans="1:3">
      <c r="A451" s="1" t="s">
        <v>677</v>
      </c>
      <c r="B451" s="1">
        <v>-15</v>
      </c>
      <c r="C451" s="1">
        <v>-15</v>
      </c>
    </row>
    <row r="452" spans="1:3">
      <c r="A452" s="1" t="s">
        <v>678</v>
      </c>
      <c r="B452" s="1">
        <v>-35</v>
      </c>
      <c r="C452" s="1">
        <v>-35</v>
      </c>
    </row>
    <row r="453" spans="1:3">
      <c r="A453" s="1" t="s">
        <v>679</v>
      </c>
      <c r="B453" s="1">
        <v>-55</v>
      </c>
      <c r="C453" s="1">
        <v>-55</v>
      </c>
    </row>
    <row r="454" spans="1:3">
      <c r="A454" s="1" t="s">
        <v>680</v>
      </c>
      <c r="B454" s="1">
        <v>-75</v>
      </c>
      <c r="C454" s="1">
        <v>-75</v>
      </c>
    </row>
    <row r="455" spans="1:3">
      <c r="A455" s="1" t="s">
        <v>681</v>
      </c>
      <c r="B455" s="1">
        <v>-95</v>
      </c>
      <c r="C455" s="1">
        <v>-95</v>
      </c>
    </row>
    <row r="456" spans="1:3">
      <c r="A456" s="1" t="s">
        <v>682</v>
      </c>
      <c r="B456" s="1">
        <v>85</v>
      </c>
      <c r="C456" s="1">
        <v>148</v>
      </c>
    </row>
    <row r="457" spans="1:3">
      <c r="A457" s="1" t="s">
        <v>683</v>
      </c>
      <c r="B457" s="1">
        <v>65</v>
      </c>
      <c r="C457" s="1">
        <v>148</v>
      </c>
    </row>
    <row r="458" spans="1:3">
      <c r="A458" s="1" t="s">
        <v>684</v>
      </c>
      <c r="B458" s="1">
        <v>45</v>
      </c>
      <c r="C458" s="1">
        <v>148</v>
      </c>
    </row>
    <row r="459" spans="1:3">
      <c r="A459" s="1" t="s">
        <v>685</v>
      </c>
      <c r="B459" s="1">
        <v>25</v>
      </c>
      <c r="C459" s="1">
        <v>148</v>
      </c>
    </row>
    <row r="460" spans="1:3">
      <c r="A460" s="1" t="s">
        <v>686</v>
      </c>
      <c r="B460" s="1">
        <v>5</v>
      </c>
      <c r="C460" s="1">
        <v>148</v>
      </c>
    </row>
    <row r="461" spans="1:3">
      <c r="A461" s="1" t="s">
        <v>687</v>
      </c>
      <c r="B461" s="1">
        <v>-15</v>
      </c>
      <c r="C461" s="1">
        <v>148</v>
      </c>
    </row>
    <row r="462" spans="1:3">
      <c r="A462" s="1" t="s">
        <v>688</v>
      </c>
      <c r="B462" s="1">
        <v>-35</v>
      </c>
      <c r="C462" s="1">
        <v>148</v>
      </c>
    </row>
    <row r="463" spans="1:3">
      <c r="A463" s="1" t="s">
        <v>689</v>
      </c>
      <c r="B463" s="1">
        <v>-55</v>
      </c>
      <c r="C463" s="1">
        <v>148</v>
      </c>
    </row>
    <row r="464" spans="1:3">
      <c r="A464" s="1" t="s">
        <v>690</v>
      </c>
      <c r="B464" s="1">
        <v>-75</v>
      </c>
      <c r="C464" s="1">
        <v>148</v>
      </c>
    </row>
    <row r="465" spans="1:3">
      <c r="A465" s="1" t="s">
        <v>691</v>
      </c>
      <c r="B465" s="1">
        <v>-95</v>
      </c>
      <c r="C465" s="1">
        <v>148</v>
      </c>
    </row>
    <row r="466" spans="1:3">
      <c r="A466" s="1" t="s">
        <v>692</v>
      </c>
      <c r="B466" s="1">
        <v>-115</v>
      </c>
      <c r="C466" s="1">
        <v>148</v>
      </c>
    </row>
    <row r="467" spans="1:3">
      <c r="A467" s="1" t="s">
        <v>693</v>
      </c>
      <c r="B467" s="1">
        <v>-135</v>
      </c>
      <c r="C467" s="1">
        <v>148</v>
      </c>
    </row>
    <row r="468" spans="1:3">
      <c r="A468" s="1" t="s">
        <v>694</v>
      </c>
      <c r="B468" s="1">
        <v>-155</v>
      </c>
      <c r="C468" s="1">
        <v>148</v>
      </c>
    </row>
    <row r="469" spans="1:3">
      <c r="A469" s="1" t="s">
        <v>695</v>
      </c>
      <c r="B469" s="1">
        <v>-175</v>
      </c>
      <c r="C469" s="1">
        <v>148</v>
      </c>
    </row>
    <row r="470" spans="1:3">
      <c r="A470" s="1" t="s">
        <v>696</v>
      </c>
      <c r="B470" s="1">
        <v>105</v>
      </c>
      <c r="C470" s="1">
        <v>128</v>
      </c>
    </row>
    <row r="471" spans="1:3">
      <c r="A471" s="1" t="s">
        <v>697</v>
      </c>
      <c r="B471" s="1">
        <v>105</v>
      </c>
      <c r="C471" s="1">
        <v>108</v>
      </c>
    </row>
    <row r="472" spans="1:3">
      <c r="A472" s="1" t="s">
        <v>698</v>
      </c>
      <c r="B472" s="1">
        <v>105</v>
      </c>
      <c r="C472" s="1">
        <v>88</v>
      </c>
    </row>
    <row r="473" spans="1:3">
      <c r="A473" s="1" t="s">
        <v>699</v>
      </c>
      <c r="B473" s="1">
        <v>105</v>
      </c>
      <c r="C473" s="1">
        <v>68</v>
      </c>
    </row>
    <row r="474" spans="1:3">
      <c r="A474" s="1" t="s">
        <v>700</v>
      </c>
      <c r="B474" s="1">
        <v>105</v>
      </c>
      <c r="C474" s="1">
        <v>48</v>
      </c>
    </row>
    <row r="475" spans="1:3">
      <c r="A475" s="1" t="s">
        <v>701</v>
      </c>
      <c r="B475" s="1">
        <v>105</v>
      </c>
      <c r="C475" s="1">
        <v>28</v>
      </c>
    </row>
    <row r="476" spans="1:3">
      <c r="A476" s="1" t="s">
        <v>702</v>
      </c>
      <c r="B476" s="1">
        <v>105</v>
      </c>
      <c r="C476" s="1">
        <v>8</v>
      </c>
    </row>
    <row r="477" spans="1:3">
      <c r="A477" s="1" t="s">
        <v>703</v>
      </c>
      <c r="B477" s="1">
        <v>105</v>
      </c>
      <c r="C477" s="1">
        <v>-12</v>
      </c>
    </row>
    <row r="478" spans="1:3">
      <c r="A478" s="1" t="s">
        <v>704</v>
      </c>
      <c r="B478" s="1">
        <v>105</v>
      </c>
      <c r="C478" s="1">
        <v>-32</v>
      </c>
    </row>
    <row r="479" spans="1:3">
      <c r="A479" s="1" t="s">
        <v>705</v>
      </c>
      <c r="B479" s="1">
        <v>105</v>
      </c>
      <c r="C479" s="1">
        <v>-52</v>
      </c>
    </row>
    <row r="480" spans="1:3">
      <c r="A480" s="1" t="s">
        <v>706</v>
      </c>
      <c r="B480" s="1">
        <v>105</v>
      </c>
      <c r="C480" s="1">
        <v>-72</v>
      </c>
    </row>
    <row r="481" spans="1:3">
      <c r="A481" s="1" t="s">
        <v>707</v>
      </c>
      <c r="B481" s="1">
        <v>105</v>
      </c>
      <c r="C481" s="1">
        <v>-92</v>
      </c>
    </row>
    <row r="482" spans="1:3">
      <c r="A482" s="1" t="s">
        <v>708</v>
      </c>
      <c r="B482" s="1">
        <v>105</v>
      </c>
      <c r="C482" s="1">
        <v>-112</v>
      </c>
    </row>
    <row r="483" spans="1:3">
      <c r="A483" s="1" t="s">
        <v>709</v>
      </c>
      <c r="B483" s="1">
        <v>105</v>
      </c>
      <c r="C483" s="1">
        <v>-132</v>
      </c>
    </row>
    <row r="484" spans="1:3">
      <c r="A484" s="1" t="s">
        <v>710</v>
      </c>
    </row>
    <row r="485" spans="1:3">
      <c r="A485" s="1" t="s">
        <v>712</v>
      </c>
    </row>
    <row r="486" spans="1:3">
      <c r="A486" s="1" t="s">
        <v>713</v>
      </c>
    </row>
    <row r="487" spans="1:3">
      <c r="A487" s="1" t="s">
        <v>714</v>
      </c>
    </row>
    <row r="488" spans="1:3">
      <c r="A488" s="1" t="s">
        <v>715</v>
      </c>
    </row>
    <row r="489" spans="1:3">
      <c r="A489" s="1" t="s">
        <v>716</v>
      </c>
    </row>
    <row r="490" spans="1:3">
      <c r="A490" s="1" t="s">
        <v>717</v>
      </c>
    </row>
    <row r="491" spans="1:3">
      <c r="A491" s="1" t="s">
        <v>718</v>
      </c>
    </row>
    <row r="492" spans="1:3">
      <c r="A492" s="1" t="s">
        <v>719</v>
      </c>
    </row>
    <row r="493" spans="1:3">
      <c r="A493" s="1" t="s">
        <v>720</v>
      </c>
    </row>
    <row r="494" spans="1:3">
      <c r="A494" s="1" t="s">
        <v>721</v>
      </c>
    </row>
    <row r="495" spans="1:3">
      <c r="A495" s="1" t="s">
        <v>722</v>
      </c>
    </row>
    <row r="496" spans="1:3">
      <c r="A496" s="1" t="s">
        <v>723</v>
      </c>
    </row>
    <row r="497" spans="1:3">
      <c r="A497" s="1" t="s">
        <v>724</v>
      </c>
    </row>
    <row r="498" spans="1:3">
      <c r="A498" s="1" t="s">
        <v>725</v>
      </c>
    </row>
    <row r="499" spans="1:3">
      <c r="A499" s="2" t="s">
        <v>726</v>
      </c>
      <c r="B499" s="2">
        <v>74</v>
      </c>
      <c r="C499" s="2">
        <v>105</v>
      </c>
    </row>
    <row r="500" spans="1:3">
      <c r="A500" s="1" t="s">
        <v>729</v>
      </c>
      <c r="B500" s="1">
        <v>24.666666666666671</v>
      </c>
      <c r="C500" s="1">
        <v>105</v>
      </c>
    </row>
    <row r="501" spans="1:3">
      <c r="A501" s="1" t="s">
        <v>730</v>
      </c>
      <c r="B501" s="1">
        <v>74</v>
      </c>
      <c r="C501" s="1">
        <v>74</v>
      </c>
    </row>
    <row r="502" spans="1:3">
      <c r="A502" s="1" t="s">
        <v>731</v>
      </c>
      <c r="B502" s="1">
        <v>74</v>
      </c>
      <c r="C502" s="1">
        <v>37</v>
      </c>
    </row>
    <row r="503" spans="1:3">
      <c r="A503" s="1" t="s">
        <v>732</v>
      </c>
      <c r="B503" s="1">
        <v>74</v>
      </c>
      <c r="C503" s="1">
        <v>26.25</v>
      </c>
    </row>
    <row r="504" spans="1:3">
      <c r="A504" s="1" t="s">
        <v>733</v>
      </c>
      <c r="B504" s="1">
        <v>24.666666666666671</v>
      </c>
      <c r="C504" s="1">
        <v>37</v>
      </c>
    </row>
    <row r="505" spans="1:3">
      <c r="A505" s="1" t="s">
        <v>734</v>
      </c>
      <c r="B505" s="1">
        <v>37</v>
      </c>
      <c r="C505" s="1">
        <v>37</v>
      </c>
    </row>
    <row r="506" spans="1:3">
      <c r="A506" s="1" t="s">
        <v>735</v>
      </c>
      <c r="B506" s="1">
        <v>74</v>
      </c>
      <c r="C506" s="1">
        <v>45</v>
      </c>
    </row>
    <row r="507" spans="1:3">
      <c r="A507" s="1" t="s">
        <v>736</v>
      </c>
      <c r="B507" s="1">
        <v>24.666666666666671</v>
      </c>
      <c r="C507" s="1">
        <v>65</v>
      </c>
    </row>
    <row r="508" spans="1:3">
      <c r="A508" s="1" t="s">
        <v>737</v>
      </c>
      <c r="B508" s="1">
        <v>24.666666666666671</v>
      </c>
      <c r="C508" s="1">
        <v>45</v>
      </c>
    </row>
    <row r="509" spans="1:3">
      <c r="A509" s="1" t="s">
        <v>738</v>
      </c>
      <c r="B509" s="1">
        <v>74</v>
      </c>
      <c r="C509" s="1">
        <v>65</v>
      </c>
    </row>
    <row r="510" spans="1:3">
      <c r="A510" s="1" t="s">
        <v>739</v>
      </c>
      <c r="B510" s="1">
        <v>54</v>
      </c>
      <c r="C510" s="1">
        <v>85</v>
      </c>
    </row>
    <row r="511" spans="1:3">
      <c r="A511" s="1" t="s">
        <v>740</v>
      </c>
      <c r="B511" s="1">
        <v>34</v>
      </c>
      <c r="C511" s="1">
        <v>65</v>
      </c>
    </row>
    <row r="512" spans="1:3">
      <c r="A512" s="1" t="s">
        <v>741</v>
      </c>
      <c r="B512" s="1">
        <v>14</v>
      </c>
      <c r="C512" s="1">
        <v>45</v>
      </c>
    </row>
    <row r="513" spans="1:3">
      <c r="A513" s="1" t="s">
        <v>742</v>
      </c>
      <c r="B513" s="1">
        <v>-6</v>
      </c>
      <c r="C513" s="1">
        <v>25</v>
      </c>
    </row>
    <row r="514" spans="1:3">
      <c r="A514" s="1" t="s">
        <v>743</v>
      </c>
      <c r="B514" s="1">
        <v>-26</v>
      </c>
      <c r="C514" s="1">
        <v>5</v>
      </c>
    </row>
    <row r="515" spans="1:3">
      <c r="A515" s="1" t="s">
        <v>744</v>
      </c>
      <c r="B515" s="1">
        <v>-46</v>
      </c>
      <c r="C515" s="1">
        <v>-15</v>
      </c>
    </row>
    <row r="516" spans="1:3">
      <c r="A516" s="1" t="s">
        <v>745</v>
      </c>
      <c r="B516" s="1">
        <v>-66</v>
      </c>
      <c r="C516" s="1">
        <v>-35</v>
      </c>
    </row>
    <row r="517" spans="1:3">
      <c r="A517" s="1" t="s">
        <v>746</v>
      </c>
      <c r="B517" s="1">
        <v>54</v>
      </c>
      <c r="C517" s="1">
        <v>54</v>
      </c>
    </row>
    <row r="518" spans="1:3">
      <c r="A518" s="1" t="s">
        <v>747</v>
      </c>
      <c r="B518" s="1">
        <v>34</v>
      </c>
      <c r="C518" s="1">
        <v>34</v>
      </c>
    </row>
    <row r="519" spans="1:3">
      <c r="A519" s="1" t="s">
        <v>748</v>
      </c>
      <c r="B519" s="1">
        <v>14</v>
      </c>
      <c r="C519" s="1">
        <v>14</v>
      </c>
    </row>
    <row r="520" spans="1:3">
      <c r="A520" s="1" t="s">
        <v>749</v>
      </c>
      <c r="B520" s="1">
        <v>-6</v>
      </c>
      <c r="C520" s="1">
        <v>-6</v>
      </c>
    </row>
    <row r="521" spans="1:3">
      <c r="A521" s="1" t="s">
        <v>750</v>
      </c>
      <c r="B521" s="1">
        <v>-26</v>
      </c>
      <c r="C521" s="1">
        <v>-26</v>
      </c>
    </row>
    <row r="522" spans="1:3">
      <c r="A522" s="1" t="s">
        <v>751</v>
      </c>
      <c r="B522" s="1">
        <v>-46</v>
      </c>
      <c r="C522" s="1">
        <v>-46</v>
      </c>
    </row>
    <row r="523" spans="1:3">
      <c r="A523" s="1" t="s">
        <v>752</v>
      </c>
      <c r="B523" s="1">
        <v>-66</v>
      </c>
      <c r="C523" s="1">
        <v>-66</v>
      </c>
    </row>
    <row r="524" spans="1:3">
      <c r="A524" s="1" t="s">
        <v>753</v>
      </c>
      <c r="B524" s="1">
        <v>-86</v>
      </c>
      <c r="C524" s="1">
        <v>-86</v>
      </c>
    </row>
    <row r="525" spans="1:3">
      <c r="A525" s="1" t="s">
        <v>754</v>
      </c>
      <c r="B525" s="1">
        <v>-106</v>
      </c>
      <c r="C525" s="1">
        <v>-106</v>
      </c>
    </row>
    <row r="526" spans="1:3">
      <c r="A526" s="1" t="s">
        <v>755</v>
      </c>
      <c r="B526" s="1">
        <v>-126</v>
      </c>
      <c r="C526" s="1">
        <v>-126</v>
      </c>
    </row>
    <row r="527" spans="1:3">
      <c r="A527" s="1" t="s">
        <v>756</v>
      </c>
      <c r="B527" s="1">
        <v>54</v>
      </c>
      <c r="C527" s="1">
        <v>105</v>
      </c>
    </row>
    <row r="528" spans="1:3">
      <c r="A528" s="1" t="s">
        <v>757</v>
      </c>
      <c r="B528" s="1">
        <v>34</v>
      </c>
      <c r="C528" s="1">
        <v>105</v>
      </c>
    </row>
    <row r="529" spans="1:3">
      <c r="A529" s="1" t="s">
        <v>758</v>
      </c>
      <c r="B529" s="1">
        <v>14</v>
      </c>
      <c r="C529" s="1">
        <v>105</v>
      </c>
    </row>
    <row r="530" spans="1:3">
      <c r="A530" s="1" t="s">
        <v>759</v>
      </c>
      <c r="B530" s="1">
        <v>-6</v>
      </c>
      <c r="C530" s="1">
        <v>105</v>
      </c>
    </row>
    <row r="531" spans="1:3">
      <c r="A531" s="1" t="s">
        <v>760</v>
      </c>
      <c r="B531" s="1">
        <v>-26</v>
      </c>
      <c r="C531" s="1">
        <v>105</v>
      </c>
    </row>
    <row r="532" spans="1:3">
      <c r="A532" s="1" t="s">
        <v>761</v>
      </c>
      <c r="B532" s="1">
        <v>-46</v>
      </c>
      <c r="C532" s="1">
        <v>105</v>
      </c>
    </row>
    <row r="533" spans="1:3">
      <c r="A533" s="1" t="s">
        <v>762</v>
      </c>
      <c r="B533" s="1">
        <v>-66</v>
      </c>
      <c r="C533" s="1">
        <v>105</v>
      </c>
    </row>
    <row r="534" spans="1:3">
      <c r="A534" s="1" t="s">
        <v>763</v>
      </c>
      <c r="B534" s="1">
        <v>-86</v>
      </c>
      <c r="C534" s="1">
        <v>105</v>
      </c>
    </row>
    <row r="535" spans="1:3">
      <c r="A535" s="1" t="s">
        <v>764</v>
      </c>
      <c r="B535" s="1">
        <v>-106</v>
      </c>
      <c r="C535" s="1">
        <v>105</v>
      </c>
    </row>
    <row r="536" spans="1:3">
      <c r="A536" s="1" t="s">
        <v>765</v>
      </c>
      <c r="B536" s="1">
        <v>-126</v>
      </c>
      <c r="C536" s="1">
        <v>105</v>
      </c>
    </row>
    <row r="537" spans="1:3">
      <c r="A537" s="1" t="s">
        <v>766</v>
      </c>
      <c r="B537" s="1">
        <v>-146</v>
      </c>
      <c r="C537" s="1">
        <v>105</v>
      </c>
    </row>
    <row r="538" spans="1:3">
      <c r="A538" s="1" t="s">
        <v>767</v>
      </c>
      <c r="B538" s="1">
        <v>-166</v>
      </c>
      <c r="C538" s="1">
        <v>105</v>
      </c>
    </row>
    <row r="539" spans="1:3">
      <c r="A539" s="1" t="s">
        <v>768</v>
      </c>
      <c r="B539" s="1">
        <v>-186</v>
      </c>
      <c r="C539" s="1">
        <v>105</v>
      </c>
    </row>
    <row r="540" spans="1:3">
      <c r="A540" s="1" t="s">
        <v>769</v>
      </c>
      <c r="B540" s="1">
        <v>-206</v>
      </c>
      <c r="C540" s="1">
        <v>105</v>
      </c>
    </row>
    <row r="541" spans="1:3">
      <c r="A541" s="1" t="s">
        <v>770</v>
      </c>
      <c r="B541" s="1">
        <v>74</v>
      </c>
      <c r="C541" s="1">
        <v>85</v>
      </c>
    </row>
    <row r="542" spans="1:3">
      <c r="A542" s="1" t="s">
        <v>771</v>
      </c>
      <c r="B542" s="1">
        <v>74</v>
      </c>
      <c r="C542" s="1">
        <v>65</v>
      </c>
    </row>
    <row r="543" spans="1:3">
      <c r="A543" s="1" t="s">
        <v>772</v>
      </c>
      <c r="B543" s="1">
        <v>74</v>
      </c>
      <c r="C543" s="1">
        <v>45</v>
      </c>
    </row>
    <row r="544" spans="1:3">
      <c r="A544" s="1" t="s">
        <v>773</v>
      </c>
      <c r="B544" s="1">
        <v>74</v>
      </c>
      <c r="C544" s="1">
        <v>25</v>
      </c>
    </row>
    <row r="545" spans="1:3">
      <c r="A545" s="1" t="s">
        <v>774</v>
      </c>
      <c r="B545" s="1">
        <v>74</v>
      </c>
      <c r="C545" s="1">
        <v>5</v>
      </c>
    </row>
    <row r="546" spans="1:3">
      <c r="A546" s="1" t="s">
        <v>775</v>
      </c>
      <c r="B546" s="1">
        <v>74</v>
      </c>
      <c r="C546" s="1">
        <v>-15</v>
      </c>
    </row>
    <row r="547" spans="1:3">
      <c r="A547" s="1" t="s">
        <v>776</v>
      </c>
      <c r="B547" s="1">
        <v>74</v>
      </c>
      <c r="C547" s="1">
        <v>-35</v>
      </c>
    </row>
    <row r="548" spans="1:3">
      <c r="A548" s="1" t="s">
        <v>777</v>
      </c>
      <c r="B548" s="1">
        <v>74</v>
      </c>
      <c r="C548" s="1">
        <v>-55</v>
      </c>
    </row>
    <row r="549" spans="1:3">
      <c r="A549" s="1" t="s">
        <v>778</v>
      </c>
      <c r="B549" s="1">
        <v>74</v>
      </c>
      <c r="C549" s="1">
        <v>-75</v>
      </c>
    </row>
    <row r="550" spans="1:3">
      <c r="A550" s="1" t="s">
        <v>779</v>
      </c>
      <c r="B550" s="1">
        <v>74</v>
      </c>
      <c r="C550" s="1">
        <v>-95</v>
      </c>
    </row>
    <row r="551" spans="1:3">
      <c r="A551" s="1" t="s">
        <v>780</v>
      </c>
      <c r="B551" s="1">
        <v>74</v>
      </c>
      <c r="C551" s="1">
        <v>-115</v>
      </c>
    </row>
    <row r="552" spans="1:3">
      <c r="A552" s="1" t="s">
        <v>781</v>
      </c>
      <c r="B552" s="1">
        <v>74</v>
      </c>
      <c r="C552" s="1">
        <v>-135</v>
      </c>
    </row>
    <row r="553" spans="1:3">
      <c r="A553" s="1" t="s">
        <v>782</v>
      </c>
      <c r="B553" s="1">
        <v>74</v>
      </c>
      <c r="C553" s="1">
        <v>-155</v>
      </c>
    </row>
    <row r="554" spans="1:3">
      <c r="A554" s="1" t="s">
        <v>783</v>
      </c>
      <c r="B554" s="1">
        <v>74</v>
      </c>
      <c r="C554" s="1">
        <v>-175</v>
      </c>
    </row>
    <row r="555" spans="1:3">
      <c r="A555" s="1" t="s">
        <v>784</v>
      </c>
    </row>
    <row r="556" spans="1:3">
      <c r="A556" s="1" t="s">
        <v>786</v>
      </c>
    </row>
    <row r="557" spans="1:3">
      <c r="A557" s="1" t="s">
        <v>787</v>
      </c>
    </row>
    <row r="558" spans="1:3">
      <c r="A558" s="1" t="s">
        <v>788</v>
      </c>
    </row>
    <row r="559" spans="1:3">
      <c r="A559" s="1" t="s">
        <v>789</v>
      </c>
    </row>
    <row r="560" spans="1:3">
      <c r="A560" s="1" t="s">
        <v>790</v>
      </c>
    </row>
    <row r="561" spans="1:3">
      <c r="A561" s="1" t="s">
        <v>791</v>
      </c>
    </row>
    <row r="562" spans="1:3">
      <c r="A562" s="1" t="s">
        <v>792</v>
      </c>
    </row>
    <row r="563" spans="1:3">
      <c r="A563" s="1" t="s">
        <v>793</v>
      </c>
    </row>
    <row r="564" spans="1:3">
      <c r="A564" s="1" t="s">
        <v>794</v>
      </c>
    </row>
    <row r="565" spans="1:3">
      <c r="A565" s="1" t="s">
        <v>795</v>
      </c>
    </row>
    <row r="566" spans="1:3">
      <c r="A566" s="1" t="s">
        <v>796</v>
      </c>
    </row>
    <row r="567" spans="1:3">
      <c r="A567" s="1" t="s">
        <v>797</v>
      </c>
    </row>
    <row r="568" spans="1:3">
      <c r="A568" s="1" t="s">
        <v>798</v>
      </c>
    </row>
    <row r="569" spans="1:3">
      <c r="A569" s="1" t="s">
        <v>799</v>
      </c>
    </row>
    <row r="570" spans="1:3">
      <c r="A570" s="2" t="s">
        <v>800</v>
      </c>
      <c r="B570" s="2">
        <v>52</v>
      </c>
      <c r="C570" s="2">
        <v>74</v>
      </c>
    </row>
    <row r="571" spans="1:3">
      <c r="A571" s="1" t="s">
        <v>803</v>
      </c>
      <c r="B571" s="1">
        <v>17.333333333333329</v>
      </c>
      <c r="C571" s="1">
        <v>74</v>
      </c>
    </row>
    <row r="572" spans="1:3">
      <c r="A572" s="1" t="s">
        <v>804</v>
      </c>
      <c r="B572" s="1">
        <v>52</v>
      </c>
      <c r="C572" s="1">
        <v>52</v>
      </c>
    </row>
    <row r="573" spans="1:3">
      <c r="A573" s="1" t="s">
        <v>805</v>
      </c>
      <c r="B573" s="1">
        <v>52</v>
      </c>
      <c r="C573" s="1">
        <v>26</v>
      </c>
    </row>
    <row r="574" spans="1:3">
      <c r="A574" s="1" t="s">
        <v>806</v>
      </c>
      <c r="B574" s="1">
        <v>52</v>
      </c>
      <c r="C574" s="1">
        <v>18.5</v>
      </c>
    </row>
    <row r="575" spans="1:3">
      <c r="A575" s="1" t="s">
        <v>807</v>
      </c>
      <c r="B575" s="1">
        <v>17.333333333333329</v>
      </c>
      <c r="C575" s="1">
        <v>26</v>
      </c>
    </row>
    <row r="576" spans="1:3">
      <c r="A576" s="1" t="s">
        <v>808</v>
      </c>
      <c r="B576" s="1">
        <v>26</v>
      </c>
      <c r="C576" s="1">
        <v>26</v>
      </c>
    </row>
    <row r="577" spans="1:3">
      <c r="A577" s="1" t="s">
        <v>809</v>
      </c>
      <c r="B577" s="1">
        <v>52</v>
      </c>
      <c r="C577" s="1">
        <v>14</v>
      </c>
    </row>
    <row r="578" spans="1:3">
      <c r="A578" s="1" t="s">
        <v>810</v>
      </c>
      <c r="B578" s="1">
        <v>17.333333333333329</v>
      </c>
      <c r="C578" s="1">
        <v>34</v>
      </c>
    </row>
    <row r="579" spans="1:3">
      <c r="A579" s="1" t="s">
        <v>811</v>
      </c>
      <c r="B579" s="1">
        <v>17.333333333333329</v>
      </c>
      <c r="C579" s="1">
        <v>14</v>
      </c>
    </row>
    <row r="580" spans="1:3">
      <c r="A580" s="1" t="s">
        <v>812</v>
      </c>
      <c r="B580" s="1">
        <v>52</v>
      </c>
      <c r="C580" s="1">
        <v>34</v>
      </c>
    </row>
    <row r="581" spans="1:3">
      <c r="A581" s="1" t="s">
        <v>813</v>
      </c>
      <c r="B581" s="1">
        <v>32</v>
      </c>
      <c r="C581" s="1">
        <v>54</v>
      </c>
    </row>
    <row r="582" spans="1:3">
      <c r="A582" s="1" t="s">
        <v>814</v>
      </c>
      <c r="B582" s="1">
        <v>12</v>
      </c>
      <c r="C582" s="1">
        <v>34</v>
      </c>
    </row>
    <row r="583" spans="1:3">
      <c r="A583" s="1" t="s">
        <v>815</v>
      </c>
      <c r="B583" s="1">
        <v>-8</v>
      </c>
      <c r="C583" s="1">
        <v>14</v>
      </c>
    </row>
    <row r="584" spans="1:3">
      <c r="A584" s="1" t="s">
        <v>816</v>
      </c>
      <c r="B584" s="1">
        <v>-28</v>
      </c>
      <c r="C584" s="1">
        <v>-6</v>
      </c>
    </row>
    <row r="585" spans="1:3">
      <c r="A585" s="1" t="s">
        <v>817</v>
      </c>
      <c r="B585" s="1">
        <v>-48</v>
      </c>
      <c r="C585" s="1">
        <v>-26</v>
      </c>
    </row>
    <row r="586" spans="1:3">
      <c r="A586" s="1" t="s">
        <v>818</v>
      </c>
      <c r="B586" s="1">
        <v>-68</v>
      </c>
      <c r="C586" s="1">
        <v>-46</v>
      </c>
    </row>
    <row r="587" spans="1:3">
      <c r="A587" s="1" t="s">
        <v>819</v>
      </c>
      <c r="B587" s="1">
        <v>-88</v>
      </c>
      <c r="C587" s="1">
        <v>-66</v>
      </c>
    </row>
    <row r="588" spans="1:3">
      <c r="A588" s="1" t="s">
        <v>820</v>
      </c>
      <c r="B588" s="1">
        <v>32</v>
      </c>
      <c r="C588" s="1">
        <v>32</v>
      </c>
    </row>
    <row r="589" spans="1:3">
      <c r="A589" s="1" t="s">
        <v>821</v>
      </c>
      <c r="B589" s="1">
        <v>12</v>
      </c>
      <c r="C589" s="1">
        <v>12</v>
      </c>
    </row>
    <row r="590" spans="1:3">
      <c r="A590" s="1" t="s">
        <v>822</v>
      </c>
      <c r="B590" s="1">
        <v>-8</v>
      </c>
      <c r="C590" s="1">
        <v>-8</v>
      </c>
    </row>
    <row r="591" spans="1:3">
      <c r="A591" s="1" t="s">
        <v>823</v>
      </c>
      <c r="B591" s="1">
        <v>-28</v>
      </c>
      <c r="C591" s="1">
        <v>-28</v>
      </c>
    </row>
    <row r="592" spans="1:3">
      <c r="A592" s="1" t="s">
        <v>824</v>
      </c>
      <c r="B592" s="1">
        <v>-48</v>
      </c>
      <c r="C592" s="1">
        <v>-48</v>
      </c>
    </row>
    <row r="593" spans="1:3">
      <c r="A593" s="1" t="s">
        <v>825</v>
      </c>
      <c r="B593" s="1">
        <v>-68</v>
      </c>
      <c r="C593" s="1">
        <v>-68</v>
      </c>
    </row>
    <row r="594" spans="1:3">
      <c r="A594" s="1" t="s">
        <v>826</v>
      </c>
      <c r="B594" s="1">
        <v>-88</v>
      </c>
      <c r="C594" s="1">
        <v>-88</v>
      </c>
    </row>
    <row r="595" spans="1:3">
      <c r="A595" s="1" t="s">
        <v>827</v>
      </c>
      <c r="B595" s="1">
        <v>-108</v>
      </c>
      <c r="C595" s="1">
        <v>-108</v>
      </c>
    </row>
    <row r="596" spans="1:3">
      <c r="A596" s="1" t="s">
        <v>828</v>
      </c>
      <c r="B596" s="1">
        <v>-128</v>
      </c>
      <c r="C596" s="1">
        <v>-128</v>
      </c>
    </row>
    <row r="597" spans="1:3">
      <c r="A597" s="1" t="s">
        <v>829</v>
      </c>
      <c r="B597" s="1">
        <v>-148</v>
      </c>
      <c r="C597" s="1">
        <v>-148</v>
      </c>
    </row>
    <row r="598" spans="1:3">
      <c r="A598" s="1" t="s">
        <v>830</v>
      </c>
      <c r="B598" s="1">
        <v>32</v>
      </c>
      <c r="C598" s="1">
        <v>74</v>
      </c>
    </row>
    <row r="599" spans="1:3">
      <c r="A599" s="1" t="s">
        <v>831</v>
      </c>
      <c r="B599" s="1">
        <v>12</v>
      </c>
      <c r="C599" s="1">
        <v>74</v>
      </c>
    </row>
    <row r="600" spans="1:3">
      <c r="A600" s="1" t="s">
        <v>832</v>
      </c>
      <c r="B600" s="1">
        <v>-8</v>
      </c>
      <c r="C600" s="1">
        <v>74</v>
      </c>
    </row>
    <row r="601" spans="1:3">
      <c r="A601" s="1" t="s">
        <v>833</v>
      </c>
      <c r="B601" s="1">
        <v>-28</v>
      </c>
      <c r="C601" s="1">
        <v>74</v>
      </c>
    </row>
    <row r="602" spans="1:3">
      <c r="A602" s="1" t="s">
        <v>834</v>
      </c>
      <c r="B602" s="1">
        <v>-48</v>
      </c>
      <c r="C602" s="1">
        <v>74</v>
      </c>
    </row>
    <row r="603" spans="1:3">
      <c r="A603" s="1" t="s">
        <v>835</v>
      </c>
      <c r="B603" s="1">
        <v>-68</v>
      </c>
      <c r="C603" s="1">
        <v>74</v>
      </c>
    </row>
    <row r="604" spans="1:3">
      <c r="A604" s="1" t="s">
        <v>836</v>
      </c>
      <c r="B604" s="1">
        <v>-88</v>
      </c>
      <c r="C604" s="1">
        <v>74</v>
      </c>
    </row>
    <row r="605" spans="1:3">
      <c r="A605" s="1" t="s">
        <v>837</v>
      </c>
      <c r="B605" s="1">
        <v>-108</v>
      </c>
      <c r="C605" s="1">
        <v>74</v>
      </c>
    </row>
    <row r="606" spans="1:3">
      <c r="A606" s="1" t="s">
        <v>838</v>
      </c>
      <c r="B606" s="1">
        <v>-128</v>
      </c>
      <c r="C606" s="1">
        <v>74</v>
      </c>
    </row>
    <row r="607" spans="1:3">
      <c r="A607" s="1" t="s">
        <v>839</v>
      </c>
      <c r="B607" s="1">
        <v>-148</v>
      </c>
      <c r="C607" s="1">
        <v>74</v>
      </c>
    </row>
    <row r="608" spans="1:3">
      <c r="A608" s="1" t="s">
        <v>840</v>
      </c>
      <c r="B608" s="1">
        <v>-168</v>
      </c>
      <c r="C608" s="1">
        <v>74</v>
      </c>
    </row>
    <row r="609" spans="1:3">
      <c r="A609" s="1" t="s">
        <v>841</v>
      </c>
      <c r="B609" s="1">
        <v>-188</v>
      </c>
      <c r="C609" s="1">
        <v>74</v>
      </c>
    </row>
    <row r="610" spans="1:3">
      <c r="A610" s="1" t="s">
        <v>842</v>
      </c>
      <c r="B610" s="1">
        <v>-208</v>
      </c>
      <c r="C610" s="1">
        <v>74</v>
      </c>
    </row>
    <row r="611" spans="1:3">
      <c r="A611" s="1" t="s">
        <v>843</v>
      </c>
      <c r="B611" s="1">
        <v>-228</v>
      </c>
      <c r="C611" s="1">
        <v>74</v>
      </c>
    </row>
    <row r="612" spans="1:3">
      <c r="A612" s="1" t="s">
        <v>844</v>
      </c>
      <c r="B612" s="1">
        <v>52</v>
      </c>
      <c r="C612" s="1">
        <v>54</v>
      </c>
    </row>
    <row r="613" spans="1:3">
      <c r="A613" s="1" t="s">
        <v>845</v>
      </c>
      <c r="B613" s="1">
        <v>52</v>
      </c>
      <c r="C613" s="1">
        <v>34</v>
      </c>
    </row>
    <row r="614" spans="1:3">
      <c r="A614" s="1" t="s">
        <v>846</v>
      </c>
      <c r="B614" s="1">
        <v>52</v>
      </c>
      <c r="C614" s="1">
        <v>14</v>
      </c>
    </row>
    <row r="615" spans="1:3">
      <c r="A615" s="1" t="s">
        <v>847</v>
      </c>
      <c r="B615" s="1">
        <v>52</v>
      </c>
      <c r="C615" s="1">
        <v>-6</v>
      </c>
    </row>
    <row r="616" spans="1:3">
      <c r="A616" s="1" t="s">
        <v>848</v>
      </c>
      <c r="B616" s="1">
        <v>52</v>
      </c>
      <c r="C616" s="1">
        <v>-26</v>
      </c>
    </row>
    <row r="617" spans="1:3">
      <c r="A617" s="1" t="s">
        <v>849</v>
      </c>
      <c r="B617" s="1">
        <v>52</v>
      </c>
      <c r="C617" s="1">
        <v>-46</v>
      </c>
    </row>
    <row r="618" spans="1:3">
      <c r="A618" s="1" t="s">
        <v>850</v>
      </c>
      <c r="B618" s="1">
        <v>52</v>
      </c>
      <c r="C618" s="1">
        <v>-66</v>
      </c>
    </row>
    <row r="619" spans="1:3">
      <c r="A619" s="1" t="s">
        <v>851</v>
      </c>
      <c r="B619" s="1">
        <v>52</v>
      </c>
      <c r="C619" s="1">
        <v>-86</v>
      </c>
    </row>
    <row r="620" spans="1:3">
      <c r="A620" s="1" t="s">
        <v>852</v>
      </c>
      <c r="B620" s="1">
        <v>52</v>
      </c>
      <c r="C620" s="1">
        <v>-106</v>
      </c>
    </row>
    <row r="621" spans="1:3">
      <c r="A621" s="1" t="s">
        <v>853</v>
      </c>
      <c r="B621" s="1">
        <v>52</v>
      </c>
      <c r="C621" s="1">
        <v>-126</v>
      </c>
    </row>
    <row r="622" spans="1:3">
      <c r="A622" s="1" t="s">
        <v>854</v>
      </c>
      <c r="B622" s="1">
        <v>52</v>
      </c>
      <c r="C622" s="1">
        <v>-146</v>
      </c>
    </row>
    <row r="623" spans="1:3">
      <c r="A623" s="1" t="s">
        <v>855</v>
      </c>
      <c r="B623" s="1">
        <v>52</v>
      </c>
      <c r="C623" s="1">
        <v>-166</v>
      </c>
    </row>
    <row r="624" spans="1:3">
      <c r="A624" s="1" t="s">
        <v>856</v>
      </c>
      <c r="B624" s="1">
        <v>52</v>
      </c>
      <c r="C624" s="1">
        <v>-186</v>
      </c>
    </row>
    <row r="625" spans="1:3">
      <c r="A625" s="1" t="s">
        <v>857</v>
      </c>
      <c r="B625" s="1">
        <v>52</v>
      </c>
      <c r="C625" s="1">
        <v>-206</v>
      </c>
    </row>
    <row r="626" spans="1:3">
      <c r="A626" s="1" t="s">
        <v>858</v>
      </c>
    </row>
    <row r="627" spans="1:3">
      <c r="A627" s="1" t="s">
        <v>860</v>
      </c>
    </row>
    <row r="628" spans="1:3">
      <c r="A628" s="1" t="s">
        <v>861</v>
      </c>
    </row>
    <row r="629" spans="1:3">
      <c r="A629" s="1" t="s">
        <v>862</v>
      </c>
    </row>
    <row r="630" spans="1:3">
      <c r="A630" s="1" t="s">
        <v>863</v>
      </c>
    </row>
    <row r="631" spans="1:3">
      <c r="A631" s="1" t="s">
        <v>864</v>
      </c>
    </row>
    <row r="632" spans="1:3">
      <c r="A632" s="1" t="s">
        <v>865</v>
      </c>
    </row>
    <row r="633" spans="1:3">
      <c r="A633" s="1" t="s">
        <v>866</v>
      </c>
    </row>
    <row r="634" spans="1:3">
      <c r="A634" s="1" t="s">
        <v>867</v>
      </c>
    </row>
    <row r="635" spans="1:3">
      <c r="A635" s="1" t="s">
        <v>868</v>
      </c>
    </row>
    <row r="636" spans="1:3">
      <c r="A636" s="1" t="s">
        <v>869</v>
      </c>
    </row>
    <row r="637" spans="1:3">
      <c r="A637" s="1" t="s">
        <v>870</v>
      </c>
    </row>
    <row r="638" spans="1:3">
      <c r="A638" s="1" t="s">
        <v>871</v>
      </c>
    </row>
    <row r="639" spans="1:3">
      <c r="A639" s="1" t="s">
        <v>872</v>
      </c>
    </row>
    <row r="640" spans="1:3">
      <c r="A640" s="1" t="s">
        <v>873</v>
      </c>
    </row>
    <row r="641" spans="1:3">
      <c r="A641" s="2" t="s">
        <v>874</v>
      </c>
      <c r="B641" s="2">
        <v>37</v>
      </c>
      <c r="C641" s="2">
        <v>52</v>
      </c>
    </row>
    <row r="642" spans="1:3">
      <c r="A642" s="1" t="s">
        <v>877</v>
      </c>
      <c r="B642" s="1">
        <v>12.33333333333333</v>
      </c>
      <c r="C642" s="1">
        <v>52</v>
      </c>
    </row>
    <row r="643" spans="1:3">
      <c r="A643" s="1" t="s">
        <v>878</v>
      </c>
      <c r="B643" s="1">
        <v>37</v>
      </c>
      <c r="C643" s="1">
        <v>37</v>
      </c>
    </row>
    <row r="644" spans="1:3">
      <c r="A644" s="1" t="s">
        <v>879</v>
      </c>
      <c r="B644" s="1">
        <v>37</v>
      </c>
      <c r="C644" s="1">
        <v>18.5</v>
      </c>
    </row>
    <row r="645" spans="1:3">
      <c r="A645" s="1" t="s">
        <v>880</v>
      </c>
      <c r="B645" s="1">
        <v>37</v>
      </c>
      <c r="C645" s="1">
        <v>13</v>
      </c>
    </row>
    <row r="646" spans="1:3">
      <c r="A646" s="1" t="s">
        <v>881</v>
      </c>
      <c r="B646" s="1">
        <v>12.33333333333333</v>
      </c>
      <c r="C646" s="1">
        <v>18.5</v>
      </c>
    </row>
    <row r="647" spans="1:3">
      <c r="A647" s="1" t="s">
        <v>882</v>
      </c>
      <c r="B647" s="1">
        <v>18.5</v>
      </c>
      <c r="C647" s="1">
        <v>18.5</v>
      </c>
    </row>
    <row r="648" spans="1:3">
      <c r="A648" s="1" t="s">
        <v>883</v>
      </c>
      <c r="B648" s="1">
        <v>37</v>
      </c>
      <c r="C648" s="1">
        <v>-8</v>
      </c>
    </row>
    <row r="649" spans="1:3">
      <c r="A649" s="1" t="s">
        <v>884</v>
      </c>
      <c r="B649" s="1">
        <v>12.33333333333333</v>
      </c>
      <c r="C649" s="1">
        <v>12</v>
      </c>
    </row>
    <row r="650" spans="1:3">
      <c r="A650" s="1" t="s">
        <v>885</v>
      </c>
      <c r="B650" s="1">
        <v>12.33333333333333</v>
      </c>
      <c r="C650" s="1">
        <v>-8</v>
      </c>
    </row>
    <row r="651" spans="1:3">
      <c r="A651" s="1" t="s">
        <v>886</v>
      </c>
      <c r="B651" s="1">
        <v>37</v>
      </c>
      <c r="C651" s="1">
        <v>12</v>
      </c>
    </row>
    <row r="652" spans="1:3">
      <c r="A652" s="1" t="s">
        <v>887</v>
      </c>
      <c r="B652" s="1">
        <v>17</v>
      </c>
      <c r="C652" s="1">
        <v>32</v>
      </c>
    </row>
    <row r="653" spans="1:3">
      <c r="A653" s="1" t="s">
        <v>888</v>
      </c>
      <c r="B653" s="1">
        <v>-3</v>
      </c>
      <c r="C653" s="1">
        <v>12</v>
      </c>
    </row>
    <row r="654" spans="1:3">
      <c r="A654" s="1" t="s">
        <v>889</v>
      </c>
      <c r="B654" s="1">
        <v>-23</v>
      </c>
      <c r="C654" s="1">
        <v>-8</v>
      </c>
    </row>
    <row r="655" spans="1:3">
      <c r="A655" s="1" t="s">
        <v>890</v>
      </c>
      <c r="B655" s="1">
        <v>-43</v>
      </c>
      <c r="C655" s="1">
        <v>-28</v>
      </c>
    </row>
    <row r="656" spans="1:3">
      <c r="A656" s="1" t="s">
        <v>891</v>
      </c>
      <c r="B656" s="1">
        <v>-63</v>
      </c>
      <c r="C656" s="1">
        <v>-48</v>
      </c>
    </row>
    <row r="657" spans="1:3">
      <c r="A657" s="1" t="s">
        <v>892</v>
      </c>
      <c r="B657" s="1">
        <v>-83</v>
      </c>
      <c r="C657" s="1">
        <v>-68</v>
      </c>
    </row>
    <row r="658" spans="1:3">
      <c r="A658" s="1" t="s">
        <v>893</v>
      </c>
      <c r="B658" s="1">
        <v>-103</v>
      </c>
      <c r="C658" s="1">
        <v>-88</v>
      </c>
    </row>
    <row r="659" spans="1:3">
      <c r="A659" s="1" t="s">
        <v>894</v>
      </c>
      <c r="B659" s="1">
        <v>17</v>
      </c>
      <c r="C659" s="1">
        <v>17</v>
      </c>
    </row>
    <row r="660" spans="1:3">
      <c r="A660" s="1" t="s">
        <v>895</v>
      </c>
      <c r="B660" s="1">
        <v>-3</v>
      </c>
      <c r="C660" s="1">
        <v>-3</v>
      </c>
    </row>
    <row r="661" spans="1:3">
      <c r="A661" s="1" t="s">
        <v>896</v>
      </c>
      <c r="B661" s="1">
        <v>-23</v>
      </c>
      <c r="C661" s="1">
        <v>-23</v>
      </c>
    </row>
    <row r="662" spans="1:3">
      <c r="A662" s="1" t="s">
        <v>897</v>
      </c>
      <c r="B662" s="1">
        <v>-43</v>
      </c>
      <c r="C662" s="1">
        <v>-43</v>
      </c>
    </row>
    <row r="663" spans="1:3">
      <c r="A663" s="1" t="s">
        <v>898</v>
      </c>
      <c r="B663" s="1">
        <v>-63</v>
      </c>
      <c r="C663" s="1">
        <v>-63</v>
      </c>
    </row>
    <row r="664" spans="1:3">
      <c r="A664" s="1" t="s">
        <v>899</v>
      </c>
      <c r="B664" s="1">
        <v>-83</v>
      </c>
      <c r="C664" s="1">
        <v>-83</v>
      </c>
    </row>
    <row r="665" spans="1:3">
      <c r="A665" s="1" t="s">
        <v>900</v>
      </c>
      <c r="B665" s="1">
        <v>-103</v>
      </c>
      <c r="C665" s="1">
        <v>-103</v>
      </c>
    </row>
    <row r="666" spans="1:3">
      <c r="A666" s="1" t="s">
        <v>901</v>
      </c>
      <c r="B666" s="1">
        <v>-123</v>
      </c>
      <c r="C666" s="1">
        <v>-123</v>
      </c>
    </row>
    <row r="667" spans="1:3">
      <c r="A667" s="1" t="s">
        <v>902</v>
      </c>
      <c r="B667" s="1">
        <v>-143</v>
      </c>
      <c r="C667" s="1">
        <v>-143</v>
      </c>
    </row>
    <row r="668" spans="1:3">
      <c r="A668" s="1" t="s">
        <v>903</v>
      </c>
      <c r="B668" s="1">
        <v>-163</v>
      </c>
      <c r="C668" s="1">
        <v>-163</v>
      </c>
    </row>
    <row r="669" spans="1:3">
      <c r="A669" s="1" t="s">
        <v>904</v>
      </c>
      <c r="B669" s="1">
        <v>17</v>
      </c>
      <c r="C669" s="1">
        <v>52</v>
      </c>
    </row>
    <row r="670" spans="1:3">
      <c r="A670" s="1" t="s">
        <v>905</v>
      </c>
      <c r="B670" s="1">
        <v>-3</v>
      </c>
      <c r="C670" s="1">
        <v>52</v>
      </c>
    </row>
    <row r="671" spans="1:3">
      <c r="A671" s="1" t="s">
        <v>906</v>
      </c>
      <c r="B671" s="1">
        <v>-23</v>
      </c>
      <c r="C671" s="1">
        <v>52</v>
      </c>
    </row>
    <row r="672" spans="1:3">
      <c r="A672" s="1" t="s">
        <v>907</v>
      </c>
      <c r="B672" s="1">
        <v>-43</v>
      </c>
      <c r="C672" s="1">
        <v>52</v>
      </c>
    </row>
    <row r="673" spans="1:3">
      <c r="A673" s="1" t="s">
        <v>908</v>
      </c>
      <c r="B673" s="1">
        <v>-63</v>
      </c>
      <c r="C673" s="1">
        <v>52</v>
      </c>
    </row>
    <row r="674" spans="1:3">
      <c r="A674" s="1" t="s">
        <v>909</v>
      </c>
      <c r="B674" s="1">
        <v>-83</v>
      </c>
      <c r="C674" s="1">
        <v>52</v>
      </c>
    </row>
    <row r="675" spans="1:3">
      <c r="A675" s="1" t="s">
        <v>910</v>
      </c>
      <c r="B675" s="1">
        <v>-103</v>
      </c>
      <c r="C675" s="1">
        <v>52</v>
      </c>
    </row>
    <row r="676" spans="1:3">
      <c r="A676" s="1" t="s">
        <v>911</v>
      </c>
      <c r="B676" s="1">
        <v>-123</v>
      </c>
      <c r="C676" s="1">
        <v>52</v>
      </c>
    </row>
    <row r="677" spans="1:3">
      <c r="A677" s="1" t="s">
        <v>912</v>
      </c>
      <c r="B677" s="1">
        <v>-143</v>
      </c>
      <c r="C677" s="1">
        <v>52</v>
      </c>
    </row>
    <row r="678" spans="1:3">
      <c r="A678" s="1" t="s">
        <v>913</v>
      </c>
      <c r="B678" s="1">
        <v>-163</v>
      </c>
      <c r="C678" s="1">
        <v>52</v>
      </c>
    </row>
    <row r="679" spans="1:3">
      <c r="A679" s="1" t="s">
        <v>914</v>
      </c>
      <c r="B679" s="1">
        <v>-183</v>
      </c>
      <c r="C679" s="1">
        <v>52</v>
      </c>
    </row>
    <row r="680" spans="1:3">
      <c r="A680" s="1" t="s">
        <v>915</v>
      </c>
      <c r="B680" s="1">
        <v>-203</v>
      </c>
      <c r="C680" s="1">
        <v>52</v>
      </c>
    </row>
    <row r="681" spans="1:3">
      <c r="A681" s="1" t="s">
        <v>916</v>
      </c>
      <c r="B681" s="1">
        <v>-223</v>
      </c>
      <c r="C681" s="1">
        <v>52</v>
      </c>
    </row>
    <row r="682" spans="1:3">
      <c r="A682" s="1" t="s">
        <v>917</v>
      </c>
      <c r="B682" s="1">
        <v>-243</v>
      </c>
      <c r="C682" s="1">
        <v>52</v>
      </c>
    </row>
    <row r="683" spans="1:3">
      <c r="A683" s="1" t="s">
        <v>918</v>
      </c>
      <c r="B683" s="1">
        <v>37</v>
      </c>
      <c r="C683" s="1">
        <v>32</v>
      </c>
    </row>
    <row r="684" spans="1:3">
      <c r="A684" s="1" t="s">
        <v>919</v>
      </c>
      <c r="B684" s="1">
        <v>37</v>
      </c>
      <c r="C684" s="1">
        <v>12</v>
      </c>
    </row>
    <row r="685" spans="1:3">
      <c r="A685" s="1" t="s">
        <v>920</v>
      </c>
      <c r="B685" s="1">
        <v>37</v>
      </c>
      <c r="C685" s="1">
        <v>-8</v>
      </c>
    </row>
    <row r="686" spans="1:3">
      <c r="A686" s="1" t="s">
        <v>921</v>
      </c>
      <c r="B686" s="1">
        <v>37</v>
      </c>
      <c r="C686" s="1">
        <v>-28</v>
      </c>
    </row>
    <row r="687" spans="1:3">
      <c r="A687" s="1" t="s">
        <v>922</v>
      </c>
      <c r="B687" s="1">
        <v>37</v>
      </c>
      <c r="C687" s="1">
        <v>-48</v>
      </c>
    </row>
    <row r="688" spans="1:3">
      <c r="A688" s="1" t="s">
        <v>923</v>
      </c>
      <c r="B688" s="1">
        <v>37</v>
      </c>
      <c r="C688" s="1">
        <v>-68</v>
      </c>
    </row>
    <row r="689" spans="1:3">
      <c r="A689" s="1" t="s">
        <v>924</v>
      </c>
      <c r="B689" s="1">
        <v>37</v>
      </c>
      <c r="C689" s="1">
        <v>-88</v>
      </c>
    </row>
    <row r="690" spans="1:3">
      <c r="A690" s="1" t="s">
        <v>925</v>
      </c>
      <c r="B690" s="1">
        <v>37</v>
      </c>
      <c r="C690" s="1">
        <v>-108</v>
      </c>
    </row>
    <row r="691" spans="1:3">
      <c r="A691" s="1" t="s">
        <v>926</v>
      </c>
      <c r="B691" s="1">
        <v>37</v>
      </c>
      <c r="C691" s="1">
        <v>-128</v>
      </c>
    </row>
    <row r="692" spans="1:3">
      <c r="A692" s="1" t="s">
        <v>927</v>
      </c>
      <c r="B692" s="1">
        <v>37</v>
      </c>
      <c r="C692" s="1">
        <v>-148</v>
      </c>
    </row>
    <row r="693" spans="1:3">
      <c r="A693" s="1" t="s">
        <v>928</v>
      </c>
      <c r="B693" s="1">
        <v>37</v>
      </c>
      <c r="C693" s="1">
        <v>-168</v>
      </c>
    </row>
    <row r="694" spans="1:3">
      <c r="A694" s="1" t="s">
        <v>929</v>
      </c>
      <c r="B694" s="1">
        <v>37</v>
      </c>
      <c r="C694" s="1">
        <v>-188</v>
      </c>
    </row>
    <row r="695" spans="1:3">
      <c r="A695" s="1" t="s">
        <v>930</v>
      </c>
      <c r="B695" s="1">
        <v>37</v>
      </c>
      <c r="C695" s="1">
        <v>-208</v>
      </c>
    </row>
    <row r="696" spans="1:3">
      <c r="A696" s="1" t="s">
        <v>931</v>
      </c>
      <c r="B696" s="1">
        <v>37</v>
      </c>
      <c r="C696" s="1">
        <v>-228</v>
      </c>
    </row>
    <row r="697" spans="1:3">
      <c r="A697" s="1" t="s">
        <v>932</v>
      </c>
    </row>
    <row r="698" spans="1:3">
      <c r="A698" s="1" t="s">
        <v>934</v>
      </c>
    </row>
    <row r="699" spans="1:3">
      <c r="A699" s="1" t="s">
        <v>935</v>
      </c>
    </row>
    <row r="700" spans="1:3">
      <c r="A700" s="1" t="s">
        <v>936</v>
      </c>
    </row>
    <row r="701" spans="1:3">
      <c r="A701" s="1" t="s">
        <v>937</v>
      </c>
    </row>
    <row r="702" spans="1:3">
      <c r="A702" s="1" t="s">
        <v>938</v>
      </c>
    </row>
    <row r="703" spans="1:3">
      <c r="A703" s="1" t="s">
        <v>939</v>
      </c>
    </row>
    <row r="704" spans="1:3">
      <c r="A704" s="1" t="s">
        <v>940</v>
      </c>
    </row>
    <row r="705" spans="1:3">
      <c r="A705" s="1" t="s">
        <v>941</v>
      </c>
    </row>
    <row r="706" spans="1:3">
      <c r="A706" s="1" t="s">
        <v>942</v>
      </c>
    </row>
    <row r="707" spans="1:3">
      <c r="A707" s="1" t="s">
        <v>943</v>
      </c>
    </row>
    <row r="708" spans="1:3">
      <c r="A708" s="1" t="s">
        <v>944</v>
      </c>
    </row>
    <row r="709" spans="1:3">
      <c r="A709" s="1" t="s">
        <v>945</v>
      </c>
    </row>
    <row r="710" spans="1:3">
      <c r="A710" s="1" t="s">
        <v>946</v>
      </c>
    </row>
    <row r="711" spans="1:3">
      <c r="A711" s="1" t="s">
        <v>947</v>
      </c>
    </row>
    <row r="712" spans="1:3">
      <c r="A712" s="2" t="s">
        <v>948</v>
      </c>
      <c r="B712" s="2">
        <v>26</v>
      </c>
      <c r="C712" s="2">
        <v>37</v>
      </c>
    </row>
    <row r="713" spans="1:3">
      <c r="A713" s="1" t="s">
        <v>951</v>
      </c>
      <c r="B713" s="1">
        <v>8.6666666666666661</v>
      </c>
      <c r="C713" s="1">
        <v>37</v>
      </c>
    </row>
    <row r="714" spans="1:3">
      <c r="A714" s="1" t="s">
        <v>952</v>
      </c>
      <c r="B714" s="1">
        <v>26</v>
      </c>
      <c r="C714" s="1">
        <v>26</v>
      </c>
    </row>
    <row r="715" spans="1:3">
      <c r="A715" s="1" t="s">
        <v>953</v>
      </c>
      <c r="B715" s="1">
        <v>26</v>
      </c>
      <c r="C715" s="1">
        <v>13</v>
      </c>
    </row>
    <row r="716" spans="1:3">
      <c r="A716" s="1" t="s">
        <v>954</v>
      </c>
      <c r="B716" s="1">
        <v>26</v>
      </c>
      <c r="C716" s="1">
        <v>9.25</v>
      </c>
    </row>
    <row r="717" spans="1:3">
      <c r="A717" s="1" t="s">
        <v>955</v>
      </c>
      <c r="B717" s="1">
        <v>8.6666666666666661</v>
      </c>
      <c r="C717" s="1">
        <v>13</v>
      </c>
    </row>
    <row r="718" spans="1:3">
      <c r="A718" s="1" t="s">
        <v>956</v>
      </c>
      <c r="B718" s="1">
        <v>13</v>
      </c>
      <c r="C718" s="1">
        <v>13</v>
      </c>
    </row>
    <row r="719" spans="1:3">
      <c r="A719" s="1" t="s">
        <v>957</v>
      </c>
      <c r="B719" s="1">
        <v>26</v>
      </c>
      <c r="C719" s="1">
        <v>-23</v>
      </c>
    </row>
    <row r="720" spans="1:3">
      <c r="A720" s="1" t="s">
        <v>958</v>
      </c>
      <c r="B720" s="1">
        <v>8.6666666666666661</v>
      </c>
      <c r="C720" s="1">
        <v>-3</v>
      </c>
    </row>
    <row r="721" spans="1:3">
      <c r="A721" s="1" t="s">
        <v>959</v>
      </c>
      <c r="B721" s="1">
        <v>8.6666666666666661</v>
      </c>
      <c r="C721" s="1">
        <v>-23</v>
      </c>
    </row>
    <row r="722" spans="1:3">
      <c r="A722" s="1" t="s">
        <v>960</v>
      </c>
      <c r="B722" s="1">
        <v>26</v>
      </c>
      <c r="C722" s="1">
        <v>-3</v>
      </c>
    </row>
    <row r="723" spans="1:3">
      <c r="A723" s="1" t="s">
        <v>961</v>
      </c>
      <c r="B723" s="1">
        <v>6</v>
      </c>
      <c r="C723" s="1">
        <v>17</v>
      </c>
    </row>
    <row r="724" spans="1:3">
      <c r="A724" s="1" t="s">
        <v>962</v>
      </c>
      <c r="B724" s="1">
        <v>-14</v>
      </c>
      <c r="C724" s="1">
        <v>-3</v>
      </c>
    </row>
    <row r="725" spans="1:3">
      <c r="A725" s="1" t="s">
        <v>963</v>
      </c>
      <c r="B725" s="1">
        <v>-34</v>
      </c>
      <c r="C725" s="1">
        <v>-23</v>
      </c>
    </row>
    <row r="726" spans="1:3">
      <c r="A726" s="1" t="s">
        <v>964</v>
      </c>
      <c r="B726" s="1">
        <v>-54</v>
      </c>
      <c r="C726" s="1">
        <v>-43</v>
      </c>
    </row>
    <row r="727" spans="1:3">
      <c r="A727" s="1" t="s">
        <v>965</v>
      </c>
      <c r="B727" s="1">
        <v>-74</v>
      </c>
      <c r="C727" s="1">
        <v>-63</v>
      </c>
    </row>
    <row r="728" spans="1:3">
      <c r="A728" s="1" t="s">
        <v>966</v>
      </c>
      <c r="B728" s="1">
        <v>-94</v>
      </c>
      <c r="C728" s="1">
        <v>-83</v>
      </c>
    </row>
    <row r="729" spans="1:3">
      <c r="A729" s="1" t="s">
        <v>967</v>
      </c>
      <c r="B729" s="1">
        <v>-114</v>
      </c>
      <c r="C729" s="1">
        <v>-103</v>
      </c>
    </row>
    <row r="730" spans="1:3">
      <c r="A730" s="1" t="s">
        <v>968</v>
      </c>
      <c r="B730" s="1">
        <v>6</v>
      </c>
      <c r="C730" s="1">
        <v>6</v>
      </c>
    </row>
    <row r="731" spans="1:3">
      <c r="A731" s="1" t="s">
        <v>969</v>
      </c>
      <c r="B731" s="1">
        <v>-14</v>
      </c>
      <c r="C731" s="1">
        <v>-14</v>
      </c>
    </row>
    <row r="732" spans="1:3">
      <c r="A732" s="1" t="s">
        <v>970</v>
      </c>
      <c r="B732" s="1">
        <v>-34</v>
      </c>
      <c r="C732" s="1">
        <v>-34</v>
      </c>
    </row>
    <row r="733" spans="1:3">
      <c r="A733" s="1" t="s">
        <v>971</v>
      </c>
      <c r="B733" s="1">
        <v>-54</v>
      </c>
      <c r="C733" s="1">
        <v>-54</v>
      </c>
    </row>
    <row r="734" spans="1:3">
      <c r="A734" s="1" t="s">
        <v>972</v>
      </c>
      <c r="B734" s="1">
        <v>-74</v>
      </c>
      <c r="C734" s="1">
        <v>-74</v>
      </c>
    </row>
    <row r="735" spans="1:3">
      <c r="A735" s="1" t="s">
        <v>973</v>
      </c>
      <c r="B735" s="1">
        <v>-94</v>
      </c>
      <c r="C735" s="1">
        <v>-94</v>
      </c>
    </row>
    <row r="736" spans="1:3">
      <c r="A736" s="1" t="s">
        <v>974</v>
      </c>
      <c r="B736" s="1">
        <v>-114</v>
      </c>
      <c r="C736" s="1">
        <v>-114</v>
      </c>
    </row>
    <row r="737" spans="1:3">
      <c r="A737" s="1" t="s">
        <v>975</v>
      </c>
      <c r="B737" s="1">
        <v>-134</v>
      </c>
      <c r="C737" s="1">
        <v>-134</v>
      </c>
    </row>
    <row r="738" spans="1:3">
      <c r="A738" s="1" t="s">
        <v>976</v>
      </c>
      <c r="B738" s="1">
        <v>-154</v>
      </c>
      <c r="C738" s="1">
        <v>-154</v>
      </c>
    </row>
    <row r="739" spans="1:3">
      <c r="A739" s="1" t="s">
        <v>977</v>
      </c>
      <c r="B739" s="1">
        <v>-174</v>
      </c>
      <c r="C739" s="1">
        <v>-174</v>
      </c>
    </row>
    <row r="740" spans="1:3">
      <c r="A740" s="1" t="s">
        <v>978</v>
      </c>
      <c r="B740" s="1">
        <v>6</v>
      </c>
      <c r="C740" s="1">
        <v>37</v>
      </c>
    </row>
    <row r="741" spans="1:3">
      <c r="A741" s="1" t="s">
        <v>979</v>
      </c>
      <c r="B741" s="1">
        <v>-14</v>
      </c>
      <c r="C741" s="1">
        <v>37</v>
      </c>
    </row>
    <row r="742" spans="1:3">
      <c r="A742" s="1" t="s">
        <v>980</v>
      </c>
      <c r="B742" s="1">
        <v>-34</v>
      </c>
      <c r="C742" s="1">
        <v>37</v>
      </c>
    </row>
    <row r="743" spans="1:3">
      <c r="A743" s="1" t="s">
        <v>981</v>
      </c>
      <c r="B743" s="1">
        <v>-54</v>
      </c>
      <c r="C743" s="1">
        <v>37</v>
      </c>
    </row>
    <row r="744" spans="1:3">
      <c r="A744" s="1" t="s">
        <v>982</v>
      </c>
      <c r="B744" s="1">
        <v>-74</v>
      </c>
      <c r="C744" s="1">
        <v>37</v>
      </c>
    </row>
    <row r="745" spans="1:3">
      <c r="A745" s="1" t="s">
        <v>983</v>
      </c>
      <c r="B745" s="1">
        <v>-94</v>
      </c>
      <c r="C745" s="1">
        <v>37</v>
      </c>
    </row>
    <row r="746" spans="1:3">
      <c r="A746" s="1" t="s">
        <v>984</v>
      </c>
      <c r="B746" s="1">
        <v>-114</v>
      </c>
      <c r="C746" s="1">
        <v>37</v>
      </c>
    </row>
    <row r="747" spans="1:3">
      <c r="A747" s="1" t="s">
        <v>985</v>
      </c>
      <c r="B747" s="1">
        <v>-134</v>
      </c>
      <c r="C747" s="1">
        <v>37</v>
      </c>
    </row>
    <row r="748" spans="1:3">
      <c r="A748" s="1" t="s">
        <v>986</v>
      </c>
      <c r="B748" s="1">
        <v>-154</v>
      </c>
      <c r="C748" s="1">
        <v>37</v>
      </c>
    </row>
    <row r="749" spans="1:3">
      <c r="A749" s="1" t="s">
        <v>987</v>
      </c>
      <c r="B749" s="1">
        <v>-174</v>
      </c>
      <c r="C749" s="1">
        <v>37</v>
      </c>
    </row>
    <row r="750" spans="1:3">
      <c r="A750" s="1" t="s">
        <v>988</v>
      </c>
      <c r="B750" s="1">
        <v>-194</v>
      </c>
      <c r="C750" s="1">
        <v>37</v>
      </c>
    </row>
    <row r="751" spans="1:3">
      <c r="A751" s="1" t="s">
        <v>989</v>
      </c>
      <c r="B751" s="1">
        <v>-214</v>
      </c>
      <c r="C751" s="1">
        <v>37</v>
      </c>
    </row>
    <row r="752" spans="1:3">
      <c r="A752" s="1" t="s">
        <v>990</v>
      </c>
      <c r="B752" s="1">
        <v>-234</v>
      </c>
      <c r="C752" s="1">
        <v>37</v>
      </c>
    </row>
    <row r="753" spans="1:3">
      <c r="A753" s="1" t="s">
        <v>991</v>
      </c>
      <c r="B753" s="1">
        <v>-254</v>
      </c>
      <c r="C753" s="1">
        <v>37</v>
      </c>
    </row>
    <row r="754" spans="1:3">
      <c r="A754" s="1" t="s">
        <v>992</v>
      </c>
      <c r="B754" s="1">
        <v>26</v>
      </c>
      <c r="C754" s="1">
        <v>17</v>
      </c>
    </row>
    <row r="755" spans="1:3">
      <c r="A755" s="1" t="s">
        <v>993</v>
      </c>
      <c r="B755" s="1">
        <v>26</v>
      </c>
      <c r="C755" s="1">
        <v>-3</v>
      </c>
    </row>
    <row r="756" spans="1:3">
      <c r="A756" s="1" t="s">
        <v>994</v>
      </c>
      <c r="B756" s="1">
        <v>26</v>
      </c>
      <c r="C756" s="1">
        <v>-23</v>
      </c>
    </row>
    <row r="757" spans="1:3">
      <c r="A757" s="1" t="s">
        <v>995</v>
      </c>
      <c r="B757" s="1">
        <v>26</v>
      </c>
      <c r="C757" s="1">
        <v>-43</v>
      </c>
    </row>
    <row r="758" spans="1:3">
      <c r="A758" s="1" t="s">
        <v>996</v>
      </c>
      <c r="B758" s="1">
        <v>26</v>
      </c>
      <c r="C758" s="1">
        <v>-63</v>
      </c>
    </row>
    <row r="759" spans="1:3">
      <c r="A759" s="1" t="s">
        <v>997</v>
      </c>
      <c r="B759" s="1">
        <v>26</v>
      </c>
      <c r="C759" s="1">
        <v>-83</v>
      </c>
    </row>
    <row r="760" spans="1:3">
      <c r="A760" s="1" t="s">
        <v>998</v>
      </c>
      <c r="B760" s="1">
        <v>26</v>
      </c>
      <c r="C760" s="1">
        <v>-103</v>
      </c>
    </row>
    <row r="761" spans="1:3">
      <c r="A761" s="1" t="s">
        <v>999</v>
      </c>
      <c r="B761" s="1">
        <v>26</v>
      </c>
      <c r="C761" s="1">
        <v>-123</v>
      </c>
    </row>
    <row r="762" spans="1:3">
      <c r="A762" s="1" t="s">
        <v>1000</v>
      </c>
      <c r="B762" s="1">
        <v>26</v>
      </c>
      <c r="C762" s="1">
        <v>-143</v>
      </c>
    </row>
    <row r="763" spans="1:3">
      <c r="A763" s="1" t="s">
        <v>1001</v>
      </c>
      <c r="B763" s="1">
        <v>26</v>
      </c>
      <c r="C763" s="1">
        <v>-163</v>
      </c>
    </row>
    <row r="764" spans="1:3">
      <c r="A764" s="1" t="s">
        <v>1002</v>
      </c>
      <c r="B764" s="1">
        <v>26</v>
      </c>
      <c r="C764" s="1">
        <v>-183</v>
      </c>
    </row>
    <row r="765" spans="1:3">
      <c r="A765" s="1" t="s">
        <v>1003</v>
      </c>
      <c r="B765" s="1">
        <v>26</v>
      </c>
      <c r="C765" s="1">
        <v>-203</v>
      </c>
    </row>
    <row r="766" spans="1:3">
      <c r="A766" s="1" t="s">
        <v>1004</v>
      </c>
      <c r="B766" s="1">
        <v>26</v>
      </c>
      <c r="C766" s="1">
        <v>-223</v>
      </c>
    </row>
    <row r="767" spans="1:3">
      <c r="A767" s="1" t="s">
        <v>1005</v>
      </c>
      <c r="B767" s="1">
        <v>26</v>
      </c>
      <c r="C767" s="1">
        <v>-243</v>
      </c>
    </row>
    <row r="768" spans="1:3">
      <c r="A768" s="1" t="s">
        <v>1006</v>
      </c>
    </row>
    <row r="769" spans="1:3">
      <c r="A769" s="1" t="s">
        <v>1008</v>
      </c>
    </row>
    <row r="770" spans="1:3">
      <c r="A770" s="1" t="s">
        <v>1009</v>
      </c>
    </row>
    <row r="771" spans="1:3">
      <c r="A771" s="1" t="s">
        <v>1010</v>
      </c>
    </row>
    <row r="772" spans="1:3">
      <c r="A772" s="1" t="s">
        <v>1011</v>
      </c>
    </row>
    <row r="773" spans="1:3">
      <c r="A773" s="1" t="s">
        <v>1012</v>
      </c>
    </row>
    <row r="774" spans="1:3">
      <c r="A774" s="1" t="s">
        <v>1013</v>
      </c>
    </row>
    <row r="775" spans="1:3">
      <c r="A775" s="1" t="s">
        <v>1014</v>
      </c>
    </row>
    <row r="776" spans="1:3">
      <c r="A776" s="1" t="s">
        <v>1015</v>
      </c>
    </row>
    <row r="777" spans="1:3">
      <c r="A777" s="1" t="s">
        <v>1016</v>
      </c>
    </row>
    <row r="778" spans="1:3">
      <c r="A778" s="1" t="s">
        <v>1017</v>
      </c>
    </row>
    <row r="779" spans="1:3">
      <c r="A779" s="1" t="s">
        <v>1018</v>
      </c>
    </row>
    <row r="780" spans="1:3">
      <c r="A780" s="1" t="s">
        <v>1019</v>
      </c>
    </row>
    <row r="781" spans="1:3">
      <c r="A781" s="1" t="s">
        <v>1020</v>
      </c>
    </row>
    <row r="782" spans="1:3">
      <c r="A782" s="1" t="s">
        <v>1021</v>
      </c>
    </row>
    <row r="783" spans="1:3">
      <c r="A783" s="2" t="s">
        <v>1022</v>
      </c>
      <c r="B783" s="2">
        <v>18</v>
      </c>
      <c r="C783" s="2">
        <v>26</v>
      </c>
    </row>
    <row r="784" spans="1:3">
      <c r="A784" s="1" t="s">
        <v>1025</v>
      </c>
      <c r="B784" s="1">
        <v>6</v>
      </c>
      <c r="C784" s="1">
        <v>26</v>
      </c>
    </row>
    <row r="785" spans="1:3">
      <c r="A785" s="1" t="s">
        <v>1026</v>
      </c>
      <c r="B785" s="1">
        <v>18</v>
      </c>
      <c r="C785" s="1">
        <v>18</v>
      </c>
    </row>
    <row r="786" spans="1:3">
      <c r="A786" s="1" t="s">
        <v>1027</v>
      </c>
      <c r="B786" s="1">
        <v>18</v>
      </c>
      <c r="C786" s="1">
        <v>9</v>
      </c>
    </row>
    <row r="787" spans="1:3">
      <c r="A787" s="1" t="s">
        <v>1028</v>
      </c>
      <c r="B787" s="1">
        <v>18</v>
      </c>
      <c r="C787" s="1">
        <v>6.5</v>
      </c>
    </row>
    <row r="788" spans="1:3">
      <c r="A788" s="1" t="s">
        <v>1029</v>
      </c>
      <c r="B788" s="1">
        <v>6</v>
      </c>
      <c r="C788" s="1">
        <v>9</v>
      </c>
    </row>
    <row r="789" spans="1:3">
      <c r="A789" s="1" t="s">
        <v>1030</v>
      </c>
      <c r="B789" s="1">
        <v>9</v>
      </c>
      <c r="C789" s="1">
        <v>9</v>
      </c>
    </row>
    <row r="790" spans="1:3">
      <c r="A790" s="1" t="s">
        <v>1031</v>
      </c>
      <c r="B790" s="1">
        <v>18</v>
      </c>
      <c r="C790" s="1">
        <v>-34</v>
      </c>
    </row>
    <row r="791" spans="1:3">
      <c r="A791" s="1" t="s">
        <v>1032</v>
      </c>
      <c r="B791" s="1">
        <v>6</v>
      </c>
      <c r="C791" s="1">
        <v>-14</v>
      </c>
    </row>
    <row r="792" spans="1:3">
      <c r="A792" s="1" t="s">
        <v>1033</v>
      </c>
      <c r="B792" s="1">
        <v>6</v>
      </c>
      <c r="C792" s="1">
        <v>-34</v>
      </c>
    </row>
    <row r="793" spans="1:3">
      <c r="A793" s="1" t="s">
        <v>1034</v>
      </c>
      <c r="B793" s="1">
        <v>18</v>
      </c>
      <c r="C793" s="1">
        <v>-14</v>
      </c>
    </row>
    <row r="794" spans="1:3">
      <c r="A794" s="1" t="s">
        <v>1035</v>
      </c>
      <c r="B794" s="1">
        <v>-2</v>
      </c>
      <c r="C794" s="1">
        <v>6</v>
      </c>
    </row>
    <row r="795" spans="1:3">
      <c r="A795" s="1" t="s">
        <v>1036</v>
      </c>
      <c r="B795" s="1">
        <v>-22</v>
      </c>
      <c r="C795" s="1">
        <v>-14</v>
      </c>
    </row>
    <row r="796" spans="1:3">
      <c r="A796" s="1" t="s">
        <v>1037</v>
      </c>
      <c r="B796" s="1">
        <v>-42</v>
      </c>
      <c r="C796" s="1">
        <v>-34</v>
      </c>
    </row>
    <row r="797" spans="1:3">
      <c r="A797" s="1" t="s">
        <v>1038</v>
      </c>
      <c r="B797" s="1">
        <v>-62</v>
      </c>
      <c r="C797" s="1">
        <v>-54</v>
      </c>
    </row>
    <row r="798" spans="1:3">
      <c r="A798" s="1" t="s">
        <v>1039</v>
      </c>
      <c r="B798" s="1">
        <v>-82</v>
      </c>
      <c r="C798" s="1">
        <v>-74</v>
      </c>
    </row>
    <row r="799" spans="1:3">
      <c r="A799" s="1" t="s">
        <v>1040</v>
      </c>
      <c r="B799" s="1">
        <v>-102</v>
      </c>
      <c r="C799" s="1">
        <v>-94</v>
      </c>
    </row>
    <row r="800" spans="1:3">
      <c r="A800" s="1" t="s">
        <v>1041</v>
      </c>
      <c r="B800" s="1">
        <v>-122</v>
      </c>
      <c r="C800" s="1">
        <v>-114</v>
      </c>
    </row>
    <row r="801" spans="1:3">
      <c r="A801" s="1" t="s">
        <v>1042</v>
      </c>
      <c r="B801" s="1">
        <v>-2</v>
      </c>
      <c r="C801" s="1">
        <v>-2</v>
      </c>
    </row>
    <row r="802" spans="1:3">
      <c r="A802" s="1" t="s">
        <v>1043</v>
      </c>
      <c r="B802" s="1">
        <v>-22</v>
      </c>
      <c r="C802" s="1">
        <v>-22</v>
      </c>
    </row>
    <row r="803" spans="1:3">
      <c r="A803" s="1" t="s">
        <v>1044</v>
      </c>
      <c r="B803" s="1">
        <v>-42</v>
      </c>
      <c r="C803" s="1">
        <v>-42</v>
      </c>
    </row>
    <row r="804" spans="1:3">
      <c r="A804" s="1" t="s">
        <v>1045</v>
      </c>
      <c r="B804" s="1">
        <v>-62</v>
      </c>
      <c r="C804" s="1">
        <v>-62</v>
      </c>
    </row>
    <row r="805" spans="1:3">
      <c r="A805" s="1" t="s">
        <v>1046</v>
      </c>
      <c r="B805" s="1">
        <v>-82</v>
      </c>
      <c r="C805" s="1">
        <v>-82</v>
      </c>
    </row>
    <row r="806" spans="1:3">
      <c r="A806" s="1" t="s">
        <v>1047</v>
      </c>
      <c r="B806" s="1">
        <v>-102</v>
      </c>
      <c r="C806" s="1">
        <v>-102</v>
      </c>
    </row>
    <row r="807" spans="1:3">
      <c r="A807" s="1" t="s">
        <v>1048</v>
      </c>
      <c r="B807" s="1">
        <v>-122</v>
      </c>
      <c r="C807" s="1">
        <v>-122</v>
      </c>
    </row>
    <row r="808" spans="1:3">
      <c r="A808" s="1" t="s">
        <v>1049</v>
      </c>
      <c r="B808" s="1">
        <v>-142</v>
      </c>
      <c r="C808" s="1">
        <v>-142</v>
      </c>
    </row>
    <row r="809" spans="1:3">
      <c r="A809" s="1" t="s">
        <v>1050</v>
      </c>
      <c r="B809" s="1">
        <v>-162</v>
      </c>
      <c r="C809" s="1">
        <v>-162</v>
      </c>
    </row>
    <row r="810" spans="1:3">
      <c r="A810" s="1" t="s">
        <v>1051</v>
      </c>
      <c r="B810" s="1">
        <v>-182</v>
      </c>
      <c r="C810" s="1">
        <v>-182</v>
      </c>
    </row>
    <row r="811" spans="1:3">
      <c r="A811" s="1" t="s">
        <v>1052</v>
      </c>
      <c r="B811" s="1">
        <v>-2</v>
      </c>
      <c r="C811" s="1">
        <v>26</v>
      </c>
    </row>
    <row r="812" spans="1:3">
      <c r="A812" s="1" t="s">
        <v>1053</v>
      </c>
      <c r="B812" s="1">
        <v>-22</v>
      </c>
      <c r="C812" s="1">
        <v>26</v>
      </c>
    </row>
    <row r="813" spans="1:3">
      <c r="A813" s="1" t="s">
        <v>1054</v>
      </c>
      <c r="B813" s="1">
        <v>-42</v>
      </c>
      <c r="C813" s="1">
        <v>26</v>
      </c>
    </row>
    <row r="814" spans="1:3">
      <c r="A814" s="1" t="s">
        <v>1055</v>
      </c>
      <c r="B814" s="1">
        <v>-62</v>
      </c>
      <c r="C814" s="1">
        <v>26</v>
      </c>
    </row>
    <row r="815" spans="1:3">
      <c r="A815" s="1" t="s">
        <v>1056</v>
      </c>
      <c r="B815" s="1">
        <v>-82</v>
      </c>
      <c r="C815" s="1">
        <v>26</v>
      </c>
    </row>
    <row r="816" spans="1:3">
      <c r="A816" s="1" t="s">
        <v>1057</v>
      </c>
      <c r="B816" s="1">
        <v>-102</v>
      </c>
      <c r="C816" s="1">
        <v>26</v>
      </c>
    </row>
    <row r="817" spans="1:3">
      <c r="A817" s="1" t="s">
        <v>1058</v>
      </c>
      <c r="B817" s="1">
        <v>-122</v>
      </c>
      <c r="C817" s="1">
        <v>26</v>
      </c>
    </row>
    <row r="818" spans="1:3">
      <c r="A818" s="1" t="s">
        <v>1059</v>
      </c>
      <c r="B818" s="1">
        <v>-142</v>
      </c>
      <c r="C818" s="1">
        <v>26</v>
      </c>
    </row>
    <row r="819" spans="1:3">
      <c r="A819" s="1" t="s">
        <v>1060</v>
      </c>
      <c r="B819" s="1">
        <v>-162</v>
      </c>
      <c r="C819" s="1">
        <v>26</v>
      </c>
    </row>
    <row r="820" spans="1:3">
      <c r="A820" s="1" t="s">
        <v>1061</v>
      </c>
      <c r="B820" s="1">
        <v>-182</v>
      </c>
      <c r="C820" s="1">
        <v>26</v>
      </c>
    </row>
    <row r="821" spans="1:3">
      <c r="A821" s="1" t="s">
        <v>1062</v>
      </c>
      <c r="B821" s="1">
        <v>-202</v>
      </c>
      <c r="C821" s="1">
        <v>26</v>
      </c>
    </row>
    <row r="822" spans="1:3">
      <c r="A822" s="1" t="s">
        <v>1063</v>
      </c>
      <c r="B822" s="1">
        <v>-222</v>
      </c>
      <c r="C822" s="1">
        <v>26</v>
      </c>
    </row>
    <row r="823" spans="1:3">
      <c r="A823" s="1" t="s">
        <v>1064</v>
      </c>
      <c r="B823" s="1">
        <v>-242</v>
      </c>
      <c r="C823" s="1">
        <v>26</v>
      </c>
    </row>
    <row r="824" spans="1:3">
      <c r="A824" s="1" t="s">
        <v>1065</v>
      </c>
      <c r="B824" s="1">
        <v>-262</v>
      </c>
      <c r="C824" s="1">
        <v>26</v>
      </c>
    </row>
    <row r="825" spans="1:3">
      <c r="A825" s="1" t="s">
        <v>1066</v>
      </c>
      <c r="B825" s="1">
        <v>18</v>
      </c>
      <c r="C825" s="1">
        <v>6</v>
      </c>
    </row>
    <row r="826" spans="1:3">
      <c r="A826" s="1" t="s">
        <v>1067</v>
      </c>
      <c r="B826" s="1">
        <v>18</v>
      </c>
      <c r="C826" s="1">
        <v>-14</v>
      </c>
    </row>
    <row r="827" spans="1:3">
      <c r="A827" s="1" t="s">
        <v>1068</v>
      </c>
      <c r="B827" s="1">
        <v>18</v>
      </c>
      <c r="C827" s="1">
        <v>-34</v>
      </c>
    </row>
    <row r="828" spans="1:3">
      <c r="A828" s="1" t="s">
        <v>1069</v>
      </c>
      <c r="B828" s="1">
        <v>18</v>
      </c>
      <c r="C828" s="1">
        <v>-54</v>
      </c>
    </row>
    <row r="829" spans="1:3">
      <c r="A829" s="1" t="s">
        <v>1070</v>
      </c>
      <c r="B829" s="1">
        <v>18</v>
      </c>
      <c r="C829" s="1">
        <v>-74</v>
      </c>
    </row>
    <row r="830" spans="1:3">
      <c r="A830" s="1" t="s">
        <v>1071</v>
      </c>
      <c r="B830" s="1">
        <v>18</v>
      </c>
      <c r="C830" s="1">
        <v>-94</v>
      </c>
    </row>
    <row r="831" spans="1:3">
      <c r="A831" s="1" t="s">
        <v>1072</v>
      </c>
      <c r="B831" s="1">
        <v>18</v>
      </c>
      <c r="C831" s="1">
        <v>-114</v>
      </c>
    </row>
    <row r="832" spans="1:3">
      <c r="A832" s="1" t="s">
        <v>1073</v>
      </c>
      <c r="B832" s="1">
        <v>18</v>
      </c>
      <c r="C832" s="1">
        <v>-134</v>
      </c>
    </row>
    <row r="833" spans="1:3">
      <c r="A833" s="1" t="s">
        <v>1074</v>
      </c>
      <c r="B833" s="1">
        <v>18</v>
      </c>
      <c r="C833" s="1">
        <v>-154</v>
      </c>
    </row>
    <row r="834" spans="1:3">
      <c r="A834" s="1" t="s">
        <v>1075</v>
      </c>
      <c r="B834" s="1">
        <v>18</v>
      </c>
      <c r="C834" s="1">
        <v>-174</v>
      </c>
    </row>
    <row r="835" spans="1:3">
      <c r="A835" s="1" t="s">
        <v>1076</v>
      </c>
      <c r="B835" s="1">
        <v>18</v>
      </c>
      <c r="C835" s="1">
        <v>-194</v>
      </c>
    </row>
    <row r="836" spans="1:3">
      <c r="A836" s="1" t="s">
        <v>1077</v>
      </c>
      <c r="B836" s="1">
        <v>18</v>
      </c>
      <c r="C836" s="1">
        <v>-214</v>
      </c>
    </row>
    <row r="837" spans="1:3">
      <c r="A837" s="1" t="s">
        <v>1078</v>
      </c>
      <c r="B837" s="1">
        <v>18</v>
      </c>
      <c r="C837" s="1">
        <v>-234</v>
      </c>
    </row>
    <row r="838" spans="1:3">
      <c r="A838" s="1" t="s">
        <v>1079</v>
      </c>
      <c r="B838" s="1">
        <v>18</v>
      </c>
      <c r="C838" s="1">
        <v>-254</v>
      </c>
    </row>
    <row r="839" spans="1:3">
      <c r="A839" s="1" t="s">
        <v>1080</v>
      </c>
    </row>
    <row r="840" spans="1:3">
      <c r="A840" s="1" t="s">
        <v>1082</v>
      </c>
    </row>
    <row r="841" spans="1:3">
      <c r="A841" s="1" t="s">
        <v>1083</v>
      </c>
    </row>
    <row r="842" spans="1:3">
      <c r="A842" s="1" t="s">
        <v>1084</v>
      </c>
    </row>
    <row r="843" spans="1:3">
      <c r="A843" s="1" t="s">
        <v>1085</v>
      </c>
    </row>
    <row r="844" spans="1:3">
      <c r="A844" s="1" t="s">
        <v>1086</v>
      </c>
    </row>
    <row r="845" spans="1:3">
      <c r="A845" s="1" t="s">
        <v>1087</v>
      </c>
    </row>
    <row r="846" spans="1:3">
      <c r="A846" s="1" t="s">
        <v>1088</v>
      </c>
    </row>
    <row r="847" spans="1:3">
      <c r="A847" s="1" t="s">
        <v>1089</v>
      </c>
    </row>
    <row r="848" spans="1:3">
      <c r="A848" s="1" t="s">
        <v>1090</v>
      </c>
    </row>
    <row r="849" spans="1:3">
      <c r="A849" s="1" t="s">
        <v>1091</v>
      </c>
    </row>
    <row r="850" spans="1:3">
      <c r="A850" s="1" t="s">
        <v>1092</v>
      </c>
    </row>
    <row r="851" spans="1:3">
      <c r="A851" s="1" t="s">
        <v>1093</v>
      </c>
    </row>
    <row r="852" spans="1:3">
      <c r="A852" s="1" t="s">
        <v>1094</v>
      </c>
    </row>
    <row r="853" spans="1:3">
      <c r="A853" s="1" t="s">
        <v>1095</v>
      </c>
    </row>
    <row r="854" spans="1:3">
      <c r="A854" s="2" t="s">
        <v>1096</v>
      </c>
      <c r="B854" s="2">
        <v>13</v>
      </c>
      <c r="C854" s="2">
        <v>18</v>
      </c>
    </row>
    <row r="855" spans="1:3">
      <c r="A855" s="1" t="s">
        <v>1099</v>
      </c>
      <c r="B855" s="1">
        <v>4.333333333333333</v>
      </c>
      <c r="C855" s="1">
        <v>18</v>
      </c>
    </row>
    <row r="856" spans="1:3">
      <c r="A856" s="1" t="s">
        <v>1100</v>
      </c>
      <c r="B856" s="1">
        <v>13</v>
      </c>
      <c r="C856" s="1">
        <v>13</v>
      </c>
    </row>
    <row r="857" spans="1:3">
      <c r="A857" s="1" t="s">
        <v>1101</v>
      </c>
      <c r="B857" s="1">
        <v>13</v>
      </c>
      <c r="C857" s="1">
        <v>6.5</v>
      </c>
    </row>
    <row r="858" spans="1:3">
      <c r="A858" s="1" t="s">
        <v>1102</v>
      </c>
      <c r="B858" s="1">
        <v>13</v>
      </c>
      <c r="C858" s="1">
        <v>4.5</v>
      </c>
    </row>
    <row r="859" spans="1:3">
      <c r="A859" s="1" t="s">
        <v>1103</v>
      </c>
      <c r="B859" s="1">
        <v>4.333333333333333</v>
      </c>
      <c r="C859" s="1">
        <v>6.5</v>
      </c>
    </row>
    <row r="860" spans="1:3">
      <c r="A860" s="1" t="s">
        <v>1104</v>
      </c>
      <c r="B860" s="1">
        <v>6.5</v>
      </c>
      <c r="C860" s="1">
        <v>6.5</v>
      </c>
    </row>
    <row r="861" spans="1:3">
      <c r="A861" s="1" t="s">
        <v>1105</v>
      </c>
      <c r="B861" s="1">
        <v>13</v>
      </c>
      <c r="C861" s="1">
        <v>-42</v>
      </c>
    </row>
    <row r="862" spans="1:3">
      <c r="A862" s="1" t="s">
        <v>1106</v>
      </c>
      <c r="B862" s="1">
        <v>4.333333333333333</v>
      </c>
      <c r="C862" s="1">
        <v>-22</v>
      </c>
    </row>
    <row r="863" spans="1:3">
      <c r="A863" s="1" t="s">
        <v>1107</v>
      </c>
      <c r="B863" s="1">
        <v>4.333333333333333</v>
      </c>
      <c r="C863" s="1">
        <v>-42</v>
      </c>
    </row>
    <row r="864" spans="1:3">
      <c r="A864" s="1" t="s">
        <v>1108</v>
      </c>
      <c r="B864" s="1">
        <v>13</v>
      </c>
      <c r="C864" s="1">
        <v>-22</v>
      </c>
    </row>
    <row r="865" spans="1:3">
      <c r="A865" s="1" t="s">
        <v>1109</v>
      </c>
      <c r="B865" s="1">
        <v>-7</v>
      </c>
      <c r="C865" s="1">
        <v>-2</v>
      </c>
    </row>
    <row r="866" spans="1:3">
      <c r="A866" s="1" t="s">
        <v>1110</v>
      </c>
      <c r="B866" s="1">
        <v>-27</v>
      </c>
      <c r="C866" s="1">
        <v>-22</v>
      </c>
    </row>
    <row r="867" spans="1:3">
      <c r="A867" s="1" t="s">
        <v>1111</v>
      </c>
      <c r="B867" s="1">
        <v>-47</v>
      </c>
      <c r="C867" s="1">
        <v>-42</v>
      </c>
    </row>
    <row r="868" spans="1:3">
      <c r="A868" s="1" t="s">
        <v>1112</v>
      </c>
      <c r="B868" s="1">
        <v>-67</v>
      </c>
      <c r="C868" s="1">
        <v>-62</v>
      </c>
    </row>
    <row r="869" spans="1:3">
      <c r="A869" s="1" t="s">
        <v>1113</v>
      </c>
      <c r="B869" s="1">
        <v>-87</v>
      </c>
      <c r="C869" s="1">
        <v>-82</v>
      </c>
    </row>
    <row r="870" spans="1:3">
      <c r="A870" s="1" t="s">
        <v>1114</v>
      </c>
      <c r="B870" s="1">
        <v>-107</v>
      </c>
      <c r="C870" s="1">
        <v>-102</v>
      </c>
    </row>
    <row r="871" spans="1:3">
      <c r="A871" s="1" t="s">
        <v>1115</v>
      </c>
      <c r="B871" s="1">
        <v>-127</v>
      </c>
      <c r="C871" s="1">
        <v>-122</v>
      </c>
    </row>
    <row r="872" spans="1:3">
      <c r="A872" s="1" t="s">
        <v>1116</v>
      </c>
      <c r="B872" s="1">
        <v>-7</v>
      </c>
      <c r="C872" s="1">
        <v>-7</v>
      </c>
    </row>
    <row r="873" spans="1:3">
      <c r="A873" s="1" t="s">
        <v>1117</v>
      </c>
      <c r="B873" s="1">
        <v>-27</v>
      </c>
      <c r="C873" s="1">
        <v>-27</v>
      </c>
    </row>
    <row r="874" spans="1:3">
      <c r="A874" s="1" t="s">
        <v>1118</v>
      </c>
      <c r="B874" s="1">
        <v>-47</v>
      </c>
      <c r="C874" s="1">
        <v>-47</v>
      </c>
    </row>
    <row r="875" spans="1:3">
      <c r="A875" s="1" t="s">
        <v>1119</v>
      </c>
      <c r="B875" s="1">
        <v>-67</v>
      </c>
      <c r="C875" s="1">
        <v>-67</v>
      </c>
    </row>
    <row r="876" spans="1:3">
      <c r="A876" s="1" t="s">
        <v>1120</v>
      </c>
      <c r="B876" s="1">
        <v>-87</v>
      </c>
      <c r="C876" s="1">
        <v>-87</v>
      </c>
    </row>
    <row r="877" spans="1:3">
      <c r="A877" s="1" t="s">
        <v>1121</v>
      </c>
      <c r="B877" s="1">
        <v>-107</v>
      </c>
      <c r="C877" s="1">
        <v>-107</v>
      </c>
    </row>
    <row r="878" spans="1:3">
      <c r="A878" s="1" t="s">
        <v>1122</v>
      </c>
      <c r="B878" s="1">
        <v>-127</v>
      </c>
      <c r="C878" s="1">
        <v>-127</v>
      </c>
    </row>
    <row r="879" spans="1:3">
      <c r="A879" s="1" t="s">
        <v>1123</v>
      </c>
      <c r="B879" s="1">
        <v>-147</v>
      </c>
      <c r="C879" s="1">
        <v>-147</v>
      </c>
    </row>
    <row r="880" spans="1:3">
      <c r="A880" s="1" t="s">
        <v>1124</v>
      </c>
      <c r="B880" s="1">
        <v>-167</v>
      </c>
      <c r="C880" s="1">
        <v>-167</v>
      </c>
    </row>
    <row r="881" spans="1:3">
      <c r="A881" s="1" t="s">
        <v>1125</v>
      </c>
      <c r="B881" s="1">
        <v>-187</v>
      </c>
      <c r="C881" s="1">
        <v>-187</v>
      </c>
    </row>
    <row r="882" spans="1:3">
      <c r="A882" s="1" t="s">
        <v>1126</v>
      </c>
      <c r="B882" s="1">
        <v>-7</v>
      </c>
      <c r="C882" s="1">
        <v>18</v>
      </c>
    </row>
    <row r="883" spans="1:3">
      <c r="A883" s="1" t="s">
        <v>1127</v>
      </c>
      <c r="B883" s="1">
        <v>-27</v>
      </c>
      <c r="C883" s="1">
        <v>18</v>
      </c>
    </row>
    <row r="884" spans="1:3">
      <c r="A884" s="1" t="s">
        <v>1128</v>
      </c>
      <c r="B884" s="1">
        <v>-47</v>
      </c>
      <c r="C884" s="1">
        <v>18</v>
      </c>
    </row>
    <row r="885" spans="1:3">
      <c r="A885" s="1" t="s">
        <v>1129</v>
      </c>
      <c r="B885" s="1">
        <v>-67</v>
      </c>
      <c r="C885" s="1">
        <v>18</v>
      </c>
    </row>
    <row r="886" spans="1:3">
      <c r="A886" s="1" t="s">
        <v>1130</v>
      </c>
      <c r="B886" s="1">
        <v>-87</v>
      </c>
      <c r="C886" s="1">
        <v>18</v>
      </c>
    </row>
    <row r="887" spans="1:3">
      <c r="A887" s="1" t="s">
        <v>1131</v>
      </c>
      <c r="B887" s="1">
        <v>-107</v>
      </c>
      <c r="C887" s="1">
        <v>18</v>
      </c>
    </row>
    <row r="888" spans="1:3">
      <c r="A888" s="1" t="s">
        <v>1132</v>
      </c>
      <c r="B888" s="1">
        <v>-127</v>
      </c>
      <c r="C888" s="1">
        <v>18</v>
      </c>
    </row>
    <row r="889" spans="1:3">
      <c r="A889" s="1" t="s">
        <v>1133</v>
      </c>
      <c r="B889" s="1">
        <v>-147</v>
      </c>
      <c r="C889" s="1">
        <v>18</v>
      </c>
    </row>
    <row r="890" spans="1:3">
      <c r="A890" s="1" t="s">
        <v>1134</v>
      </c>
      <c r="B890" s="1">
        <v>-167</v>
      </c>
      <c r="C890" s="1">
        <v>18</v>
      </c>
    </row>
    <row r="891" spans="1:3">
      <c r="A891" s="1" t="s">
        <v>1135</v>
      </c>
      <c r="B891" s="1">
        <v>-187</v>
      </c>
      <c r="C891" s="1">
        <v>18</v>
      </c>
    </row>
    <row r="892" spans="1:3">
      <c r="A892" s="1" t="s">
        <v>1136</v>
      </c>
      <c r="B892" s="1">
        <v>-207</v>
      </c>
      <c r="C892" s="1">
        <v>18</v>
      </c>
    </row>
    <row r="893" spans="1:3">
      <c r="A893" s="1" t="s">
        <v>1137</v>
      </c>
      <c r="B893" s="1">
        <v>-227</v>
      </c>
      <c r="C893" s="1">
        <v>18</v>
      </c>
    </row>
    <row r="894" spans="1:3">
      <c r="A894" s="1" t="s">
        <v>1138</v>
      </c>
      <c r="B894" s="1">
        <v>-247</v>
      </c>
      <c r="C894" s="1">
        <v>18</v>
      </c>
    </row>
    <row r="895" spans="1:3">
      <c r="A895" s="1" t="s">
        <v>1139</v>
      </c>
      <c r="B895" s="1">
        <v>-267</v>
      </c>
      <c r="C895" s="1">
        <v>18</v>
      </c>
    </row>
    <row r="896" spans="1:3">
      <c r="A896" s="1" t="s">
        <v>1140</v>
      </c>
      <c r="B896" s="1">
        <v>13</v>
      </c>
      <c r="C896" s="1">
        <v>-2</v>
      </c>
    </row>
    <row r="897" spans="1:3">
      <c r="A897" s="1" t="s">
        <v>1141</v>
      </c>
      <c r="B897" s="1">
        <v>13</v>
      </c>
      <c r="C897" s="1">
        <v>-22</v>
      </c>
    </row>
    <row r="898" spans="1:3">
      <c r="A898" s="1" t="s">
        <v>1142</v>
      </c>
      <c r="B898" s="1">
        <v>13</v>
      </c>
      <c r="C898" s="1">
        <v>-42</v>
      </c>
    </row>
    <row r="899" spans="1:3">
      <c r="A899" s="1" t="s">
        <v>1143</v>
      </c>
      <c r="B899" s="1">
        <v>13</v>
      </c>
      <c r="C899" s="1">
        <v>-62</v>
      </c>
    </row>
    <row r="900" spans="1:3">
      <c r="A900" s="1" t="s">
        <v>1144</v>
      </c>
      <c r="B900" s="1">
        <v>13</v>
      </c>
      <c r="C900" s="1">
        <v>-82</v>
      </c>
    </row>
    <row r="901" spans="1:3">
      <c r="A901" s="1" t="s">
        <v>1145</v>
      </c>
      <c r="B901" s="1">
        <v>13</v>
      </c>
      <c r="C901" s="1">
        <v>-102</v>
      </c>
    </row>
    <row r="902" spans="1:3">
      <c r="A902" s="1" t="s">
        <v>1146</v>
      </c>
      <c r="B902" s="1">
        <v>13</v>
      </c>
      <c r="C902" s="1">
        <v>-122</v>
      </c>
    </row>
    <row r="903" spans="1:3">
      <c r="A903" s="1" t="s">
        <v>1147</v>
      </c>
      <c r="B903" s="1">
        <v>13</v>
      </c>
      <c r="C903" s="1">
        <v>-142</v>
      </c>
    </row>
    <row r="904" spans="1:3">
      <c r="A904" s="1" t="s">
        <v>1148</v>
      </c>
      <c r="B904" s="1">
        <v>13</v>
      </c>
      <c r="C904" s="1">
        <v>-162</v>
      </c>
    </row>
    <row r="905" spans="1:3">
      <c r="A905" s="1" t="s">
        <v>1149</v>
      </c>
      <c r="B905" s="1">
        <v>13</v>
      </c>
      <c r="C905" s="1">
        <v>-182</v>
      </c>
    </row>
    <row r="906" spans="1:3">
      <c r="A906" s="1" t="s">
        <v>1150</v>
      </c>
      <c r="B906" s="1">
        <v>13</v>
      </c>
      <c r="C906" s="1">
        <v>-202</v>
      </c>
    </row>
    <row r="907" spans="1:3">
      <c r="A907" s="1" t="s">
        <v>1151</v>
      </c>
      <c r="B907" s="1">
        <v>13</v>
      </c>
      <c r="C907" s="1">
        <v>-222</v>
      </c>
    </row>
    <row r="908" spans="1:3">
      <c r="A908" s="1" t="s">
        <v>1152</v>
      </c>
      <c r="B908" s="1">
        <v>13</v>
      </c>
      <c r="C908" s="1">
        <v>-242</v>
      </c>
    </row>
    <row r="909" spans="1:3">
      <c r="A909" s="1" t="s">
        <v>1153</v>
      </c>
      <c r="B909" s="1">
        <v>13</v>
      </c>
      <c r="C909" s="1">
        <v>-262</v>
      </c>
    </row>
    <row r="910" spans="1:3">
      <c r="A910" s="1" t="s">
        <v>1154</v>
      </c>
    </row>
    <row r="911" spans="1:3">
      <c r="A911" s="1" t="s">
        <v>1156</v>
      </c>
    </row>
    <row r="912" spans="1:3">
      <c r="A912" s="1" t="s">
        <v>1157</v>
      </c>
    </row>
    <row r="913" spans="1:3">
      <c r="A913" s="1" t="s">
        <v>1158</v>
      </c>
    </row>
    <row r="914" spans="1:3">
      <c r="A914" s="1" t="s">
        <v>1159</v>
      </c>
    </row>
    <row r="915" spans="1:3">
      <c r="A915" s="1" t="s">
        <v>1160</v>
      </c>
    </row>
    <row r="916" spans="1:3">
      <c r="A916" s="1" t="s">
        <v>1161</v>
      </c>
    </row>
    <row r="917" spans="1:3">
      <c r="A917" s="1" t="s">
        <v>1162</v>
      </c>
    </row>
    <row r="918" spans="1:3">
      <c r="A918" s="1" t="s">
        <v>1163</v>
      </c>
    </row>
    <row r="919" spans="1:3">
      <c r="A919" s="1" t="s">
        <v>1164</v>
      </c>
    </row>
    <row r="920" spans="1:3">
      <c r="A920" s="1" t="s">
        <v>1165</v>
      </c>
    </row>
    <row r="921" spans="1:3">
      <c r="A921" s="1" t="s">
        <v>1166</v>
      </c>
    </row>
    <row r="922" spans="1:3">
      <c r="A922" s="1" t="s">
        <v>1167</v>
      </c>
    </row>
    <row r="923" spans="1:3">
      <c r="A923" s="1" t="s">
        <v>1168</v>
      </c>
    </row>
    <row r="924" spans="1:3">
      <c r="A924" s="1" t="s">
        <v>1169</v>
      </c>
    </row>
    <row r="925" spans="1:3">
      <c r="A925" s="2" t="s">
        <v>30</v>
      </c>
      <c r="B925" s="2">
        <v>600</v>
      </c>
      <c r="C925" s="2">
        <v>900</v>
      </c>
    </row>
    <row r="926" spans="1:3">
      <c r="A926" s="1" t="s">
        <v>1174</v>
      </c>
      <c r="B926" s="1">
        <v>200</v>
      </c>
      <c r="C926" s="1">
        <v>900</v>
      </c>
    </row>
    <row r="927" spans="1:3">
      <c r="A927" s="1" t="s">
        <v>1177</v>
      </c>
      <c r="B927" s="1">
        <v>600</v>
      </c>
      <c r="C927" s="1">
        <v>600</v>
      </c>
    </row>
    <row r="928" spans="1:3">
      <c r="A928" s="1" t="s">
        <v>1181</v>
      </c>
      <c r="B928" s="1">
        <v>600</v>
      </c>
      <c r="C928" s="1">
        <v>300</v>
      </c>
    </row>
    <row r="929" spans="1:3">
      <c r="A929" s="1" t="s">
        <v>1185</v>
      </c>
      <c r="B929" s="1">
        <v>600</v>
      </c>
      <c r="C929" s="1">
        <v>225</v>
      </c>
    </row>
    <row r="930" spans="1:3">
      <c r="A930" s="1" t="s">
        <v>1187</v>
      </c>
      <c r="B930" s="1">
        <v>200</v>
      </c>
      <c r="C930" s="1">
        <v>300</v>
      </c>
    </row>
    <row r="931" spans="1:3">
      <c r="A931" s="1" t="s">
        <v>1188</v>
      </c>
      <c r="B931" s="1">
        <v>300</v>
      </c>
      <c r="C931" s="1">
        <v>300</v>
      </c>
    </row>
    <row r="932" spans="1:3">
      <c r="A932" s="1" t="s">
        <v>1189</v>
      </c>
      <c r="B932" s="1">
        <v>600</v>
      </c>
      <c r="C932" s="1">
        <v>840</v>
      </c>
    </row>
    <row r="933" spans="1:3">
      <c r="A933" s="1" t="s">
        <v>1190</v>
      </c>
      <c r="B933" s="1">
        <v>200</v>
      </c>
      <c r="C933" s="1">
        <v>860</v>
      </c>
    </row>
    <row r="934" spans="1:3">
      <c r="A934" s="1" t="s">
        <v>1195</v>
      </c>
      <c r="B934" s="1">
        <v>200</v>
      </c>
      <c r="C934" s="1">
        <v>840</v>
      </c>
    </row>
    <row r="935" spans="1:3">
      <c r="A935" s="1" t="s">
        <v>1196</v>
      </c>
      <c r="B935" s="1">
        <v>600</v>
      </c>
      <c r="C935" s="1">
        <v>860</v>
      </c>
    </row>
    <row r="936" spans="1:3">
      <c r="A936" s="1" t="s">
        <v>1197</v>
      </c>
    </row>
    <row r="937" spans="1:3">
      <c r="A937" s="1" t="s">
        <v>1198</v>
      </c>
    </row>
    <row r="938" spans="1:3">
      <c r="A938" s="1" t="s">
        <v>1199</v>
      </c>
    </row>
    <row r="939" spans="1:3">
      <c r="A939" s="1" t="s">
        <v>1202</v>
      </c>
    </row>
    <row r="940" spans="1:3">
      <c r="A940" s="1" t="s">
        <v>1206</v>
      </c>
    </row>
    <row r="941" spans="1:3">
      <c r="A941" s="1" t="s">
        <v>1207</v>
      </c>
    </row>
    <row r="942" spans="1:3">
      <c r="A942" s="1" t="s">
        <v>1208</v>
      </c>
    </row>
    <row r="943" spans="1:3">
      <c r="A943" s="1" t="s">
        <v>1210</v>
      </c>
    </row>
    <row r="944" spans="1:3">
      <c r="A944" s="1" t="s">
        <v>1213</v>
      </c>
    </row>
    <row r="945" spans="1:1">
      <c r="A945" s="1" t="s">
        <v>1214</v>
      </c>
    </row>
    <row r="946" spans="1:1">
      <c r="A946" s="1" t="s">
        <v>1217</v>
      </c>
    </row>
    <row r="947" spans="1:1">
      <c r="A947" s="1" t="s">
        <v>1218</v>
      </c>
    </row>
    <row r="948" spans="1:1">
      <c r="A948" s="1" t="s">
        <v>1221</v>
      </c>
    </row>
    <row r="949" spans="1:1">
      <c r="A949" s="1" t="s">
        <v>1223</v>
      </c>
    </row>
    <row r="950" spans="1:1">
      <c r="A950" s="1" t="s">
        <v>1224</v>
      </c>
    </row>
    <row r="951" spans="1:1">
      <c r="A951" s="1" t="s">
        <v>1225</v>
      </c>
    </row>
    <row r="952" spans="1:1">
      <c r="A952" s="1" t="s">
        <v>1228</v>
      </c>
    </row>
    <row r="953" spans="1:1">
      <c r="A953" s="1" t="s">
        <v>1229</v>
      </c>
    </row>
    <row r="954" spans="1:1">
      <c r="A954" s="1" t="s">
        <v>1232</v>
      </c>
    </row>
    <row r="955" spans="1:1">
      <c r="A955" s="1" t="s">
        <v>1236</v>
      </c>
    </row>
    <row r="956" spans="1:1">
      <c r="A956" s="1" t="s">
        <v>1240</v>
      </c>
    </row>
    <row r="957" spans="1:1">
      <c r="A957" s="1" t="s">
        <v>1244</v>
      </c>
    </row>
    <row r="958" spans="1:1">
      <c r="A958" s="1" t="s">
        <v>1247</v>
      </c>
    </row>
    <row r="959" spans="1:1">
      <c r="A959" s="1" t="s">
        <v>1248</v>
      </c>
    </row>
    <row r="960" spans="1:1">
      <c r="A960" s="1" t="s">
        <v>1251</v>
      </c>
    </row>
    <row r="961" spans="1:3">
      <c r="A961" s="1" t="s">
        <v>1253</v>
      </c>
    </row>
    <row r="962" spans="1:3">
      <c r="A962" s="1" t="s">
        <v>1257</v>
      </c>
    </row>
    <row r="963" spans="1:3">
      <c r="A963" s="1" t="s">
        <v>1258</v>
      </c>
    </row>
    <row r="964" spans="1:3">
      <c r="A964" s="1" t="s">
        <v>1259</v>
      </c>
    </row>
    <row r="965" spans="1:3">
      <c r="A965" s="1" t="s">
        <v>1260</v>
      </c>
    </row>
    <row r="966" spans="1:3">
      <c r="A966" s="1" t="s">
        <v>1261</v>
      </c>
    </row>
    <row r="967" spans="1:3">
      <c r="A967" s="1" t="s">
        <v>1262</v>
      </c>
    </row>
    <row r="968" spans="1:3">
      <c r="A968" s="1" t="s">
        <v>1263</v>
      </c>
    </row>
    <row r="969" spans="1:3">
      <c r="A969" s="1" t="s">
        <v>1264</v>
      </c>
    </row>
    <row r="970" spans="1:3">
      <c r="A970" s="1" t="s">
        <v>1265</v>
      </c>
    </row>
    <row r="971" spans="1:3">
      <c r="A971" s="1" t="s">
        <v>1266</v>
      </c>
    </row>
    <row r="972" spans="1:3">
      <c r="A972" s="1" t="s">
        <v>1267</v>
      </c>
    </row>
    <row r="973" spans="1:3">
      <c r="A973" s="1" t="s">
        <v>1268</v>
      </c>
    </row>
    <row r="974" spans="1:3">
      <c r="A974" s="1" t="s">
        <v>1269</v>
      </c>
    </row>
    <row r="975" spans="1:3">
      <c r="A975" s="1" t="s">
        <v>1270</v>
      </c>
    </row>
    <row r="976" spans="1:3">
      <c r="A976" s="2" t="s">
        <v>36</v>
      </c>
      <c r="B976" s="2">
        <v>1300</v>
      </c>
      <c r="C976" s="2">
        <v>900</v>
      </c>
    </row>
    <row r="977" spans="1:3">
      <c r="A977" s="1" t="s">
        <v>1272</v>
      </c>
      <c r="B977" s="1">
        <v>433.33</v>
      </c>
      <c r="C977" s="1">
        <v>900</v>
      </c>
    </row>
    <row r="978" spans="1:3">
      <c r="A978" s="1" t="s">
        <v>1274</v>
      </c>
      <c r="B978" s="1">
        <v>1300</v>
      </c>
      <c r="C978" s="1">
        <v>1300</v>
      </c>
    </row>
    <row r="979" spans="1:3">
      <c r="A979" s="1" t="s">
        <v>1278</v>
      </c>
      <c r="B979" s="1">
        <v>1300</v>
      </c>
      <c r="C979" s="1">
        <v>650</v>
      </c>
    </row>
    <row r="980" spans="1:3">
      <c r="A980" s="1" t="s">
        <v>1279</v>
      </c>
      <c r="B980" s="1">
        <v>1300</v>
      </c>
      <c r="C980" s="1">
        <v>225</v>
      </c>
    </row>
    <row r="981" spans="1:3">
      <c r="A981" s="1" t="s">
        <v>1280</v>
      </c>
      <c r="B981" s="1">
        <v>433.33</v>
      </c>
      <c r="C981" s="1">
        <v>650</v>
      </c>
    </row>
    <row r="982" spans="1:3">
      <c r="A982" s="1" t="s">
        <v>1281</v>
      </c>
      <c r="B982" s="1">
        <v>650</v>
      </c>
      <c r="C982" s="1">
        <v>650</v>
      </c>
    </row>
    <row r="983" spans="1:3">
      <c r="A983" s="1" t="s">
        <v>1282</v>
      </c>
      <c r="B983" s="1">
        <v>1300</v>
      </c>
      <c r="C983" s="1">
        <v>840</v>
      </c>
    </row>
    <row r="984" spans="1:3">
      <c r="A984" s="1" t="s">
        <v>1283</v>
      </c>
      <c r="B984" s="1">
        <v>433.33</v>
      </c>
      <c r="C984" s="1">
        <v>860</v>
      </c>
    </row>
    <row r="985" spans="1:3">
      <c r="A985" s="1" t="s">
        <v>1284</v>
      </c>
      <c r="B985" s="1">
        <v>433.33</v>
      </c>
      <c r="C985" s="1">
        <v>840</v>
      </c>
    </row>
    <row r="986" spans="1:3">
      <c r="A986" s="1" t="s">
        <v>1286</v>
      </c>
      <c r="B986" s="1">
        <v>1300</v>
      </c>
      <c r="C986" s="1">
        <v>860</v>
      </c>
    </row>
    <row r="987" spans="1:3">
      <c r="A987" s="1" t="s">
        <v>1287</v>
      </c>
    </row>
    <row r="988" spans="1:3">
      <c r="A988" s="1" t="s">
        <v>1288</v>
      </c>
    </row>
    <row r="989" spans="1:3">
      <c r="A989" s="1" t="s">
        <v>1291</v>
      </c>
    </row>
    <row r="990" spans="1:3">
      <c r="A990" s="1" t="s">
        <v>1292</v>
      </c>
    </row>
    <row r="991" spans="1:3">
      <c r="A991" s="1" t="s">
        <v>1293</v>
      </c>
    </row>
    <row r="992" spans="1:3">
      <c r="A992" s="1" t="s">
        <v>1294</v>
      </c>
    </row>
    <row r="993" spans="1:1">
      <c r="A993" s="1" t="s">
        <v>1295</v>
      </c>
    </row>
    <row r="994" spans="1:1">
      <c r="A994" s="1" t="s">
        <v>1296</v>
      </c>
    </row>
    <row r="995" spans="1:1">
      <c r="A995" s="1" t="s">
        <v>1297</v>
      </c>
    </row>
    <row r="996" spans="1:1">
      <c r="A996" s="1" t="s">
        <v>1299</v>
      </c>
    </row>
    <row r="997" spans="1:1">
      <c r="A997" s="1" t="s">
        <v>1300</v>
      </c>
    </row>
    <row r="998" spans="1:1">
      <c r="A998" s="1" t="s">
        <v>1301</v>
      </c>
    </row>
    <row r="999" spans="1:1">
      <c r="A999" s="1" t="s">
        <v>1302</v>
      </c>
    </row>
    <row r="1000" spans="1:1">
      <c r="A1000" s="1" t="s">
        <v>1304</v>
      </c>
    </row>
    <row r="1001" spans="1:1">
      <c r="A1001" s="1" t="s">
        <v>1305</v>
      </c>
    </row>
    <row r="1002" spans="1:1">
      <c r="A1002" s="1" t="s">
        <v>1309</v>
      </c>
    </row>
    <row r="1003" spans="1:1">
      <c r="A1003" s="1" t="s">
        <v>1310</v>
      </c>
    </row>
    <row r="1004" spans="1:1">
      <c r="A1004" s="1" t="s">
        <v>1311</v>
      </c>
    </row>
    <row r="1005" spans="1:1">
      <c r="A1005" s="1" t="s">
        <v>1312</v>
      </c>
    </row>
    <row r="1006" spans="1:1">
      <c r="A1006" s="1" t="s">
        <v>1314</v>
      </c>
    </row>
    <row r="1007" spans="1:1">
      <c r="A1007" s="1" t="s">
        <v>1315</v>
      </c>
    </row>
    <row r="1008" spans="1:1">
      <c r="A1008" s="1" t="s">
        <v>1319</v>
      </c>
    </row>
    <row r="1009" spans="1:1">
      <c r="A1009" s="1" t="s">
        <v>1320</v>
      </c>
    </row>
    <row r="1010" spans="1:1">
      <c r="A1010" s="1" t="s">
        <v>1323</v>
      </c>
    </row>
    <row r="1011" spans="1:1">
      <c r="A1011" s="1" t="s">
        <v>1326</v>
      </c>
    </row>
    <row r="1012" spans="1:1">
      <c r="A1012" s="1" t="s">
        <v>1328</v>
      </c>
    </row>
    <row r="1013" spans="1:1">
      <c r="A1013" s="1" t="s">
        <v>1331</v>
      </c>
    </row>
    <row r="1014" spans="1:1">
      <c r="A1014" s="1" t="s">
        <v>1332</v>
      </c>
    </row>
    <row r="1015" spans="1:1">
      <c r="A1015" s="1" t="s">
        <v>1333</v>
      </c>
    </row>
    <row r="1016" spans="1:1">
      <c r="A1016" s="1" t="s">
        <v>1334</v>
      </c>
    </row>
    <row r="1017" spans="1:1">
      <c r="A1017" s="1" t="s">
        <v>1335</v>
      </c>
    </row>
    <row r="1018" spans="1:1">
      <c r="A1018" s="1" t="s">
        <v>1336</v>
      </c>
    </row>
    <row r="1019" spans="1:1">
      <c r="A1019" s="1" t="s">
        <v>1337</v>
      </c>
    </row>
    <row r="1020" spans="1:1">
      <c r="A1020" s="1" t="s">
        <v>1338</v>
      </c>
    </row>
    <row r="1021" spans="1:1">
      <c r="A1021" s="1" t="s">
        <v>1339</v>
      </c>
    </row>
    <row r="1022" spans="1:1">
      <c r="A1022" s="1" t="s">
        <v>1340</v>
      </c>
    </row>
    <row r="1023" spans="1:1">
      <c r="A1023" s="1" t="s">
        <v>1341</v>
      </c>
    </row>
    <row r="1024" spans="1:1">
      <c r="A1024" s="1" t="s">
        <v>1342</v>
      </c>
    </row>
    <row r="1025" spans="1:3">
      <c r="A1025" s="1" t="s">
        <v>1343</v>
      </c>
    </row>
    <row r="1026" spans="1:3">
      <c r="A1026" s="2" t="s">
        <v>1345</v>
      </c>
      <c r="B1026" s="2">
        <v>300</v>
      </c>
      <c r="C1026" s="2">
        <v>255</v>
      </c>
    </row>
    <row r="1027" spans="1:3">
      <c r="A1027" s="1" t="s">
        <v>1349</v>
      </c>
      <c r="B1027" s="1">
        <v>200</v>
      </c>
      <c r="C1027" s="1">
        <v>163</v>
      </c>
    </row>
    <row r="1028" spans="1:3">
      <c r="A1028" s="1" t="s">
        <v>1350</v>
      </c>
      <c r="B1028" s="1">
        <v>150</v>
      </c>
      <c r="C1028" s="1">
        <v>165</v>
      </c>
    </row>
    <row r="1029" spans="1:3">
      <c r="A1029" s="1" t="s">
        <v>1351</v>
      </c>
      <c r="B1029" s="1">
        <v>140</v>
      </c>
      <c r="C1029" s="1">
        <v>120</v>
      </c>
    </row>
    <row r="1030" spans="1:3">
      <c r="A1030" s="1" t="s">
        <v>1352</v>
      </c>
      <c r="B1030" s="1">
        <v>98</v>
      </c>
      <c r="C1030" s="1">
        <v>98</v>
      </c>
    </row>
    <row r="1031" spans="1:3">
      <c r="A1031" s="1" t="s">
        <v>1353</v>
      </c>
      <c r="B1031" s="1">
        <v>100</v>
      </c>
      <c r="C1031" s="1">
        <v>240</v>
      </c>
    </row>
    <row r="1032" spans="1:3">
      <c r="A1032" s="1" t="s">
        <v>1354</v>
      </c>
      <c r="B1032" s="1">
        <v>140</v>
      </c>
      <c r="C1032" s="1">
        <v>140</v>
      </c>
    </row>
    <row r="1033" spans="1:3">
      <c r="A1033" s="1" t="s">
        <v>1355</v>
      </c>
      <c r="B1033" s="1">
        <v>190</v>
      </c>
      <c r="C1033" s="1">
        <v>190</v>
      </c>
    </row>
    <row r="1034" spans="1:3">
      <c r="A1034" s="1" t="s">
        <v>1356</v>
      </c>
      <c r="B1034" s="1">
        <v>140</v>
      </c>
      <c r="C1034" s="1">
        <v>190</v>
      </c>
    </row>
    <row r="1035" spans="1:3">
      <c r="A1035" s="1" t="s">
        <v>1357</v>
      </c>
      <c r="B1035" s="1">
        <v>190</v>
      </c>
      <c r="C1035" s="1">
        <v>290</v>
      </c>
    </row>
    <row r="1036" spans="1:3">
      <c r="A1036" s="1" t="s">
        <v>1358</v>
      </c>
      <c r="B1036" s="1">
        <v>150</v>
      </c>
      <c r="C1036" s="1">
        <v>150</v>
      </c>
    </row>
    <row r="1037" spans="1:3">
      <c r="A1037" s="1" t="s">
        <v>1359</v>
      </c>
      <c r="B1037" s="1">
        <v>280</v>
      </c>
      <c r="C1037" s="1">
        <v>360</v>
      </c>
    </row>
    <row r="1038" spans="1:3">
      <c r="A1038" s="1" t="s">
        <v>1360</v>
      </c>
      <c r="B1038" s="1">
        <v>150</v>
      </c>
      <c r="C1038" s="1">
        <v>150</v>
      </c>
    </row>
    <row r="1039" spans="1:3">
      <c r="A1039" s="1" t="s">
        <v>1361</v>
      </c>
    </row>
    <row r="1040" spans="1:3">
      <c r="A1040" s="1" t="s">
        <v>1363</v>
      </c>
    </row>
    <row r="1041" spans="1:3">
      <c r="A1041" s="1" t="s">
        <v>1364</v>
      </c>
    </row>
    <row r="1042" spans="1:3">
      <c r="A1042" s="1" t="s">
        <v>1365</v>
      </c>
    </row>
    <row r="1043" spans="1:3">
      <c r="A1043" s="1" t="s">
        <v>1366</v>
      </c>
    </row>
    <row r="1044" spans="1:3">
      <c r="A1044" s="1" t="s">
        <v>1367</v>
      </c>
    </row>
    <row r="1045" spans="1:3">
      <c r="A1045" s="1" t="s">
        <v>1368</v>
      </c>
    </row>
    <row r="1046" spans="1:3">
      <c r="A1046" s="1" t="s">
        <v>1369</v>
      </c>
      <c r="B1046" s="1">
        <v>40</v>
      </c>
      <c r="C1046" s="1">
        <v>40</v>
      </c>
    </row>
    <row r="1047" spans="1:3">
      <c r="A1047" s="1" t="s">
        <v>1370</v>
      </c>
      <c r="B1047" s="1">
        <v>100</v>
      </c>
      <c r="C1047" s="1">
        <v>100</v>
      </c>
    </row>
    <row r="1048" spans="1:3">
      <c r="A1048" s="1" t="s">
        <v>1371</v>
      </c>
      <c r="B1048" s="1">
        <v>150</v>
      </c>
      <c r="C1048" s="1">
        <v>150</v>
      </c>
    </row>
    <row r="1049" spans="1:3">
      <c r="A1049" s="1" t="s">
        <v>1372</v>
      </c>
      <c r="B1049" s="1">
        <v>200</v>
      </c>
      <c r="C1049" s="1">
        <v>200</v>
      </c>
    </row>
    <row r="1050" spans="1:3">
      <c r="A1050" s="1" t="s">
        <v>1373</v>
      </c>
    </row>
    <row r="1051" spans="1:3">
      <c r="A1051" s="1" t="s">
        <v>1374</v>
      </c>
    </row>
    <row r="1052" spans="1:3">
      <c r="A1052" s="1" t="s">
        <v>1375</v>
      </c>
    </row>
    <row r="1053" spans="1:3">
      <c r="A1053" s="1" t="s">
        <v>1376</v>
      </c>
    </row>
    <row r="1054" spans="1:3">
      <c r="A1054" s="1" t="s">
        <v>1377</v>
      </c>
    </row>
    <row r="1055" spans="1:3">
      <c r="A1055" s="1" t="s">
        <v>1378</v>
      </c>
    </row>
    <row r="1056" spans="1:3">
      <c r="A1056" s="1" t="s">
        <v>1379</v>
      </c>
    </row>
    <row r="1057" spans="1:1">
      <c r="A1057" s="1" t="s">
        <v>1380</v>
      </c>
    </row>
    <row r="1058" spans="1:1">
      <c r="A1058" s="1" t="s">
        <v>1381</v>
      </c>
    </row>
    <row r="1059" spans="1:1">
      <c r="A1059" s="1" t="s">
        <v>1382</v>
      </c>
    </row>
    <row r="1060" spans="1:1">
      <c r="A1060" s="1" t="s">
        <v>1383</v>
      </c>
    </row>
    <row r="1061" spans="1:1">
      <c r="A1061" s="1" t="s">
        <v>1384</v>
      </c>
    </row>
    <row r="1062" spans="1:1">
      <c r="A1062" s="1" t="s">
        <v>1385</v>
      </c>
    </row>
    <row r="1063" spans="1:1">
      <c r="A1063" s="1" t="s">
        <v>1386</v>
      </c>
    </row>
    <row r="1064" spans="1:1">
      <c r="A1064" s="1" t="s">
        <v>1387</v>
      </c>
    </row>
    <row r="1065" spans="1:1">
      <c r="A1065" s="1" t="s">
        <v>1388</v>
      </c>
    </row>
    <row r="1066" spans="1:1">
      <c r="A1066" s="1" t="s">
        <v>1389</v>
      </c>
    </row>
    <row r="1067" spans="1:1">
      <c r="A1067" s="1" t="s">
        <v>1390</v>
      </c>
    </row>
    <row r="1068" spans="1:1">
      <c r="A1068" s="1" t="s">
        <v>1391</v>
      </c>
    </row>
    <row r="1069" spans="1:1">
      <c r="A1069" s="1" t="s">
        <v>1392</v>
      </c>
    </row>
    <row r="1070" spans="1:1">
      <c r="A1070" s="1" t="s">
        <v>1393</v>
      </c>
    </row>
    <row r="1071" spans="1:1">
      <c r="A1071" s="1" t="s">
        <v>1394</v>
      </c>
    </row>
    <row r="1072" spans="1:1">
      <c r="A1072" s="1" t="s">
        <v>1395</v>
      </c>
    </row>
    <row r="1073" spans="1:3">
      <c r="A1073" s="1" t="s">
        <v>1396</v>
      </c>
    </row>
    <row r="1074" spans="1:3">
      <c r="A1074" s="1" t="s">
        <v>1397</v>
      </c>
    </row>
    <row r="1075" spans="1:3">
      <c r="A1075" s="1" t="s">
        <v>1398</v>
      </c>
    </row>
    <row r="1076" spans="1:3">
      <c r="A1076" s="1" t="s">
        <v>41</v>
      </c>
      <c r="B1076" s="1">
        <v>1600</v>
      </c>
      <c r="C1076" s="1">
        <v>1000</v>
      </c>
    </row>
    <row r="1077" spans="1:3">
      <c r="A1077" s="1" t="s">
        <v>1402</v>
      </c>
      <c r="B1077" s="1">
        <v>533.33000000000004</v>
      </c>
      <c r="C1077" s="1">
        <v>1000</v>
      </c>
    </row>
    <row r="1078" spans="1:3">
      <c r="A1078" s="1" t="s">
        <v>1405</v>
      </c>
      <c r="B1078" s="1">
        <v>1600</v>
      </c>
      <c r="C1078" s="1">
        <v>1600</v>
      </c>
    </row>
    <row r="1079" spans="1:3">
      <c r="A1079" s="1" t="s">
        <v>1408</v>
      </c>
      <c r="B1079" s="1">
        <v>1600</v>
      </c>
      <c r="C1079" s="1">
        <v>800</v>
      </c>
    </row>
    <row r="1080" spans="1:3">
      <c r="A1080" s="1" t="s">
        <v>1411</v>
      </c>
      <c r="B1080" s="1">
        <v>1600</v>
      </c>
      <c r="C1080" s="1">
        <v>250</v>
      </c>
    </row>
    <row r="1081" spans="1:3">
      <c r="A1081" s="1" t="s">
        <v>1414</v>
      </c>
      <c r="B1081" s="1">
        <v>533.33000000000004</v>
      </c>
      <c r="C1081" s="1">
        <v>800</v>
      </c>
    </row>
    <row r="1082" spans="1:3">
      <c r="A1082" s="1" t="s">
        <v>1417</v>
      </c>
      <c r="B1082" s="1">
        <v>800</v>
      </c>
      <c r="C1082" s="1">
        <v>800</v>
      </c>
    </row>
    <row r="1083" spans="1:3">
      <c r="A1083" s="1" t="s">
        <v>1418</v>
      </c>
      <c r="B1083" s="1">
        <v>1600</v>
      </c>
      <c r="C1083" s="1">
        <v>940</v>
      </c>
    </row>
    <row r="1084" spans="1:3">
      <c r="A1084" s="1" t="s">
        <v>1419</v>
      </c>
      <c r="B1084" s="1">
        <v>533.33000000000004</v>
      </c>
      <c r="C1084" s="1">
        <v>960</v>
      </c>
    </row>
    <row r="1085" spans="1:3">
      <c r="A1085" s="1" t="s">
        <v>1421</v>
      </c>
      <c r="B1085" s="1">
        <v>533.33000000000004</v>
      </c>
      <c r="C1085" s="1">
        <v>940</v>
      </c>
    </row>
    <row r="1086" spans="1:3">
      <c r="A1086" s="1" t="s">
        <v>1422</v>
      </c>
      <c r="B1086" s="1">
        <v>1600</v>
      </c>
      <c r="C1086" s="1">
        <v>960</v>
      </c>
    </row>
    <row r="1087" spans="1:3">
      <c r="A1087" s="1" t="s">
        <v>1423</v>
      </c>
    </row>
    <row r="1088" spans="1:3">
      <c r="A1088" s="1" t="s">
        <v>1424</v>
      </c>
    </row>
    <row r="1089" spans="1:1">
      <c r="A1089" s="1" t="s">
        <v>1425</v>
      </c>
    </row>
    <row r="1090" spans="1:1">
      <c r="A1090" s="1" t="s">
        <v>1426</v>
      </c>
    </row>
    <row r="1091" spans="1:1">
      <c r="A1091" s="1" t="s">
        <v>1427</v>
      </c>
    </row>
    <row r="1092" spans="1:1">
      <c r="A1092" s="1" t="s">
        <v>1428</v>
      </c>
    </row>
    <row r="1093" spans="1:1">
      <c r="A1093" s="1" t="s">
        <v>1429</v>
      </c>
    </row>
    <row r="1094" spans="1:1">
      <c r="A1094" s="1" t="s">
        <v>1431</v>
      </c>
    </row>
    <row r="1095" spans="1:1">
      <c r="A1095" s="1" t="s">
        <v>1432</v>
      </c>
    </row>
    <row r="1096" spans="1:1">
      <c r="A1096" s="1" t="s">
        <v>1433</v>
      </c>
    </row>
    <row r="1097" spans="1:1">
      <c r="A1097" s="1" t="s">
        <v>1434</v>
      </c>
    </row>
    <row r="1098" spans="1:1">
      <c r="A1098" s="1" t="s">
        <v>1437</v>
      </c>
    </row>
    <row r="1099" spans="1:1">
      <c r="A1099" s="1" t="s">
        <v>1438</v>
      </c>
    </row>
    <row r="1100" spans="1:1">
      <c r="A1100" s="1" t="s">
        <v>1439</v>
      </c>
    </row>
    <row r="1101" spans="1:1">
      <c r="A1101" s="1" t="s">
        <v>1440</v>
      </c>
    </row>
    <row r="1102" spans="1:1">
      <c r="A1102" s="1" t="s">
        <v>1443</v>
      </c>
    </row>
    <row r="1103" spans="1:1">
      <c r="A1103" s="1" t="s">
        <v>1444</v>
      </c>
    </row>
    <row r="1104" spans="1:1">
      <c r="A1104" s="1" t="s">
        <v>1447</v>
      </c>
    </row>
    <row r="1105" spans="1:1">
      <c r="A1105" s="1" t="s">
        <v>1448</v>
      </c>
    </row>
    <row r="1106" spans="1:1">
      <c r="A1106" s="1" t="s">
        <v>1449</v>
      </c>
    </row>
    <row r="1107" spans="1:1">
      <c r="A1107" s="1" t="s">
        <v>1450</v>
      </c>
    </row>
    <row r="1108" spans="1:1">
      <c r="A1108" s="1" t="s">
        <v>1451</v>
      </c>
    </row>
    <row r="1109" spans="1:1">
      <c r="A1109" s="1" t="s">
        <v>1452</v>
      </c>
    </row>
    <row r="1110" spans="1:1">
      <c r="A1110" s="1" t="s">
        <v>1453</v>
      </c>
    </row>
    <row r="1111" spans="1:1">
      <c r="A1111" s="1" t="s">
        <v>1454</v>
      </c>
    </row>
    <row r="1112" spans="1:1">
      <c r="A1112" s="1" t="s">
        <v>1457</v>
      </c>
    </row>
    <row r="1113" spans="1:1">
      <c r="A1113" s="1" t="s">
        <v>1458</v>
      </c>
    </row>
    <row r="1114" spans="1:1">
      <c r="A1114" s="1" t="s">
        <v>1459</v>
      </c>
    </row>
    <row r="1115" spans="1:1">
      <c r="A1115" s="1" t="s">
        <v>1460</v>
      </c>
    </row>
    <row r="1116" spans="1:1">
      <c r="A1116" s="1" t="s">
        <v>1461</v>
      </c>
    </row>
    <row r="1117" spans="1:1">
      <c r="A1117" s="1" t="s">
        <v>1462</v>
      </c>
    </row>
    <row r="1118" spans="1:1">
      <c r="A1118" s="1" t="s">
        <v>1463</v>
      </c>
    </row>
    <row r="1119" spans="1:1">
      <c r="A1119" s="1" t="s">
        <v>1464</v>
      </c>
    </row>
    <row r="1120" spans="1:1">
      <c r="A1120" s="1" t="s">
        <v>1465</v>
      </c>
    </row>
    <row r="1121" spans="1:3">
      <c r="A1121" s="1" t="s">
        <v>1466</v>
      </c>
    </row>
    <row r="1122" spans="1:3">
      <c r="A1122" s="1" t="s">
        <v>1467</v>
      </c>
    </row>
    <row r="1123" spans="1:3">
      <c r="A1123" s="1" t="s">
        <v>1468</v>
      </c>
    </row>
    <row r="1124" spans="1:3">
      <c r="A1124" s="1" t="s">
        <v>1469</v>
      </c>
    </row>
    <row r="1125" spans="1:3">
      <c r="A1125" s="1" t="s">
        <v>1470</v>
      </c>
    </row>
    <row r="1126" spans="1:3">
      <c r="A1126" s="1" t="s">
        <v>1471</v>
      </c>
    </row>
    <row r="1127" spans="1:3">
      <c r="A1127" s="2" t="s">
        <v>1684</v>
      </c>
      <c r="B1127" s="2">
        <v>1000</v>
      </c>
      <c r="C1127" s="2">
        <v>1414</v>
      </c>
    </row>
    <row r="1128" spans="1:3">
      <c r="A1128" s="1" t="s">
        <v>1687</v>
      </c>
      <c r="B1128" s="1">
        <v>333</v>
      </c>
      <c r="C1128" s="1">
        <v>1414</v>
      </c>
    </row>
    <row r="1129" spans="1:3">
      <c r="A1129" s="1" t="s">
        <v>1688</v>
      </c>
      <c r="B1129" s="1">
        <v>1000</v>
      </c>
      <c r="C1129" s="1">
        <v>1000</v>
      </c>
    </row>
    <row r="1130" spans="1:3">
      <c r="A1130" s="1" t="s">
        <v>1689</v>
      </c>
      <c r="B1130" s="1">
        <v>1000</v>
      </c>
      <c r="C1130" s="1">
        <v>500</v>
      </c>
    </row>
    <row r="1131" spans="1:3">
      <c r="A1131" s="1" t="s">
        <v>1690</v>
      </c>
      <c r="B1131" s="1">
        <v>1000</v>
      </c>
      <c r="C1131" s="1">
        <v>354</v>
      </c>
    </row>
    <row r="1132" spans="1:3">
      <c r="A1132" s="1" t="s">
        <v>1691</v>
      </c>
      <c r="B1132" s="1">
        <v>333</v>
      </c>
      <c r="C1132" s="1">
        <v>500</v>
      </c>
    </row>
    <row r="1133" spans="1:3">
      <c r="A1133" s="1" t="s">
        <v>1692</v>
      </c>
      <c r="B1133" s="1">
        <v>500</v>
      </c>
      <c r="C1133" s="1">
        <v>500</v>
      </c>
    </row>
    <row r="1134" spans="1:3">
      <c r="A1134" s="1" t="s">
        <v>1693</v>
      </c>
      <c r="B1134" s="1">
        <v>1000</v>
      </c>
      <c r="C1134" s="1">
        <v>1354</v>
      </c>
    </row>
    <row r="1135" spans="1:3">
      <c r="A1135" s="1" t="s">
        <v>1694</v>
      </c>
      <c r="B1135" s="1">
        <v>333</v>
      </c>
      <c r="C1135" s="1">
        <v>1374</v>
      </c>
    </row>
    <row r="1136" spans="1:3">
      <c r="A1136" s="1" t="s">
        <v>1695</v>
      </c>
      <c r="B1136" s="1">
        <v>333</v>
      </c>
      <c r="C1136" s="1">
        <v>1354</v>
      </c>
    </row>
    <row r="1137" spans="1:3">
      <c r="A1137" s="1" t="s">
        <v>1696</v>
      </c>
      <c r="B1137" s="1">
        <v>1000</v>
      </c>
      <c r="C1137" s="1">
        <v>1374</v>
      </c>
    </row>
    <row r="1138" spans="1:3">
      <c r="A1138" s="1" t="s">
        <v>1697</v>
      </c>
      <c r="B1138" s="1">
        <v>980</v>
      </c>
      <c r="C1138" s="1">
        <v>1394</v>
      </c>
    </row>
    <row r="1139" spans="1:3">
      <c r="A1139" s="1" t="s">
        <v>1698</v>
      </c>
      <c r="B1139" s="1">
        <v>960</v>
      </c>
      <c r="C1139" s="1">
        <v>1374</v>
      </c>
    </row>
    <row r="1140" spans="1:3">
      <c r="A1140" s="1" t="s">
        <v>1699</v>
      </c>
      <c r="B1140" s="1">
        <v>940</v>
      </c>
      <c r="C1140" s="1">
        <v>1354</v>
      </c>
    </row>
    <row r="1141" spans="1:3">
      <c r="A1141" s="1" t="s">
        <v>1700</v>
      </c>
      <c r="B1141" s="1">
        <v>920</v>
      </c>
      <c r="C1141" s="1">
        <v>1334</v>
      </c>
    </row>
    <row r="1142" spans="1:3">
      <c r="A1142" s="1" t="s">
        <v>1701</v>
      </c>
      <c r="B1142" s="1">
        <v>900</v>
      </c>
      <c r="C1142" s="1">
        <v>1314</v>
      </c>
    </row>
    <row r="1143" spans="1:3">
      <c r="A1143" s="1" t="s">
        <v>1702</v>
      </c>
      <c r="B1143" s="1">
        <v>880</v>
      </c>
      <c r="C1143" s="1">
        <v>1294</v>
      </c>
    </row>
    <row r="1144" spans="1:3">
      <c r="A1144" s="1" t="s">
        <v>1703</v>
      </c>
      <c r="B1144" s="1">
        <v>860</v>
      </c>
      <c r="C1144" s="1">
        <v>1274</v>
      </c>
    </row>
    <row r="1145" spans="1:3">
      <c r="A1145" s="1" t="s">
        <v>1704</v>
      </c>
      <c r="B1145" s="1">
        <v>980</v>
      </c>
      <c r="C1145" s="1">
        <v>980</v>
      </c>
    </row>
    <row r="1146" spans="1:3">
      <c r="A1146" s="1" t="s">
        <v>1705</v>
      </c>
      <c r="B1146" s="1">
        <v>960</v>
      </c>
      <c r="C1146" s="1">
        <v>960</v>
      </c>
    </row>
    <row r="1147" spans="1:3">
      <c r="A1147" s="1" t="s">
        <v>1706</v>
      </c>
      <c r="B1147" s="1">
        <v>940</v>
      </c>
      <c r="C1147" s="1">
        <v>940</v>
      </c>
    </row>
    <row r="1148" spans="1:3">
      <c r="A1148" s="1" t="s">
        <v>1707</v>
      </c>
      <c r="B1148" s="1">
        <v>920</v>
      </c>
      <c r="C1148" s="1">
        <v>920</v>
      </c>
    </row>
    <row r="1149" spans="1:3">
      <c r="A1149" s="1" t="s">
        <v>1708</v>
      </c>
      <c r="B1149" s="1">
        <v>900</v>
      </c>
      <c r="C1149" s="1">
        <v>900</v>
      </c>
    </row>
    <row r="1150" spans="1:3">
      <c r="A1150" s="1" t="s">
        <v>1709</v>
      </c>
      <c r="B1150" s="1">
        <v>880</v>
      </c>
      <c r="C1150" s="1">
        <v>880</v>
      </c>
    </row>
    <row r="1151" spans="1:3">
      <c r="A1151" s="1" t="s">
        <v>1710</v>
      </c>
      <c r="B1151" s="1">
        <v>860</v>
      </c>
      <c r="C1151" s="1">
        <v>860</v>
      </c>
    </row>
    <row r="1152" spans="1:3">
      <c r="A1152" s="1" t="s">
        <v>1711</v>
      </c>
      <c r="B1152" s="1">
        <v>840</v>
      </c>
      <c r="C1152" s="1">
        <v>840</v>
      </c>
    </row>
    <row r="1153" spans="1:3">
      <c r="A1153" s="1" t="s">
        <v>1712</v>
      </c>
      <c r="B1153" s="1">
        <v>820</v>
      </c>
      <c r="C1153" s="1">
        <v>820</v>
      </c>
    </row>
    <row r="1154" spans="1:3">
      <c r="A1154" s="1" t="s">
        <v>1713</v>
      </c>
      <c r="B1154" s="1">
        <v>800</v>
      </c>
      <c r="C1154" s="1">
        <v>800</v>
      </c>
    </row>
    <row r="1155" spans="1:3">
      <c r="A1155" s="1" t="s">
        <v>1714</v>
      </c>
      <c r="B1155" s="1">
        <v>980</v>
      </c>
      <c r="C1155" s="1">
        <v>1414</v>
      </c>
    </row>
    <row r="1156" spans="1:3">
      <c r="A1156" s="1" t="s">
        <v>1715</v>
      </c>
      <c r="B1156" s="1">
        <v>960</v>
      </c>
      <c r="C1156" s="1">
        <v>1414</v>
      </c>
    </row>
    <row r="1157" spans="1:3">
      <c r="A1157" s="1" t="s">
        <v>1716</v>
      </c>
      <c r="B1157" s="1">
        <v>940</v>
      </c>
      <c r="C1157" s="1">
        <v>1414</v>
      </c>
    </row>
    <row r="1158" spans="1:3">
      <c r="A1158" s="1" t="s">
        <v>1717</v>
      </c>
      <c r="B1158" s="1">
        <v>920</v>
      </c>
      <c r="C1158" s="1">
        <v>1414</v>
      </c>
    </row>
    <row r="1159" spans="1:3">
      <c r="A1159" s="1" t="s">
        <v>1718</v>
      </c>
      <c r="B1159" s="1">
        <v>900</v>
      </c>
      <c r="C1159" s="1">
        <v>1414</v>
      </c>
    </row>
    <row r="1160" spans="1:3">
      <c r="A1160" s="1" t="s">
        <v>1719</v>
      </c>
      <c r="B1160" s="1">
        <v>880</v>
      </c>
      <c r="C1160" s="1">
        <v>1414</v>
      </c>
    </row>
    <row r="1161" spans="1:3">
      <c r="A1161" s="1" t="s">
        <v>1720</v>
      </c>
      <c r="B1161" s="1">
        <v>860</v>
      </c>
      <c r="C1161" s="1">
        <v>1414</v>
      </c>
    </row>
    <row r="1162" spans="1:3">
      <c r="A1162" s="1" t="s">
        <v>1721</v>
      </c>
      <c r="B1162" s="1">
        <v>840</v>
      </c>
      <c r="C1162" s="1">
        <v>1414</v>
      </c>
    </row>
    <row r="1163" spans="1:3">
      <c r="A1163" s="1" t="s">
        <v>1722</v>
      </c>
      <c r="B1163" s="1">
        <v>820</v>
      </c>
      <c r="C1163" s="1">
        <v>1414</v>
      </c>
    </row>
    <row r="1164" spans="1:3">
      <c r="A1164" s="1" t="s">
        <v>1723</v>
      </c>
      <c r="B1164" s="1">
        <v>800</v>
      </c>
      <c r="C1164" s="1">
        <v>1414</v>
      </c>
    </row>
    <row r="1165" spans="1:3">
      <c r="A1165" s="1" t="s">
        <v>1724</v>
      </c>
      <c r="B1165" s="1">
        <v>780</v>
      </c>
      <c r="C1165" s="1">
        <v>1414</v>
      </c>
    </row>
    <row r="1166" spans="1:3">
      <c r="A1166" s="1" t="s">
        <v>1725</v>
      </c>
      <c r="B1166" s="1">
        <v>760</v>
      </c>
      <c r="C1166" s="1">
        <v>1414</v>
      </c>
    </row>
    <row r="1167" spans="1:3">
      <c r="A1167" s="1" t="s">
        <v>1726</v>
      </c>
      <c r="B1167" s="1">
        <v>740</v>
      </c>
      <c r="C1167" s="1">
        <v>1414</v>
      </c>
    </row>
    <row r="1168" spans="1:3">
      <c r="A1168" s="1" t="s">
        <v>1727</v>
      </c>
      <c r="B1168" s="1">
        <v>720</v>
      </c>
      <c r="C1168" s="1">
        <v>1414</v>
      </c>
    </row>
    <row r="1169" spans="1:3">
      <c r="A1169" s="1" t="s">
        <v>1728</v>
      </c>
      <c r="B1169" s="1">
        <v>1000</v>
      </c>
      <c r="C1169" s="1">
        <v>1394</v>
      </c>
    </row>
    <row r="1170" spans="1:3">
      <c r="A1170" s="1" t="s">
        <v>1729</v>
      </c>
      <c r="B1170" s="1">
        <v>1000</v>
      </c>
      <c r="C1170" s="1">
        <v>1374</v>
      </c>
    </row>
    <row r="1171" spans="1:3">
      <c r="A1171" s="1" t="s">
        <v>1730</v>
      </c>
      <c r="B1171" s="1">
        <v>1000</v>
      </c>
      <c r="C1171" s="1">
        <v>1354</v>
      </c>
    </row>
    <row r="1172" spans="1:3">
      <c r="A1172" s="1" t="s">
        <v>1731</v>
      </c>
      <c r="B1172" s="1">
        <v>1000</v>
      </c>
      <c r="C1172" s="1">
        <v>1334</v>
      </c>
    </row>
    <row r="1173" spans="1:3">
      <c r="A1173" s="1" t="s">
        <v>1732</v>
      </c>
      <c r="B1173" s="1">
        <v>1000</v>
      </c>
      <c r="C1173" s="1">
        <v>1314</v>
      </c>
    </row>
    <row r="1174" spans="1:3">
      <c r="A1174" s="1" t="s">
        <v>1733</v>
      </c>
      <c r="B1174" s="1">
        <v>1000</v>
      </c>
      <c r="C1174" s="1">
        <v>1294</v>
      </c>
    </row>
    <row r="1175" spans="1:3">
      <c r="A1175" s="1" t="s">
        <v>1734</v>
      </c>
      <c r="B1175" s="1">
        <v>1000</v>
      </c>
      <c r="C1175" s="1">
        <v>1274</v>
      </c>
    </row>
    <row r="1176" spans="1:3">
      <c r="A1176" s="1" t="s">
        <v>1735</v>
      </c>
      <c r="B1176" s="1">
        <v>1000</v>
      </c>
      <c r="C1176" s="1">
        <v>1254</v>
      </c>
    </row>
    <row r="1177" spans="1:3">
      <c r="A1177" s="1" t="s">
        <v>1736</v>
      </c>
      <c r="B1177" s="1">
        <v>1000</v>
      </c>
      <c r="C1177" s="1">
        <v>1234</v>
      </c>
    </row>
    <row r="1178" spans="1:3">
      <c r="A1178" s="1" t="s">
        <v>1737</v>
      </c>
      <c r="B1178" s="1">
        <v>1000</v>
      </c>
      <c r="C1178" s="1">
        <v>1214</v>
      </c>
    </row>
    <row r="1179" spans="1:3">
      <c r="A1179" s="1" t="s">
        <v>1738</v>
      </c>
      <c r="B1179" s="1">
        <v>1000</v>
      </c>
      <c r="C1179" s="1">
        <v>1194</v>
      </c>
    </row>
    <row r="1180" spans="1:3">
      <c r="A1180" s="1" t="s">
        <v>1739</v>
      </c>
      <c r="B1180" s="1">
        <v>1000</v>
      </c>
      <c r="C1180" s="1">
        <v>1174</v>
      </c>
    </row>
    <row r="1181" spans="1:3">
      <c r="A1181" s="1" t="s">
        <v>1740</v>
      </c>
      <c r="B1181" s="1">
        <v>1000</v>
      </c>
      <c r="C1181" s="1">
        <v>1154</v>
      </c>
    </row>
    <row r="1182" spans="1:3">
      <c r="A1182" s="1" t="s">
        <v>1741</v>
      </c>
      <c r="B1182" s="1">
        <v>1000</v>
      </c>
      <c r="C1182" s="1">
        <v>1134</v>
      </c>
    </row>
    <row r="1183" spans="1:3">
      <c r="A1183" s="1" t="s">
        <v>1742</v>
      </c>
    </row>
    <row r="1184" spans="1:3">
      <c r="A1184" s="1" t="s">
        <v>1744</v>
      </c>
    </row>
    <row r="1185" spans="1:3">
      <c r="A1185" s="1" t="s">
        <v>1745</v>
      </c>
    </row>
    <row r="1186" spans="1:3">
      <c r="A1186" s="1" t="s">
        <v>1746</v>
      </c>
    </row>
    <row r="1187" spans="1:3">
      <c r="A1187" s="1" t="s">
        <v>1747</v>
      </c>
    </row>
    <row r="1188" spans="1:3">
      <c r="A1188" s="1" t="s">
        <v>1748</v>
      </c>
    </row>
    <row r="1189" spans="1:3">
      <c r="A1189" s="1" t="s">
        <v>1749</v>
      </c>
    </row>
    <row r="1190" spans="1:3">
      <c r="A1190" s="1" t="s">
        <v>1750</v>
      </c>
    </row>
    <row r="1191" spans="1:3">
      <c r="A1191" s="1" t="s">
        <v>1751</v>
      </c>
    </row>
    <row r="1192" spans="1:3">
      <c r="A1192" s="1" t="s">
        <v>1752</v>
      </c>
    </row>
    <row r="1193" spans="1:3">
      <c r="A1193" s="1" t="s">
        <v>1753</v>
      </c>
    </row>
    <row r="1194" spans="1:3">
      <c r="A1194" s="1" t="s">
        <v>1754</v>
      </c>
    </row>
    <row r="1195" spans="1:3">
      <c r="A1195" s="1" t="s">
        <v>1755</v>
      </c>
    </row>
    <row r="1196" spans="1:3">
      <c r="A1196" s="1" t="s">
        <v>1756</v>
      </c>
    </row>
    <row r="1197" spans="1:3">
      <c r="A1197" s="1" t="s">
        <v>1757</v>
      </c>
    </row>
    <row r="1198" spans="1:3">
      <c r="A1198" s="2" t="s">
        <v>1758</v>
      </c>
      <c r="B1198" s="2">
        <v>707</v>
      </c>
      <c r="C1198" s="2">
        <v>1000</v>
      </c>
    </row>
    <row r="1199" spans="1:3">
      <c r="A1199" s="1" t="s">
        <v>1761</v>
      </c>
      <c r="B1199" s="1">
        <v>236</v>
      </c>
      <c r="C1199" s="1">
        <v>1000</v>
      </c>
    </row>
    <row r="1200" spans="1:3">
      <c r="A1200" s="1" t="s">
        <v>1762</v>
      </c>
      <c r="B1200" s="1">
        <v>707</v>
      </c>
      <c r="C1200" s="1">
        <v>707</v>
      </c>
    </row>
    <row r="1201" spans="1:3">
      <c r="A1201" s="1" t="s">
        <v>1763</v>
      </c>
      <c r="B1201" s="1">
        <v>707</v>
      </c>
      <c r="C1201" s="1">
        <v>354</v>
      </c>
    </row>
    <row r="1202" spans="1:3">
      <c r="A1202" s="1" t="s">
        <v>1764</v>
      </c>
      <c r="B1202" s="1">
        <v>707</v>
      </c>
      <c r="C1202" s="1">
        <v>250</v>
      </c>
    </row>
    <row r="1203" spans="1:3">
      <c r="A1203" s="1" t="s">
        <v>1765</v>
      </c>
      <c r="B1203" s="1">
        <v>236</v>
      </c>
      <c r="C1203" s="1">
        <v>354</v>
      </c>
    </row>
    <row r="1204" spans="1:3">
      <c r="A1204" s="1" t="s">
        <v>1766</v>
      </c>
      <c r="B1204" s="1">
        <v>354</v>
      </c>
      <c r="C1204" s="1">
        <v>354</v>
      </c>
    </row>
    <row r="1205" spans="1:3">
      <c r="A1205" s="1" t="s">
        <v>1767</v>
      </c>
      <c r="B1205" s="1">
        <v>707</v>
      </c>
      <c r="C1205" s="1">
        <v>940</v>
      </c>
    </row>
    <row r="1206" spans="1:3">
      <c r="A1206" s="1" t="s">
        <v>1768</v>
      </c>
      <c r="B1206" s="1">
        <v>236</v>
      </c>
      <c r="C1206" s="1">
        <v>960</v>
      </c>
    </row>
    <row r="1207" spans="1:3">
      <c r="A1207" s="1" t="s">
        <v>1769</v>
      </c>
      <c r="B1207" s="1">
        <v>236</v>
      </c>
      <c r="C1207" s="1">
        <v>940</v>
      </c>
    </row>
    <row r="1208" spans="1:3">
      <c r="A1208" s="1" t="s">
        <v>1770</v>
      </c>
      <c r="B1208" s="1">
        <v>707</v>
      </c>
      <c r="C1208" s="1">
        <v>960</v>
      </c>
    </row>
    <row r="1209" spans="1:3">
      <c r="A1209" s="1" t="s">
        <v>1771</v>
      </c>
      <c r="B1209" s="1">
        <v>687</v>
      </c>
      <c r="C1209" s="1">
        <v>980</v>
      </c>
    </row>
    <row r="1210" spans="1:3">
      <c r="A1210" s="1" t="s">
        <v>1772</v>
      </c>
      <c r="B1210" s="1">
        <v>667</v>
      </c>
      <c r="C1210" s="1">
        <v>960</v>
      </c>
    </row>
    <row r="1211" spans="1:3">
      <c r="A1211" s="1" t="s">
        <v>1773</v>
      </c>
      <c r="B1211" s="1">
        <v>647</v>
      </c>
      <c r="C1211" s="1">
        <v>940</v>
      </c>
    </row>
    <row r="1212" spans="1:3">
      <c r="A1212" s="1" t="s">
        <v>1774</v>
      </c>
      <c r="B1212" s="1">
        <v>627</v>
      </c>
      <c r="C1212" s="1">
        <v>920</v>
      </c>
    </row>
    <row r="1213" spans="1:3">
      <c r="A1213" s="1" t="s">
        <v>1775</v>
      </c>
      <c r="B1213" s="1">
        <v>607</v>
      </c>
      <c r="C1213" s="1">
        <v>900</v>
      </c>
    </row>
    <row r="1214" spans="1:3">
      <c r="A1214" s="1" t="s">
        <v>1776</v>
      </c>
      <c r="B1214" s="1">
        <v>587</v>
      </c>
      <c r="C1214" s="1">
        <v>880</v>
      </c>
    </row>
    <row r="1215" spans="1:3">
      <c r="A1215" s="1" t="s">
        <v>1777</v>
      </c>
      <c r="B1215" s="1">
        <v>567</v>
      </c>
      <c r="C1215" s="1">
        <v>860</v>
      </c>
    </row>
    <row r="1216" spans="1:3">
      <c r="A1216" s="1" t="s">
        <v>1778</v>
      </c>
      <c r="B1216" s="1">
        <v>687</v>
      </c>
      <c r="C1216" s="1">
        <v>687</v>
      </c>
    </row>
    <row r="1217" spans="1:3">
      <c r="A1217" s="1" t="s">
        <v>1779</v>
      </c>
      <c r="B1217" s="1">
        <v>667</v>
      </c>
      <c r="C1217" s="1">
        <v>667</v>
      </c>
    </row>
    <row r="1218" spans="1:3">
      <c r="A1218" s="1" t="s">
        <v>1780</v>
      </c>
      <c r="B1218" s="1">
        <v>647</v>
      </c>
      <c r="C1218" s="1">
        <v>647</v>
      </c>
    </row>
    <row r="1219" spans="1:3">
      <c r="A1219" s="1" t="s">
        <v>1781</v>
      </c>
      <c r="B1219" s="1">
        <v>627</v>
      </c>
      <c r="C1219" s="1">
        <v>627</v>
      </c>
    </row>
    <row r="1220" spans="1:3">
      <c r="A1220" s="1" t="s">
        <v>1782</v>
      </c>
      <c r="B1220" s="1">
        <v>607</v>
      </c>
      <c r="C1220" s="1">
        <v>607</v>
      </c>
    </row>
    <row r="1221" spans="1:3">
      <c r="A1221" s="1" t="s">
        <v>1783</v>
      </c>
      <c r="B1221" s="1">
        <v>587</v>
      </c>
      <c r="C1221" s="1">
        <v>587</v>
      </c>
    </row>
    <row r="1222" spans="1:3">
      <c r="A1222" s="1" t="s">
        <v>1784</v>
      </c>
      <c r="B1222" s="1">
        <v>567</v>
      </c>
      <c r="C1222" s="1">
        <v>567</v>
      </c>
    </row>
    <row r="1223" spans="1:3">
      <c r="A1223" s="1" t="s">
        <v>1785</v>
      </c>
      <c r="B1223" s="1">
        <v>547</v>
      </c>
      <c r="C1223" s="1">
        <v>547</v>
      </c>
    </row>
    <row r="1224" spans="1:3">
      <c r="A1224" s="1" t="s">
        <v>1786</v>
      </c>
      <c r="B1224" s="1">
        <v>527</v>
      </c>
      <c r="C1224" s="1">
        <v>527</v>
      </c>
    </row>
    <row r="1225" spans="1:3">
      <c r="A1225" s="1" t="s">
        <v>1787</v>
      </c>
      <c r="B1225" s="1">
        <v>507</v>
      </c>
      <c r="C1225" s="1">
        <v>507</v>
      </c>
    </row>
    <row r="1226" spans="1:3">
      <c r="A1226" s="1" t="s">
        <v>1788</v>
      </c>
      <c r="B1226" s="1">
        <v>687</v>
      </c>
      <c r="C1226" s="1">
        <v>1000</v>
      </c>
    </row>
    <row r="1227" spans="1:3">
      <c r="A1227" s="1" t="s">
        <v>1789</v>
      </c>
      <c r="B1227" s="1">
        <v>667</v>
      </c>
      <c r="C1227" s="1">
        <v>1000</v>
      </c>
    </row>
    <row r="1228" spans="1:3">
      <c r="A1228" s="1" t="s">
        <v>1790</v>
      </c>
      <c r="B1228" s="1">
        <v>647</v>
      </c>
      <c r="C1228" s="1">
        <v>1000</v>
      </c>
    </row>
    <row r="1229" spans="1:3">
      <c r="A1229" s="1" t="s">
        <v>1791</v>
      </c>
      <c r="B1229" s="1">
        <v>627</v>
      </c>
      <c r="C1229" s="1">
        <v>1000</v>
      </c>
    </row>
    <row r="1230" spans="1:3">
      <c r="A1230" s="1" t="s">
        <v>1792</v>
      </c>
      <c r="B1230" s="1">
        <v>607</v>
      </c>
      <c r="C1230" s="1">
        <v>1000</v>
      </c>
    </row>
    <row r="1231" spans="1:3">
      <c r="A1231" s="1" t="s">
        <v>1793</v>
      </c>
      <c r="B1231" s="1">
        <v>587</v>
      </c>
      <c r="C1231" s="1">
        <v>1000</v>
      </c>
    </row>
    <row r="1232" spans="1:3">
      <c r="A1232" s="1" t="s">
        <v>1794</v>
      </c>
      <c r="B1232" s="1">
        <v>567</v>
      </c>
      <c r="C1232" s="1">
        <v>1000</v>
      </c>
    </row>
    <row r="1233" spans="1:3">
      <c r="A1233" s="1" t="s">
        <v>1795</v>
      </c>
      <c r="B1233" s="1">
        <v>547</v>
      </c>
      <c r="C1233" s="1">
        <v>1000</v>
      </c>
    </row>
    <row r="1234" spans="1:3">
      <c r="A1234" s="1" t="s">
        <v>1796</v>
      </c>
      <c r="B1234" s="1">
        <v>527</v>
      </c>
      <c r="C1234" s="1">
        <v>1000</v>
      </c>
    </row>
    <row r="1235" spans="1:3">
      <c r="A1235" s="1" t="s">
        <v>1797</v>
      </c>
      <c r="B1235" s="1">
        <v>507</v>
      </c>
      <c r="C1235" s="1">
        <v>1000</v>
      </c>
    </row>
    <row r="1236" spans="1:3">
      <c r="A1236" s="1" t="s">
        <v>1798</v>
      </c>
      <c r="B1236" s="1">
        <v>487</v>
      </c>
      <c r="C1236" s="1">
        <v>1000</v>
      </c>
    </row>
    <row r="1237" spans="1:3">
      <c r="A1237" s="1" t="s">
        <v>1799</v>
      </c>
      <c r="B1237" s="1">
        <v>467</v>
      </c>
      <c r="C1237" s="1">
        <v>1000</v>
      </c>
    </row>
    <row r="1238" spans="1:3">
      <c r="A1238" s="1" t="s">
        <v>1800</v>
      </c>
      <c r="B1238" s="1">
        <v>447</v>
      </c>
      <c r="C1238" s="1">
        <v>1000</v>
      </c>
    </row>
    <row r="1239" spans="1:3">
      <c r="A1239" s="1" t="s">
        <v>1801</v>
      </c>
      <c r="B1239" s="1">
        <v>427</v>
      </c>
      <c r="C1239" s="1">
        <v>1000</v>
      </c>
    </row>
    <row r="1240" spans="1:3">
      <c r="A1240" s="1" t="s">
        <v>1802</v>
      </c>
      <c r="B1240" s="1">
        <v>707</v>
      </c>
      <c r="C1240" s="1">
        <v>980</v>
      </c>
    </row>
    <row r="1241" spans="1:3">
      <c r="A1241" s="1" t="s">
        <v>1803</v>
      </c>
      <c r="B1241" s="1">
        <v>707</v>
      </c>
      <c r="C1241" s="1">
        <v>960</v>
      </c>
    </row>
    <row r="1242" spans="1:3">
      <c r="A1242" s="1" t="s">
        <v>1804</v>
      </c>
      <c r="B1242" s="1">
        <v>707</v>
      </c>
      <c r="C1242" s="1">
        <v>940</v>
      </c>
    </row>
    <row r="1243" spans="1:3">
      <c r="A1243" s="1" t="s">
        <v>1805</v>
      </c>
      <c r="B1243" s="1">
        <v>707</v>
      </c>
      <c r="C1243" s="1">
        <v>920</v>
      </c>
    </row>
    <row r="1244" spans="1:3">
      <c r="A1244" s="1" t="s">
        <v>1806</v>
      </c>
      <c r="B1244" s="1">
        <v>707</v>
      </c>
      <c r="C1244" s="1">
        <v>900</v>
      </c>
    </row>
    <row r="1245" spans="1:3">
      <c r="A1245" s="1" t="s">
        <v>1807</v>
      </c>
      <c r="B1245" s="1">
        <v>707</v>
      </c>
      <c r="C1245" s="1">
        <v>880</v>
      </c>
    </row>
    <row r="1246" spans="1:3">
      <c r="A1246" s="1" t="s">
        <v>1808</v>
      </c>
      <c r="B1246" s="1">
        <v>707</v>
      </c>
      <c r="C1246" s="1">
        <v>860</v>
      </c>
    </row>
    <row r="1247" spans="1:3">
      <c r="A1247" s="1" t="s">
        <v>1809</v>
      </c>
      <c r="B1247" s="1">
        <v>707</v>
      </c>
      <c r="C1247" s="1">
        <v>840</v>
      </c>
    </row>
    <row r="1248" spans="1:3">
      <c r="A1248" s="1" t="s">
        <v>1810</v>
      </c>
      <c r="B1248" s="1">
        <v>707</v>
      </c>
      <c r="C1248" s="1">
        <v>820</v>
      </c>
    </row>
    <row r="1249" spans="1:3">
      <c r="A1249" s="1" t="s">
        <v>1811</v>
      </c>
      <c r="B1249" s="1">
        <v>707</v>
      </c>
      <c r="C1249" s="1">
        <v>800</v>
      </c>
    </row>
    <row r="1250" spans="1:3">
      <c r="A1250" s="1" t="s">
        <v>1812</v>
      </c>
      <c r="B1250" s="1">
        <v>707</v>
      </c>
      <c r="C1250" s="1">
        <v>780</v>
      </c>
    </row>
    <row r="1251" spans="1:3">
      <c r="A1251" s="1" t="s">
        <v>1813</v>
      </c>
      <c r="B1251" s="1">
        <v>707</v>
      </c>
      <c r="C1251" s="1">
        <v>760</v>
      </c>
    </row>
    <row r="1252" spans="1:3">
      <c r="A1252" s="1" t="s">
        <v>1814</v>
      </c>
      <c r="B1252" s="1">
        <v>707</v>
      </c>
      <c r="C1252" s="1">
        <v>740</v>
      </c>
    </row>
    <row r="1253" spans="1:3">
      <c r="A1253" s="1" t="s">
        <v>1815</v>
      </c>
      <c r="B1253" s="1">
        <v>707</v>
      </c>
      <c r="C1253" s="1">
        <v>720</v>
      </c>
    </row>
    <row r="1254" spans="1:3">
      <c r="A1254" s="1" t="s">
        <v>1816</v>
      </c>
    </row>
    <row r="1255" spans="1:3">
      <c r="A1255" s="1" t="s">
        <v>1818</v>
      </c>
    </row>
    <row r="1256" spans="1:3">
      <c r="A1256" s="1" t="s">
        <v>1819</v>
      </c>
    </row>
    <row r="1257" spans="1:3">
      <c r="A1257" s="1" t="s">
        <v>1820</v>
      </c>
    </row>
    <row r="1258" spans="1:3">
      <c r="A1258" s="1" t="s">
        <v>1821</v>
      </c>
    </row>
    <row r="1259" spans="1:3">
      <c r="A1259" s="1" t="s">
        <v>1822</v>
      </c>
    </row>
    <row r="1260" spans="1:3">
      <c r="A1260" s="1" t="s">
        <v>1823</v>
      </c>
    </row>
    <row r="1261" spans="1:3">
      <c r="A1261" s="1" t="s">
        <v>1824</v>
      </c>
    </row>
    <row r="1262" spans="1:3">
      <c r="A1262" s="1" t="s">
        <v>1825</v>
      </c>
    </row>
    <row r="1263" spans="1:3">
      <c r="A1263" s="1" t="s">
        <v>1826</v>
      </c>
    </row>
    <row r="1264" spans="1:3">
      <c r="A1264" s="1" t="s">
        <v>1827</v>
      </c>
    </row>
    <row r="1265" spans="1:3">
      <c r="A1265" s="1" t="s">
        <v>1828</v>
      </c>
    </row>
    <row r="1266" spans="1:3">
      <c r="A1266" s="1" t="s">
        <v>1829</v>
      </c>
    </row>
    <row r="1267" spans="1:3">
      <c r="A1267" s="1" t="s">
        <v>1830</v>
      </c>
    </row>
    <row r="1268" spans="1:3">
      <c r="A1268" s="1" t="s">
        <v>1831</v>
      </c>
    </row>
    <row r="1269" spans="1:3">
      <c r="A1269" s="2" t="s">
        <v>1832</v>
      </c>
      <c r="B1269" s="2">
        <v>500</v>
      </c>
      <c r="C1269" s="2">
        <v>707</v>
      </c>
    </row>
    <row r="1270" spans="1:3">
      <c r="A1270" s="1" t="s">
        <v>1835</v>
      </c>
      <c r="B1270" s="1">
        <v>167</v>
      </c>
      <c r="C1270" s="1">
        <v>707</v>
      </c>
    </row>
    <row r="1271" spans="1:3">
      <c r="A1271" s="1" t="s">
        <v>1836</v>
      </c>
      <c r="B1271" s="1">
        <v>500</v>
      </c>
      <c r="C1271" s="1">
        <v>500</v>
      </c>
    </row>
    <row r="1272" spans="1:3">
      <c r="A1272" s="1" t="s">
        <v>1837</v>
      </c>
      <c r="B1272" s="1">
        <v>500</v>
      </c>
      <c r="C1272" s="1">
        <v>250</v>
      </c>
    </row>
    <row r="1273" spans="1:3">
      <c r="A1273" s="1" t="s">
        <v>1838</v>
      </c>
      <c r="B1273" s="1">
        <v>500</v>
      </c>
      <c r="C1273" s="1">
        <v>177</v>
      </c>
    </row>
    <row r="1274" spans="1:3">
      <c r="A1274" s="1" t="s">
        <v>1839</v>
      </c>
      <c r="B1274" s="1">
        <v>167</v>
      </c>
      <c r="C1274" s="1">
        <v>250</v>
      </c>
    </row>
    <row r="1275" spans="1:3">
      <c r="A1275" s="1" t="s">
        <v>1840</v>
      </c>
      <c r="B1275" s="1">
        <v>250</v>
      </c>
      <c r="C1275" s="1">
        <v>250</v>
      </c>
    </row>
    <row r="1276" spans="1:3">
      <c r="A1276" s="1" t="s">
        <v>1841</v>
      </c>
      <c r="B1276" s="1">
        <v>500</v>
      </c>
      <c r="C1276" s="1">
        <v>647</v>
      </c>
    </row>
    <row r="1277" spans="1:3">
      <c r="A1277" s="1" t="s">
        <v>1842</v>
      </c>
      <c r="B1277" s="1">
        <v>167</v>
      </c>
      <c r="C1277" s="1">
        <v>667</v>
      </c>
    </row>
    <row r="1278" spans="1:3">
      <c r="A1278" s="1" t="s">
        <v>1843</v>
      </c>
      <c r="B1278" s="1">
        <v>167</v>
      </c>
      <c r="C1278" s="1">
        <v>647</v>
      </c>
    </row>
    <row r="1279" spans="1:3">
      <c r="A1279" s="1" t="s">
        <v>1844</v>
      </c>
      <c r="B1279" s="1">
        <v>500</v>
      </c>
      <c r="C1279" s="1">
        <v>667</v>
      </c>
    </row>
    <row r="1280" spans="1:3">
      <c r="A1280" s="1" t="s">
        <v>1845</v>
      </c>
      <c r="B1280" s="1">
        <v>480</v>
      </c>
      <c r="C1280" s="1">
        <v>687</v>
      </c>
    </row>
    <row r="1281" spans="1:3">
      <c r="A1281" s="1" t="s">
        <v>1846</v>
      </c>
      <c r="B1281" s="1">
        <v>460</v>
      </c>
      <c r="C1281" s="1">
        <v>667</v>
      </c>
    </row>
    <row r="1282" spans="1:3">
      <c r="A1282" s="1" t="s">
        <v>1847</v>
      </c>
      <c r="B1282" s="1">
        <v>440</v>
      </c>
      <c r="C1282" s="1">
        <v>647</v>
      </c>
    </row>
    <row r="1283" spans="1:3">
      <c r="A1283" s="1" t="s">
        <v>1848</v>
      </c>
      <c r="B1283" s="1">
        <v>420</v>
      </c>
      <c r="C1283" s="1">
        <v>627</v>
      </c>
    </row>
    <row r="1284" spans="1:3">
      <c r="A1284" s="1" t="s">
        <v>1849</v>
      </c>
      <c r="B1284" s="1">
        <v>400</v>
      </c>
      <c r="C1284" s="1">
        <v>607</v>
      </c>
    </row>
    <row r="1285" spans="1:3">
      <c r="A1285" s="1" t="s">
        <v>1850</v>
      </c>
      <c r="B1285" s="1">
        <v>380</v>
      </c>
      <c r="C1285" s="1">
        <v>587</v>
      </c>
    </row>
    <row r="1286" spans="1:3">
      <c r="A1286" s="1" t="s">
        <v>1851</v>
      </c>
      <c r="B1286" s="1">
        <v>360</v>
      </c>
      <c r="C1286" s="1">
        <v>567</v>
      </c>
    </row>
    <row r="1287" spans="1:3">
      <c r="A1287" s="1" t="s">
        <v>1852</v>
      </c>
      <c r="B1287" s="1">
        <v>480</v>
      </c>
      <c r="C1287" s="1">
        <v>480</v>
      </c>
    </row>
    <row r="1288" spans="1:3">
      <c r="A1288" s="1" t="s">
        <v>1853</v>
      </c>
      <c r="B1288" s="1">
        <v>460</v>
      </c>
      <c r="C1288" s="1">
        <v>460</v>
      </c>
    </row>
    <row r="1289" spans="1:3">
      <c r="A1289" s="1" t="s">
        <v>1854</v>
      </c>
      <c r="B1289" s="1">
        <v>440</v>
      </c>
      <c r="C1289" s="1">
        <v>440</v>
      </c>
    </row>
    <row r="1290" spans="1:3">
      <c r="A1290" s="1" t="s">
        <v>1855</v>
      </c>
      <c r="B1290" s="1">
        <v>420</v>
      </c>
      <c r="C1290" s="1">
        <v>420</v>
      </c>
    </row>
    <row r="1291" spans="1:3">
      <c r="A1291" s="1" t="s">
        <v>1856</v>
      </c>
      <c r="B1291" s="1">
        <v>400</v>
      </c>
      <c r="C1291" s="1">
        <v>400</v>
      </c>
    </row>
    <row r="1292" spans="1:3">
      <c r="A1292" s="1" t="s">
        <v>1857</v>
      </c>
      <c r="B1292" s="1">
        <v>380</v>
      </c>
      <c r="C1292" s="1">
        <v>380</v>
      </c>
    </row>
    <row r="1293" spans="1:3">
      <c r="A1293" s="1" t="s">
        <v>1858</v>
      </c>
      <c r="B1293" s="1">
        <v>360</v>
      </c>
      <c r="C1293" s="1">
        <v>360</v>
      </c>
    </row>
    <row r="1294" spans="1:3">
      <c r="A1294" s="1" t="s">
        <v>1859</v>
      </c>
      <c r="B1294" s="1">
        <v>340</v>
      </c>
      <c r="C1294" s="1">
        <v>340</v>
      </c>
    </row>
    <row r="1295" spans="1:3">
      <c r="A1295" s="1" t="s">
        <v>1860</v>
      </c>
      <c r="B1295" s="1">
        <v>320</v>
      </c>
      <c r="C1295" s="1">
        <v>320</v>
      </c>
    </row>
    <row r="1296" spans="1:3">
      <c r="A1296" s="1" t="s">
        <v>1861</v>
      </c>
      <c r="B1296" s="1">
        <v>300</v>
      </c>
      <c r="C1296" s="1">
        <v>300</v>
      </c>
    </row>
    <row r="1297" spans="1:3">
      <c r="A1297" s="1" t="s">
        <v>1862</v>
      </c>
      <c r="B1297" s="1">
        <v>480</v>
      </c>
      <c r="C1297" s="1">
        <v>707</v>
      </c>
    </row>
    <row r="1298" spans="1:3">
      <c r="A1298" s="1" t="s">
        <v>1863</v>
      </c>
      <c r="B1298" s="1">
        <v>460</v>
      </c>
      <c r="C1298" s="1">
        <v>707</v>
      </c>
    </row>
    <row r="1299" spans="1:3">
      <c r="A1299" s="1" t="s">
        <v>1864</v>
      </c>
      <c r="B1299" s="1">
        <v>440</v>
      </c>
      <c r="C1299" s="1">
        <v>707</v>
      </c>
    </row>
    <row r="1300" spans="1:3">
      <c r="A1300" s="1" t="s">
        <v>1865</v>
      </c>
      <c r="B1300" s="1">
        <v>420</v>
      </c>
      <c r="C1300" s="1">
        <v>707</v>
      </c>
    </row>
    <row r="1301" spans="1:3">
      <c r="A1301" s="1" t="s">
        <v>1866</v>
      </c>
      <c r="B1301" s="1">
        <v>400</v>
      </c>
      <c r="C1301" s="1">
        <v>707</v>
      </c>
    </row>
    <row r="1302" spans="1:3">
      <c r="A1302" s="1" t="s">
        <v>1867</v>
      </c>
      <c r="B1302" s="1">
        <v>380</v>
      </c>
      <c r="C1302" s="1">
        <v>707</v>
      </c>
    </row>
    <row r="1303" spans="1:3">
      <c r="A1303" s="1" t="s">
        <v>1868</v>
      </c>
      <c r="B1303" s="1">
        <v>360</v>
      </c>
      <c r="C1303" s="1">
        <v>707</v>
      </c>
    </row>
    <row r="1304" spans="1:3">
      <c r="A1304" s="1" t="s">
        <v>1869</v>
      </c>
      <c r="B1304" s="1">
        <v>340</v>
      </c>
      <c r="C1304" s="1">
        <v>707</v>
      </c>
    </row>
    <row r="1305" spans="1:3">
      <c r="A1305" s="1" t="s">
        <v>1870</v>
      </c>
      <c r="B1305" s="1">
        <v>320</v>
      </c>
      <c r="C1305" s="1">
        <v>707</v>
      </c>
    </row>
    <row r="1306" spans="1:3">
      <c r="A1306" s="1" t="s">
        <v>1871</v>
      </c>
      <c r="B1306" s="1">
        <v>300</v>
      </c>
      <c r="C1306" s="1">
        <v>707</v>
      </c>
    </row>
    <row r="1307" spans="1:3">
      <c r="A1307" s="1" t="s">
        <v>1872</v>
      </c>
      <c r="B1307" s="1">
        <v>280</v>
      </c>
      <c r="C1307" s="1">
        <v>707</v>
      </c>
    </row>
    <row r="1308" spans="1:3">
      <c r="A1308" s="1" t="s">
        <v>1873</v>
      </c>
      <c r="B1308" s="1">
        <v>260</v>
      </c>
      <c r="C1308" s="1">
        <v>707</v>
      </c>
    </row>
    <row r="1309" spans="1:3">
      <c r="A1309" s="1" t="s">
        <v>1874</v>
      </c>
      <c r="B1309" s="1">
        <v>240</v>
      </c>
      <c r="C1309" s="1">
        <v>707</v>
      </c>
    </row>
    <row r="1310" spans="1:3">
      <c r="A1310" s="1" t="s">
        <v>1875</v>
      </c>
      <c r="B1310" s="1">
        <v>220</v>
      </c>
      <c r="C1310" s="1">
        <v>707</v>
      </c>
    </row>
    <row r="1311" spans="1:3">
      <c r="A1311" s="1" t="s">
        <v>1876</v>
      </c>
      <c r="B1311" s="1">
        <v>500</v>
      </c>
      <c r="C1311" s="1">
        <v>687</v>
      </c>
    </row>
    <row r="1312" spans="1:3">
      <c r="A1312" s="1" t="s">
        <v>1877</v>
      </c>
      <c r="B1312" s="1">
        <v>500</v>
      </c>
      <c r="C1312" s="1">
        <v>667</v>
      </c>
    </row>
    <row r="1313" spans="1:3">
      <c r="A1313" s="1" t="s">
        <v>1878</v>
      </c>
      <c r="B1313" s="1">
        <v>500</v>
      </c>
      <c r="C1313" s="1">
        <v>647</v>
      </c>
    </row>
    <row r="1314" spans="1:3">
      <c r="A1314" s="1" t="s">
        <v>1879</v>
      </c>
      <c r="B1314" s="1">
        <v>500</v>
      </c>
      <c r="C1314" s="1">
        <v>627</v>
      </c>
    </row>
    <row r="1315" spans="1:3">
      <c r="A1315" s="1" t="s">
        <v>1880</v>
      </c>
      <c r="B1315" s="1">
        <v>500</v>
      </c>
      <c r="C1315" s="1">
        <v>607</v>
      </c>
    </row>
    <row r="1316" spans="1:3">
      <c r="A1316" s="1" t="s">
        <v>1881</v>
      </c>
      <c r="B1316" s="1">
        <v>500</v>
      </c>
      <c r="C1316" s="1">
        <v>587</v>
      </c>
    </row>
    <row r="1317" spans="1:3">
      <c r="A1317" s="1" t="s">
        <v>1882</v>
      </c>
      <c r="B1317" s="1">
        <v>500</v>
      </c>
      <c r="C1317" s="1">
        <v>567</v>
      </c>
    </row>
    <row r="1318" spans="1:3">
      <c r="A1318" s="1" t="s">
        <v>1883</v>
      </c>
      <c r="B1318" s="1">
        <v>500</v>
      </c>
      <c r="C1318" s="1">
        <v>547</v>
      </c>
    </row>
    <row r="1319" spans="1:3">
      <c r="A1319" s="1" t="s">
        <v>1884</v>
      </c>
      <c r="B1319" s="1">
        <v>500</v>
      </c>
      <c r="C1319" s="1">
        <v>527</v>
      </c>
    </row>
    <row r="1320" spans="1:3">
      <c r="A1320" s="1" t="s">
        <v>1885</v>
      </c>
      <c r="B1320" s="1">
        <v>500</v>
      </c>
      <c r="C1320" s="1">
        <v>507</v>
      </c>
    </row>
    <row r="1321" spans="1:3">
      <c r="A1321" s="1" t="s">
        <v>1886</v>
      </c>
      <c r="B1321" s="1">
        <v>500</v>
      </c>
      <c r="C1321" s="1">
        <v>487</v>
      </c>
    </row>
    <row r="1322" spans="1:3">
      <c r="A1322" s="1" t="s">
        <v>1887</v>
      </c>
      <c r="B1322" s="1">
        <v>500</v>
      </c>
      <c r="C1322" s="1">
        <v>467</v>
      </c>
    </row>
    <row r="1323" spans="1:3">
      <c r="A1323" s="1" t="s">
        <v>1888</v>
      </c>
      <c r="B1323" s="1">
        <v>500</v>
      </c>
      <c r="C1323" s="1">
        <v>447</v>
      </c>
    </row>
    <row r="1324" spans="1:3">
      <c r="A1324" s="1" t="s">
        <v>1889</v>
      </c>
      <c r="B1324" s="1">
        <v>500</v>
      </c>
      <c r="C1324" s="1">
        <v>427</v>
      </c>
    </row>
    <row r="1325" spans="1:3">
      <c r="A1325" s="1" t="s">
        <v>1890</v>
      </c>
    </row>
    <row r="1326" spans="1:3">
      <c r="A1326" s="1" t="s">
        <v>1892</v>
      </c>
    </row>
    <row r="1327" spans="1:3">
      <c r="A1327" s="1" t="s">
        <v>1893</v>
      </c>
    </row>
    <row r="1328" spans="1:3">
      <c r="A1328" s="1" t="s">
        <v>1894</v>
      </c>
    </row>
    <row r="1329" spans="1:3">
      <c r="A1329" s="1" t="s">
        <v>1895</v>
      </c>
    </row>
    <row r="1330" spans="1:3">
      <c r="A1330" s="1" t="s">
        <v>1896</v>
      </c>
    </row>
    <row r="1331" spans="1:3">
      <c r="A1331" s="1" t="s">
        <v>1897</v>
      </c>
    </row>
    <row r="1332" spans="1:3">
      <c r="A1332" s="1" t="s">
        <v>1898</v>
      </c>
    </row>
    <row r="1333" spans="1:3">
      <c r="A1333" s="1" t="s">
        <v>1899</v>
      </c>
    </row>
    <row r="1334" spans="1:3">
      <c r="A1334" s="1" t="s">
        <v>1900</v>
      </c>
    </row>
    <row r="1335" spans="1:3">
      <c r="A1335" s="1" t="s">
        <v>1901</v>
      </c>
    </row>
    <row r="1336" spans="1:3">
      <c r="A1336" s="1" t="s">
        <v>1902</v>
      </c>
    </row>
    <row r="1337" spans="1:3">
      <c r="A1337" s="1" t="s">
        <v>1903</v>
      </c>
    </row>
    <row r="1338" spans="1:3">
      <c r="A1338" s="1" t="s">
        <v>1904</v>
      </c>
    </row>
    <row r="1339" spans="1:3">
      <c r="A1339" s="1" t="s">
        <v>1905</v>
      </c>
    </row>
    <row r="1340" spans="1:3">
      <c r="A1340" s="2" t="s">
        <v>1906</v>
      </c>
      <c r="B1340" s="2">
        <v>353</v>
      </c>
      <c r="C1340" s="2">
        <v>500</v>
      </c>
    </row>
    <row r="1341" spans="1:3">
      <c r="A1341" s="1" t="s">
        <v>1909</v>
      </c>
      <c r="B1341" s="1">
        <v>118</v>
      </c>
      <c r="C1341" s="1">
        <v>500</v>
      </c>
    </row>
    <row r="1342" spans="1:3">
      <c r="A1342" s="1" t="s">
        <v>1910</v>
      </c>
      <c r="B1342" s="1">
        <v>353</v>
      </c>
      <c r="C1342" s="1">
        <v>353</v>
      </c>
    </row>
    <row r="1343" spans="1:3">
      <c r="A1343" s="1" t="s">
        <v>1911</v>
      </c>
      <c r="B1343" s="1">
        <v>353</v>
      </c>
      <c r="C1343" s="1">
        <v>177</v>
      </c>
    </row>
    <row r="1344" spans="1:3">
      <c r="A1344" s="1" t="s">
        <v>1912</v>
      </c>
      <c r="B1344" s="1">
        <v>353</v>
      </c>
      <c r="C1344" s="1">
        <v>125</v>
      </c>
    </row>
    <row r="1345" spans="1:3">
      <c r="A1345" s="1" t="s">
        <v>1913</v>
      </c>
      <c r="B1345" s="1">
        <v>118</v>
      </c>
      <c r="C1345" s="1">
        <v>177</v>
      </c>
    </row>
    <row r="1346" spans="1:3">
      <c r="A1346" s="1" t="s">
        <v>1914</v>
      </c>
      <c r="B1346" s="1">
        <v>177</v>
      </c>
      <c r="C1346" s="1">
        <v>177</v>
      </c>
    </row>
    <row r="1347" spans="1:3">
      <c r="A1347" s="1" t="s">
        <v>1915</v>
      </c>
      <c r="B1347" s="1">
        <v>353</v>
      </c>
      <c r="C1347" s="1">
        <v>440</v>
      </c>
    </row>
    <row r="1348" spans="1:3">
      <c r="A1348" s="1" t="s">
        <v>1916</v>
      </c>
      <c r="B1348" s="1">
        <v>118</v>
      </c>
      <c r="C1348" s="1">
        <v>460</v>
      </c>
    </row>
    <row r="1349" spans="1:3">
      <c r="A1349" s="1" t="s">
        <v>1917</v>
      </c>
      <c r="B1349" s="1">
        <v>118</v>
      </c>
      <c r="C1349" s="1">
        <v>440</v>
      </c>
    </row>
    <row r="1350" spans="1:3">
      <c r="A1350" s="1" t="s">
        <v>1918</v>
      </c>
      <c r="B1350" s="1">
        <v>353</v>
      </c>
      <c r="C1350" s="1">
        <v>460</v>
      </c>
    </row>
    <row r="1351" spans="1:3">
      <c r="A1351" s="1" t="s">
        <v>1919</v>
      </c>
      <c r="B1351" s="1">
        <v>333</v>
      </c>
      <c r="C1351" s="1">
        <v>480</v>
      </c>
    </row>
    <row r="1352" spans="1:3">
      <c r="A1352" s="1" t="s">
        <v>1920</v>
      </c>
      <c r="B1352" s="1">
        <v>313</v>
      </c>
      <c r="C1352" s="1">
        <v>460</v>
      </c>
    </row>
    <row r="1353" spans="1:3">
      <c r="A1353" s="1" t="s">
        <v>1921</v>
      </c>
      <c r="B1353" s="1">
        <v>293</v>
      </c>
      <c r="C1353" s="1">
        <v>440</v>
      </c>
    </row>
    <row r="1354" spans="1:3">
      <c r="A1354" s="1" t="s">
        <v>1922</v>
      </c>
      <c r="B1354" s="1">
        <v>273</v>
      </c>
      <c r="C1354" s="1">
        <v>420</v>
      </c>
    </row>
    <row r="1355" spans="1:3">
      <c r="A1355" s="1" t="s">
        <v>1923</v>
      </c>
      <c r="B1355" s="1">
        <v>253</v>
      </c>
      <c r="C1355" s="1">
        <v>400</v>
      </c>
    </row>
    <row r="1356" spans="1:3">
      <c r="A1356" s="1" t="s">
        <v>1924</v>
      </c>
      <c r="B1356" s="1">
        <v>233</v>
      </c>
      <c r="C1356" s="1">
        <v>380</v>
      </c>
    </row>
    <row r="1357" spans="1:3">
      <c r="A1357" s="1" t="s">
        <v>1925</v>
      </c>
      <c r="B1357" s="1">
        <v>213</v>
      </c>
      <c r="C1357" s="1">
        <v>360</v>
      </c>
    </row>
    <row r="1358" spans="1:3">
      <c r="A1358" s="1" t="s">
        <v>1926</v>
      </c>
      <c r="B1358" s="1">
        <v>333</v>
      </c>
      <c r="C1358" s="1">
        <v>333</v>
      </c>
    </row>
    <row r="1359" spans="1:3">
      <c r="A1359" s="1" t="s">
        <v>1927</v>
      </c>
      <c r="B1359" s="1">
        <v>313</v>
      </c>
      <c r="C1359" s="1">
        <v>313</v>
      </c>
    </row>
    <row r="1360" spans="1:3">
      <c r="A1360" s="1" t="s">
        <v>1928</v>
      </c>
      <c r="B1360" s="1">
        <v>293</v>
      </c>
      <c r="C1360" s="1">
        <v>293</v>
      </c>
    </row>
    <row r="1361" spans="1:3">
      <c r="A1361" s="1" t="s">
        <v>1929</v>
      </c>
      <c r="B1361" s="1">
        <v>273</v>
      </c>
      <c r="C1361" s="1">
        <v>273</v>
      </c>
    </row>
    <row r="1362" spans="1:3">
      <c r="A1362" s="1" t="s">
        <v>1930</v>
      </c>
      <c r="B1362" s="1">
        <v>253</v>
      </c>
      <c r="C1362" s="1">
        <v>253</v>
      </c>
    </row>
    <row r="1363" spans="1:3">
      <c r="A1363" s="1" t="s">
        <v>1931</v>
      </c>
      <c r="B1363" s="1">
        <v>233</v>
      </c>
      <c r="C1363" s="1">
        <v>233</v>
      </c>
    </row>
    <row r="1364" spans="1:3">
      <c r="A1364" s="1" t="s">
        <v>1932</v>
      </c>
      <c r="B1364" s="1">
        <v>213</v>
      </c>
      <c r="C1364" s="1">
        <v>213</v>
      </c>
    </row>
    <row r="1365" spans="1:3">
      <c r="A1365" s="1" t="s">
        <v>1933</v>
      </c>
      <c r="B1365" s="1">
        <v>193</v>
      </c>
      <c r="C1365" s="1">
        <v>193</v>
      </c>
    </row>
    <row r="1366" spans="1:3">
      <c r="A1366" s="1" t="s">
        <v>1934</v>
      </c>
      <c r="B1366" s="1">
        <v>173</v>
      </c>
      <c r="C1366" s="1">
        <v>173</v>
      </c>
    </row>
    <row r="1367" spans="1:3">
      <c r="A1367" s="1" t="s">
        <v>1935</v>
      </c>
      <c r="B1367" s="1">
        <v>153</v>
      </c>
      <c r="C1367" s="1">
        <v>153</v>
      </c>
    </row>
    <row r="1368" spans="1:3">
      <c r="A1368" s="1" t="s">
        <v>1936</v>
      </c>
      <c r="B1368" s="1">
        <v>333</v>
      </c>
      <c r="C1368" s="1">
        <v>500</v>
      </c>
    </row>
    <row r="1369" spans="1:3">
      <c r="A1369" s="1" t="s">
        <v>1937</v>
      </c>
      <c r="B1369" s="1">
        <v>313</v>
      </c>
      <c r="C1369" s="1">
        <v>500</v>
      </c>
    </row>
    <row r="1370" spans="1:3">
      <c r="A1370" s="1" t="s">
        <v>1938</v>
      </c>
      <c r="B1370" s="1">
        <v>293</v>
      </c>
      <c r="C1370" s="1">
        <v>500</v>
      </c>
    </row>
    <row r="1371" spans="1:3">
      <c r="A1371" s="1" t="s">
        <v>1939</v>
      </c>
      <c r="B1371" s="1">
        <v>273</v>
      </c>
      <c r="C1371" s="1">
        <v>500</v>
      </c>
    </row>
    <row r="1372" spans="1:3">
      <c r="A1372" s="1" t="s">
        <v>1940</v>
      </c>
      <c r="B1372" s="1">
        <v>253</v>
      </c>
      <c r="C1372" s="1">
        <v>500</v>
      </c>
    </row>
    <row r="1373" spans="1:3">
      <c r="A1373" s="1" t="s">
        <v>1941</v>
      </c>
      <c r="B1373" s="1">
        <v>233</v>
      </c>
      <c r="C1373" s="1">
        <v>500</v>
      </c>
    </row>
    <row r="1374" spans="1:3">
      <c r="A1374" s="1" t="s">
        <v>1942</v>
      </c>
      <c r="B1374" s="1">
        <v>213</v>
      </c>
      <c r="C1374" s="1">
        <v>500</v>
      </c>
    </row>
    <row r="1375" spans="1:3">
      <c r="A1375" s="1" t="s">
        <v>1943</v>
      </c>
      <c r="B1375" s="1">
        <v>193</v>
      </c>
      <c r="C1375" s="1">
        <v>500</v>
      </c>
    </row>
    <row r="1376" spans="1:3">
      <c r="A1376" s="1" t="s">
        <v>1944</v>
      </c>
      <c r="B1376" s="1">
        <v>173</v>
      </c>
      <c r="C1376" s="1">
        <v>500</v>
      </c>
    </row>
    <row r="1377" spans="1:3">
      <c r="A1377" s="1" t="s">
        <v>1945</v>
      </c>
      <c r="B1377" s="1">
        <v>153</v>
      </c>
      <c r="C1377" s="1">
        <v>500</v>
      </c>
    </row>
    <row r="1378" spans="1:3">
      <c r="A1378" s="1" t="s">
        <v>1946</v>
      </c>
      <c r="B1378" s="1">
        <v>133</v>
      </c>
      <c r="C1378" s="1">
        <v>500</v>
      </c>
    </row>
    <row r="1379" spans="1:3">
      <c r="A1379" s="1" t="s">
        <v>1947</v>
      </c>
      <c r="B1379" s="1">
        <v>113</v>
      </c>
      <c r="C1379" s="1">
        <v>500</v>
      </c>
    </row>
    <row r="1380" spans="1:3">
      <c r="A1380" s="1" t="s">
        <v>1948</v>
      </c>
      <c r="B1380" s="1">
        <v>93</v>
      </c>
      <c r="C1380" s="1">
        <v>500</v>
      </c>
    </row>
    <row r="1381" spans="1:3">
      <c r="A1381" s="1" t="s">
        <v>1949</v>
      </c>
      <c r="B1381" s="1">
        <v>73</v>
      </c>
      <c r="C1381" s="1">
        <v>500</v>
      </c>
    </row>
    <row r="1382" spans="1:3">
      <c r="A1382" s="1" t="s">
        <v>1950</v>
      </c>
      <c r="B1382" s="1">
        <v>353</v>
      </c>
      <c r="C1382" s="1">
        <v>480</v>
      </c>
    </row>
    <row r="1383" spans="1:3">
      <c r="A1383" s="1" t="s">
        <v>1951</v>
      </c>
      <c r="B1383" s="1">
        <v>353</v>
      </c>
      <c r="C1383" s="1">
        <v>460</v>
      </c>
    </row>
    <row r="1384" spans="1:3">
      <c r="A1384" s="1" t="s">
        <v>1952</v>
      </c>
      <c r="B1384" s="1">
        <v>353</v>
      </c>
      <c r="C1384" s="1">
        <v>440</v>
      </c>
    </row>
    <row r="1385" spans="1:3">
      <c r="A1385" s="1" t="s">
        <v>1953</v>
      </c>
      <c r="B1385" s="1">
        <v>353</v>
      </c>
      <c r="C1385" s="1">
        <v>420</v>
      </c>
    </row>
    <row r="1386" spans="1:3">
      <c r="A1386" s="1" t="s">
        <v>1954</v>
      </c>
      <c r="B1386" s="1">
        <v>353</v>
      </c>
      <c r="C1386" s="1">
        <v>400</v>
      </c>
    </row>
    <row r="1387" spans="1:3">
      <c r="A1387" s="1" t="s">
        <v>1955</v>
      </c>
      <c r="B1387" s="1">
        <v>353</v>
      </c>
      <c r="C1387" s="1">
        <v>380</v>
      </c>
    </row>
    <row r="1388" spans="1:3">
      <c r="A1388" s="1" t="s">
        <v>1956</v>
      </c>
      <c r="B1388" s="1">
        <v>353</v>
      </c>
      <c r="C1388" s="1">
        <v>360</v>
      </c>
    </row>
    <row r="1389" spans="1:3">
      <c r="A1389" s="1" t="s">
        <v>1957</v>
      </c>
      <c r="B1389" s="1">
        <v>353</v>
      </c>
      <c r="C1389" s="1">
        <v>340</v>
      </c>
    </row>
    <row r="1390" spans="1:3">
      <c r="A1390" s="1" t="s">
        <v>1958</v>
      </c>
      <c r="B1390" s="1">
        <v>353</v>
      </c>
      <c r="C1390" s="1">
        <v>320</v>
      </c>
    </row>
    <row r="1391" spans="1:3">
      <c r="A1391" s="1" t="s">
        <v>1959</v>
      </c>
      <c r="B1391" s="1">
        <v>353</v>
      </c>
      <c r="C1391" s="1">
        <v>300</v>
      </c>
    </row>
    <row r="1392" spans="1:3">
      <c r="A1392" s="1" t="s">
        <v>1960</v>
      </c>
      <c r="B1392" s="1">
        <v>353</v>
      </c>
      <c r="C1392" s="1">
        <v>280</v>
      </c>
    </row>
    <row r="1393" spans="1:3">
      <c r="A1393" s="1" t="s">
        <v>1961</v>
      </c>
      <c r="B1393" s="1">
        <v>353</v>
      </c>
      <c r="C1393" s="1">
        <v>260</v>
      </c>
    </row>
    <row r="1394" spans="1:3">
      <c r="A1394" s="1" t="s">
        <v>1962</v>
      </c>
      <c r="B1394" s="1">
        <v>353</v>
      </c>
      <c r="C1394" s="1">
        <v>240</v>
      </c>
    </row>
    <row r="1395" spans="1:3">
      <c r="A1395" s="1" t="s">
        <v>1963</v>
      </c>
      <c r="B1395" s="1">
        <v>353</v>
      </c>
      <c r="C1395" s="1">
        <v>220</v>
      </c>
    </row>
    <row r="1396" spans="1:3">
      <c r="A1396" s="1" t="s">
        <v>1964</v>
      </c>
    </row>
    <row r="1397" spans="1:3">
      <c r="A1397" s="1" t="s">
        <v>1966</v>
      </c>
    </row>
    <row r="1398" spans="1:3">
      <c r="A1398" s="1" t="s">
        <v>1967</v>
      </c>
    </row>
    <row r="1399" spans="1:3">
      <c r="A1399" s="1" t="s">
        <v>1968</v>
      </c>
    </row>
    <row r="1400" spans="1:3">
      <c r="A1400" s="1" t="s">
        <v>1969</v>
      </c>
    </row>
    <row r="1401" spans="1:3">
      <c r="A1401" s="1" t="s">
        <v>1970</v>
      </c>
    </row>
    <row r="1402" spans="1:3">
      <c r="A1402" s="1" t="s">
        <v>1971</v>
      </c>
    </row>
    <row r="1403" spans="1:3">
      <c r="A1403" s="1" t="s">
        <v>1972</v>
      </c>
    </row>
    <row r="1404" spans="1:3">
      <c r="A1404" s="1" t="s">
        <v>1973</v>
      </c>
    </row>
    <row r="1405" spans="1:3">
      <c r="A1405" s="1" t="s">
        <v>1974</v>
      </c>
    </row>
    <row r="1406" spans="1:3">
      <c r="A1406" s="1" t="s">
        <v>1975</v>
      </c>
    </row>
    <row r="1407" spans="1:3">
      <c r="A1407" s="1" t="s">
        <v>1976</v>
      </c>
    </row>
    <row r="1408" spans="1:3">
      <c r="A1408" s="1" t="s">
        <v>1977</v>
      </c>
    </row>
    <row r="1409" spans="1:3">
      <c r="A1409" s="1" t="s">
        <v>1978</v>
      </c>
    </row>
    <row r="1410" spans="1:3">
      <c r="A1410" s="1" t="s">
        <v>1979</v>
      </c>
    </row>
    <row r="1411" spans="1:3">
      <c r="A1411" s="4" t="s">
        <v>1980</v>
      </c>
      <c r="B1411" s="4">
        <v>250</v>
      </c>
      <c r="C1411" s="2">
        <v>353</v>
      </c>
    </row>
    <row r="1412" spans="1:3">
      <c r="A1412" s="1" t="s">
        <v>1983</v>
      </c>
      <c r="B1412" s="1">
        <v>83</v>
      </c>
      <c r="C1412" s="1">
        <v>353</v>
      </c>
    </row>
    <row r="1413" spans="1:3">
      <c r="A1413" s="1" t="s">
        <v>1984</v>
      </c>
      <c r="B1413" s="1">
        <v>250</v>
      </c>
      <c r="C1413" s="1">
        <v>250</v>
      </c>
    </row>
    <row r="1414" spans="1:3">
      <c r="A1414" s="1" t="s">
        <v>1985</v>
      </c>
      <c r="B1414" s="1">
        <v>250</v>
      </c>
      <c r="C1414" s="1">
        <v>125</v>
      </c>
    </row>
    <row r="1415" spans="1:3">
      <c r="A1415" s="1" t="s">
        <v>1986</v>
      </c>
      <c r="B1415" s="1">
        <v>250</v>
      </c>
      <c r="C1415" s="1">
        <v>88</v>
      </c>
    </row>
    <row r="1416" spans="1:3">
      <c r="A1416" s="1" t="s">
        <v>1987</v>
      </c>
      <c r="B1416" s="1">
        <v>83</v>
      </c>
      <c r="C1416" s="1">
        <v>125</v>
      </c>
    </row>
    <row r="1417" spans="1:3">
      <c r="A1417" s="1" t="s">
        <v>1988</v>
      </c>
      <c r="B1417" s="1">
        <v>125</v>
      </c>
      <c r="C1417" s="1">
        <v>125</v>
      </c>
    </row>
    <row r="1418" spans="1:3">
      <c r="A1418" s="1" t="s">
        <v>1989</v>
      </c>
      <c r="B1418" s="1">
        <v>250</v>
      </c>
      <c r="C1418" s="1">
        <v>293</v>
      </c>
    </row>
    <row r="1419" spans="1:3">
      <c r="A1419" s="1" t="s">
        <v>1990</v>
      </c>
      <c r="B1419" s="1">
        <v>83</v>
      </c>
      <c r="C1419" s="1">
        <v>313</v>
      </c>
    </row>
    <row r="1420" spans="1:3">
      <c r="A1420" s="1" t="s">
        <v>1991</v>
      </c>
      <c r="B1420" s="1">
        <v>83</v>
      </c>
      <c r="C1420" s="1">
        <v>293</v>
      </c>
    </row>
    <row r="1421" spans="1:3">
      <c r="A1421" s="1" t="s">
        <v>1992</v>
      </c>
      <c r="B1421" s="1">
        <v>250</v>
      </c>
      <c r="C1421" s="1">
        <v>313</v>
      </c>
    </row>
    <row r="1422" spans="1:3">
      <c r="A1422" s="1" t="s">
        <v>1993</v>
      </c>
      <c r="B1422" s="1">
        <v>230</v>
      </c>
      <c r="C1422" s="1">
        <v>333</v>
      </c>
    </row>
    <row r="1423" spans="1:3">
      <c r="A1423" s="1" t="s">
        <v>1994</v>
      </c>
      <c r="B1423" s="1">
        <v>210</v>
      </c>
      <c r="C1423" s="1">
        <v>313</v>
      </c>
    </row>
    <row r="1424" spans="1:3">
      <c r="A1424" s="1" t="s">
        <v>1995</v>
      </c>
      <c r="B1424" s="1">
        <v>190</v>
      </c>
      <c r="C1424" s="1">
        <v>293</v>
      </c>
    </row>
    <row r="1425" spans="1:3">
      <c r="A1425" s="1" t="s">
        <v>1996</v>
      </c>
      <c r="B1425" s="1">
        <v>170</v>
      </c>
      <c r="C1425" s="1">
        <v>273</v>
      </c>
    </row>
    <row r="1426" spans="1:3">
      <c r="A1426" s="1" t="s">
        <v>1997</v>
      </c>
      <c r="B1426" s="1">
        <v>150</v>
      </c>
      <c r="C1426" s="1">
        <v>253</v>
      </c>
    </row>
    <row r="1427" spans="1:3">
      <c r="A1427" s="1" t="s">
        <v>1998</v>
      </c>
      <c r="B1427" s="1">
        <v>130</v>
      </c>
      <c r="C1427" s="1">
        <v>233</v>
      </c>
    </row>
    <row r="1428" spans="1:3">
      <c r="A1428" s="1" t="s">
        <v>1999</v>
      </c>
      <c r="B1428" s="1">
        <v>110</v>
      </c>
      <c r="C1428" s="1">
        <v>213</v>
      </c>
    </row>
    <row r="1429" spans="1:3">
      <c r="A1429" s="1" t="s">
        <v>2000</v>
      </c>
      <c r="B1429" s="1">
        <v>230</v>
      </c>
      <c r="C1429" s="1">
        <v>230</v>
      </c>
    </row>
    <row r="1430" spans="1:3">
      <c r="A1430" s="1" t="s">
        <v>2001</v>
      </c>
      <c r="B1430" s="1">
        <v>210</v>
      </c>
      <c r="C1430" s="1">
        <v>210</v>
      </c>
    </row>
    <row r="1431" spans="1:3">
      <c r="A1431" s="1" t="s">
        <v>2002</v>
      </c>
      <c r="B1431" s="1">
        <v>190</v>
      </c>
      <c r="C1431" s="1">
        <v>190</v>
      </c>
    </row>
    <row r="1432" spans="1:3">
      <c r="A1432" s="1" t="s">
        <v>2003</v>
      </c>
      <c r="B1432" s="1">
        <v>170</v>
      </c>
      <c r="C1432" s="1">
        <v>170</v>
      </c>
    </row>
    <row r="1433" spans="1:3">
      <c r="A1433" s="1" t="s">
        <v>2004</v>
      </c>
      <c r="B1433" s="1">
        <v>150</v>
      </c>
      <c r="C1433" s="1">
        <v>150</v>
      </c>
    </row>
    <row r="1434" spans="1:3">
      <c r="A1434" s="1" t="s">
        <v>2005</v>
      </c>
      <c r="B1434" s="1">
        <v>130</v>
      </c>
      <c r="C1434" s="1">
        <v>130</v>
      </c>
    </row>
    <row r="1435" spans="1:3">
      <c r="A1435" s="1" t="s">
        <v>2006</v>
      </c>
      <c r="B1435" s="1">
        <v>110</v>
      </c>
      <c r="C1435" s="1">
        <v>110</v>
      </c>
    </row>
    <row r="1436" spans="1:3">
      <c r="A1436" s="1" t="s">
        <v>2007</v>
      </c>
      <c r="B1436" s="1">
        <v>90</v>
      </c>
      <c r="C1436" s="1">
        <v>90</v>
      </c>
    </row>
    <row r="1437" spans="1:3">
      <c r="A1437" s="1" t="s">
        <v>2008</v>
      </c>
      <c r="B1437" s="1">
        <v>70</v>
      </c>
      <c r="C1437" s="1">
        <v>70</v>
      </c>
    </row>
    <row r="1438" spans="1:3">
      <c r="A1438" s="1" t="s">
        <v>2009</v>
      </c>
      <c r="B1438" s="1">
        <v>50</v>
      </c>
      <c r="C1438" s="1">
        <v>50</v>
      </c>
    </row>
    <row r="1439" spans="1:3">
      <c r="A1439" s="1" t="s">
        <v>2010</v>
      </c>
      <c r="B1439" s="1">
        <v>230</v>
      </c>
      <c r="C1439" s="1">
        <v>353</v>
      </c>
    </row>
    <row r="1440" spans="1:3">
      <c r="A1440" s="1" t="s">
        <v>2011</v>
      </c>
      <c r="B1440" s="1">
        <v>210</v>
      </c>
      <c r="C1440" s="1">
        <v>353</v>
      </c>
    </row>
    <row r="1441" spans="1:3">
      <c r="A1441" s="1" t="s">
        <v>2012</v>
      </c>
      <c r="B1441" s="1">
        <v>190</v>
      </c>
      <c r="C1441" s="1">
        <v>353</v>
      </c>
    </row>
    <row r="1442" spans="1:3">
      <c r="A1442" s="1" t="s">
        <v>2013</v>
      </c>
      <c r="B1442" s="1">
        <v>170</v>
      </c>
      <c r="C1442" s="1">
        <v>353</v>
      </c>
    </row>
    <row r="1443" spans="1:3">
      <c r="A1443" s="1" t="s">
        <v>2014</v>
      </c>
      <c r="B1443" s="1">
        <v>150</v>
      </c>
      <c r="C1443" s="1">
        <v>353</v>
      </c>
    </row>
    <row r="1444" spans="1:3">
      <c r="A1444" s="1" t="s">
        <v>2015</v>
      </c>
      <c r="B1444" s="1">
        <v>130</v>
      </c>
      <c r="C1444" s="1">
        <v>353</v>
      </c>
    </row>
    <row r="1445" spans="1:3">
      <c r="A1445" s="1" t="s">
        <v>2016</v>
      </c>
      <c r="B1445" s="1">
        <v>110</v>
      </c>
      <c r="C1445" s="1">
        <v>353</v>
      </c>
    </row>
    <row r="1446" spans="1:3">
      <c r="A1446" s="1" t="s">
        <v>2017</v>
      </c>
      <c r="B1446" s="1">
        <v>90</v>
      </c>
      <c r="C1446" s="1">
        <v>353</v>
      </c>
    </row>
    <row r="1447" spans="1:3">
      <c r="A1447" s="1" t="s">
        <v>2018</v>
      </c>
      <c r="B1447" s="1">
        <v>70</v>
      </c>
      <c r="C1447" s="1">
        <v>353</v>
      </c>
    </row>
    <row r="1448" spans="1:3">
      <c r="A1448" s="1" t="s">
        <v>2019</v>
      </c>
      <c r="B1448" s="1">
        <v>50</v>
      </c>
      <c r="C1448" s="1">
        <v>353</v>
      </c>
    </row>
    <row r="1449" spans="1:3">
      <c r="A1449" s="1" t="s">
        <v>2020</v>
      </c>
      <c r="B1449" s="1">
        <v>30</v>
      </c>
      <c r="C1449" s="1">
        <v>353</v>
      </c>
    </row>
    <row r="1450" spans="1:3">
      <c r="A1450" s="1" t="s">
        <v>2021</v>
      </c>
      <c r="B1450" s="1">
        <v>10</v>
      </c>
      <c r="C1450" s="1">
        <v>353</v>
      </c>
    </row>
    <row r="1451" spans="1:3">
      <c r="A1451" s="1" t="s">
        <v>2022</v>
      </c>
      <c r="B1451" s="1">
        <v>-10</v>
      </c>
      <c r="C1451" s="1">
        <v>353</v>
      </c>
    </row>
    <row r="1452" spans="1:3">
      <c r="A1452" s="1" t="s">
        <v>2023</v>
      </c>
      <c r="B1452" s="1">
        <v>-30</v>
      </c>
      <c r="C1452" s="1">
        <v>353</v>
      </c>
    </row>
    <row r="1453" spans="1:3">
      <c r="A1453" s="1" t="s">
        <v>2024</v>
      </c>
      <c r="B1453" s="1">
        <v>250</v>
      </c>
      <c r="C1453" s="1">
        <v>333</v>
      </c>
    </row>
    <row r="1454" spans="1:3">
      <c r="A1454" s="1" t="s">
        <v>2025</v>
      </c>
      <c r="B1454" s="1">
        <v>250</v>
      </c>
      <c r="C1454" s="1">
        <v>313</v>
      </c>
    </row>
    <row r="1455" spans="1:3">
      <c r="A1455" s="1" t="s">
        <v>2026</v>
      </c>
      <c r="B1455" s="1">
        <v>250</v>
      </c>
      <c r="C1455" s="1">
        <v>293</v>
      </c>
    </row>
    <row r="1456" spans="1:3">
      <c r="A1456" s="1" t="s">
        <v>2027</v>
      </c>
      <c r="B1456" s="1">
        <v>250</v>
      </c>
      <c r="C1456" s="1">
        <v>273</v>
      </c>
    </row>
    <row r="1457" spans="1:3">
      <c r="A1457" s="1" t="s">
        <v>2028</v>
      </c>
      <c r="B1457" s="1">
        <v>250</v>
      </c>
      <c r="C1457" s="1">
        <v>253</v>
      </c>
    </row>
    <row r="1458" spans="1:3">
      <c r="A1458" s="1" t="s">
        <v>2029</v>
      </c>
      <c r="B1458" s="1">
        <v>250</v>
      </c>
      <c r="C1458" s="1">
        <v>233</v>
      </c>
    </row>
    <row r="1459" spans="1:3">
      <c r="A1459" s="1" t="s">
        <v>2030</v>
      </c>
      <c r="B1459" s="1">
        <v>250</v>
      </c>
      <c r="C1459" s="1">
        <v>213</v>
      </c>
    </row>
    <row r="1460" spans="1:3">
      <c r="A1460" s="1" t="s">
        <v>2031</v>
      </c>
      <c r="B1460" s="1">
        <v>250</v>
      </c>
      <c r="C1460" s="1">
        <v>193</v>
      </c>
    </row>
    <row r="1461" spans="1:3">
      <c r="A1461" s="1" t="s">
        <v>2032</v>
      </c>
      <c r="B1461" s="1">
        <v>250</v>
      </c>
      <c r="C1461" s="1">
        <v>173</v>
      </c>
    </row>
    <row r="1462" spans="1:3">
      <c r="A1462" s="1" t="s">
        <v>2033</v>
      </c>
      <c r="B1462" s="1">
        <v>250</v>
      </c>
      <c r="C1462" s="1">
        <v>153</v>
      </c>
    </row>
    <row r="1463" spans="1:3">
      <c r="A1463" s="1" t="s">
        <v>2034</v>
      </c>
      <c r="B1463" s="1">
        <v>250</v>
      </c>
      <c r="C1463" s="1">
        <v>133</v>
      </c>
    </row>
    <row r="1464" spans="1:3">
      <c r="A1464" s="1" t="s">
        <v>2035</v>
      </c>
      <c r="B1464" s="1">
        <v>250</v>
      </c>
      <c r="C1464" s="1">
        <v>113</v>
      </c>
    </row>
    <row r="1465" spans="1:3">
      <c r="A1465" s="1" t="s">
        <v>2036</v>
      </c>
      <c r="B1465" s="1">
        <v>250</v>
      </c>
      <c r="C1465" s="1">
        <v>93</v>
      </c>
    </row>
    <row r="1466" spans="1:3">
      <c r="A1466" s="1" t="s">
        <v>2037</v>
      </c>
      <c r="B1466" s="1">
        <v>250</v>
      </c>
      <c r="C1466" s="1">
        <v>73</v>
      </c>
    </row>
    <row r="1467" spans="1:3">
      <c r="A1467" s="1" t="s">
        <v>2038</v>
      </c>
    </row>
    <row r="1468" spans="1:3">
      <c r="A1468" s="1" t="s">
        <v>2040</v>
      </c>
    </row>
    <row r="1469" spans="1:3">
      <c r="A1469" s="1" t="s">
        <v>2041</v>
      </c>
    </row>
    <row r="1470" spans="1:3">
      <c r="A1470" s="1" t="s">
        <v>2042</v>
      </c>
    </row>
    <row r="1471" spans="1:3">
      <c r="A1471" s="1" t="s">
        <v>2043</v>
      </c>
    </row>
    <row r="1472" spans="1:3">
      <c r="A1472" s="1" t="s">
        <v>2044</v>
      </c>
    </row>
    <row r="1473" spans="1:3">
      <c r="A1473" s="1" t="s">
        <v>2045</v>
      </c>
    </row>
    <row r="1474" spans="1:3">
      <c r="A1474" s="1" t="s">
        <v>2046</v>
      </c>
    </row>
    <row r="1475" spans="1:3">
      <c r="A1475" s="1" t="s">
        <v>2047</v>
      </c>
    </row>
    <row r="1476" spans="1:3">
      <c r="A1476" s="1" t="s">
        <v>2048</v>
      </c>
    </row>
    <row r="1477" spans="1:3">
      <c r="A1477" s="1" t="s">
        <v>2049</v>
      </c>
    </row>
    <row r="1478" spans="1:3">
      <c r="A1478" s="1" t="s">
        <v>2050</v>
      </c>
    </row>
    <row r="1479" spans="1:3">
      <c r="A1479" s="1" t="s">
        <v>2051</v>
      </c>
    </row>
    <row r="1480" spans="1:3">
      <c r="A1480" s="1" t="s">
        <v>2052</v>
      </c>
    </row>
    <row r="1481" spans="1:3">
      <c r="A1481" s="1" t="s">
        <v>2053</v>
      </c>
    </row>
    <row r="1482" spans="1:3">
      <c r="A1482" s="2" t="s">
        <v>2054</v>
      </c>
      <c r="B1482" s="2">
        <v>176</v>
      </c>
      <c r="C1482" s="2">
        <v>250</v>
      </c>
    </row>
    <row r="1483" spans="1:3">
      <c r="A1483" s="1" t="s">
        <v>2057</v>
      </c>
      <c r="B1483" s="1">
        <v>59</v>
      </c>
      <c r="C1483" s="1">
        <v>250</v>
      </c>
    </row>
    <row r="1484" spans="1:3">
      <c r="A1484" s="1" t="s">
        <v>2058</v>
      </c>
      <c r="B1484" s="1">
        <v>176</v>
      </c>
      <c r="C1484" s="1">
        <v>176</v>
      </c>
    </row>
    <row r="1485" spans="1:3">
      <c r="A1485" s="1" t="s">
        <v>2059</v>
      </c>
      <c r="B1485" s="1">
        <v>176</v>
      </c>
      <c r="C1485" s="1">
        <v>88</v>
      </c>
    </row>
    <row r="1486" spans="1:3">
      <c r="A1486" s="1" t="s">
        <v>2060</v>
      </c>
      <c r="B1486" s="1">
        <v>176</v>
      </c>
      <c r="C1486" s="1">
        <v>63</v>
      </c>
    </row>
    <row r="1487" spans="1:3">
      <c r="A1487" s="1" t="s">
        <v>2061</v>
      </c>
      <c r="B1487" s="1">
        <v>59</v>
      </c>
      <c r="C1487" s="1">
        <v>88</v>
      </c>
    </row>
    <row r="1488" spans="1:3">
      <c r="A1488" s="1" t="s">
        <v>2062</v>
      </c>
      <c r="B1488" s="1">
        <v>88</v>
      </c>
      <c r="C1488" s="1">
        <v>88</v>
      </c>
    </row>
    <row r="1489" spans="1:3">
      <c r="A1489" s="1" t="s">
        <v>2063</v>
      </c>
      <c r="B1489" s="1">
        <v>176</v>
      </c>
      <c r="C1489" s="1">
        <v>190</v>
      </c>
    </row>
    <row r="1490" spans="1:3">
      <c r="A1490" s="1" t="s">
        <v>2064</v>
      </c>
      <c r="B1490" s="1">
        <v>59</v>
      </c>
      <c r="C1490" s="1">
        <v>210</v>
      </c>
    </row>
    <row r="1491" spans="1:3">
      <c r="A1491" s="1" t="s">
        <v>2065</v>
      </c>
      <c r="B1491" s="1">
        <v>59</v>
      </c>
      <c r="C1491" s="1">
        <v>190</v>
      </c>
    </row>
    <row r="1492" spans="1:3">
      <c r="A1492" s="1" t="s">
        <v>2066</v>
      </c>
      <c r="B1492" s="1">
        <v>176</v>
      </c>
      <c r="C1492" s="1">
        <v>210</v>
      </c>
    </row>
    <row r="1493" spans="1:3">
      <c r="A1493" s="1" t="s">
        <v>2067</v>
      </c>
      <c r="B1493" s="1">
        <v>156</v>
      </c>
      <c r="C1493" s="1">
        <v>230</v>
      </c>
    </row>
    <row r="1494" spans="1:3">
      <c r="A1494" s="1" t="s">
        <v>2068</v>
      </c>
      <c r="B1494" s="1">
        <v>136</v>
      </c>
      <c r="C1494" s="1">
        <v>210</v>
      </c>
    </row>
    <row r="1495" spans="1:3">
      <c r="A1495" s="1" t="s">
        <v>2069</v>
      </c>
      <c r="B1495" s="1">
        <v>116</v>
      </c>
      <c r="C1495" s="1">
        <v>190</v>
      </c>
    </row>
    <row r="1496" spans="1:3">
      <c r="A1496" s="1" t="s">
        <v>2070</v>
      </c>
      <c r="B1496" s="1">
        <v>96</v>
      </c>
      <c r="C1496" s="1">
        <v>170</v>
      </c>
    </row>
    <row r="1497" spans="1:3">
      <c r="A1497" s="1" t="s">
        <v>2071</v>
      </c>
      <c r="B1497" s="1">
        <v>76</v>
      </c>
      <c r="C1497" s="1">
        <v>150</v>
      </c>
    </row>
    <row r="1498" spans="1:3">
      <c r="A1498" s="1" t="s">
        <v>2072</v>
      </c>
      <c r="B1498" s="1">
        <v>56</v>
      </c>
      <c r="C1498" s="1">
        <v>130</v>
      </c>
    </row>
    <row r="1499" spans="1:3">
      <c r="A1499" s="1" t="s">
        <v>2073</v>
      </c>
      <c r="B1499" s="1">
        <v>36</v>
      </c>
      <c r="C1499" s="1">
        <v>110</v>
      </c>
    </row>
    <row r="1500" spans="1:3">
      <c r="A1500" s="1" t="s">
        <v>2074</v>
      </c>
      <c r="B1500" s="1">
        <v>156</v>
      </c>
      <c r="C1500" s="1">
        <v>156</v>
      </c>
    </row>
    <row r="1501" spans="1:3">
      <c r="A1501" s="1" t="s">
        <v>2075</v>
      </c>
      <c r="B1501" s="1">
        <v>136</v>
      </c>
      <c r="C1501" s="1">
        <v>136</v>
      </c>
    </row>
    <row r="1502" spans="1:3">
      <c r="A1502" s="1" t="s">
        <v>2076</v>
      </c>
      <c r="B1502" s="1">
        <v>116</v>
      </c>
      <c r="C1502" s="1">
        <v>116</v>
      </c>
    </row>
    <row r="1503" spans="1:3">
      <c r="A1503" s="1" t="s">
        <v>2077</v>
      </c>
      <c r="B1503" s="1">
        <v>96</v>
      </c>
      <c r="C1503" s="1">
        <v>96</v>
      </c>
    </row>
    <row r="1504" spans="1:3">
      <c r="A1504" s="1" t="s">
        <v>2078</v>
      </c>
      <c r="B1504" s="1">
        <v>76</v>
      </c>
      <c r="C1504" s="1">
        <v>76</v>
      </c>
    </row>
    <row r="1505" spans="1:3">
      <c r="A1505" s="1" t="s">
        <v>2079</v>
      </c>
      <c r="B1505" s="1">
        <v>56</v>
      </c>
      <c r="C1505" s="1">
        <v>56</v>
      </c>
    </row>
    <row r="1506" spans="1:3">
      <c r="A1506" s="1" t="s">
        <v>2080</v>
      </c>
      <c r="B1506" s="1">
        <v>36</v>
      </c>
      <c r="C1506" s="1">
        <v>36</v>
      </c>
    </row>
    <row r="1507" spans="1:3">
      <c r="A1507" s="1" t="s">
        <v>2081</v>
      </c>
      <c r="B1507" s="1">
        <v>16</v>
      </c>
      <c r="C1507" s="1">
        <v>16</v>
      </c>
    </row>
    <row r="1508" spans="1:3">
      <c r="A1508" s="1" t="s">
        <v>2082</v>
      </c>
      <c r="B1508" s="1">
        <v>-4</v>
      </c>
      <c r="C1508" s="1">
        <v>-4</v>
      </c>
    </row>
    <row r="1509" spans="1:3">
      <c r="A1509" s="1" t="s">
        <v>2083</v>
      </c>
      <c r="B1509" s="1">
        <v>-24</v>
      </c>
      <c r="C1509" s="1">
        <v>-24</v>
      </c>
    </row>
    <row r="1510" spans="1:3">
      <c r="A1510" s="1" t="s">
        <v>2084</v>
      </c>
      <c r="B1510" s="1">
        <v>156</v>
      </c>
      <c r="C1510" s="1">
        <v>250</v>
      </c>
    </row>
    <row r="1511" spans="1:3">
      <c r="A1511" s="1" t="s">
        <v>2085</v>
      </c>
      <c r="B1511" s="1">
        <v>136</v>
      </c>
      <c r="C1511" s="1">
        <v>250</v>
      </c>
    </row>
    <row r="1512" spans="1:3">
      <c r="A1512" s="1" t="s">
        <v>2086</v>
      </c>
      <c r="B1512" s="1">
        <v>116</v>
      </c>
      <c r="C1512" s="1">
        <v>250</v>
      </c>
    </row>
    <row r="1513" spans="1:3">
      <c r="A1513" s="1" t="s">
        <v>2087</v>
      </c>
      <c r="B1513" s="1">
        <v>96</v>
      </c>
      <c r="C1513" s="1">
        <v>250</v>
      </c>
    </row>
    <row r="1514" spans="1:3">
      <c r="A1514" s="1" t="s">
        <v>2088</v>
      </c>
      <c r="B1514" s="1">
        <v>76</v>
      </c>
      <c r="C1514" s="1">
        <v>250</v>
      </c>
    </row>
    <row r="1515" spans="1:3">
      <c r="A1515" s="1" t="s">
        <v>2089</v>
      </c>
      <c r="B1515" s="1">
        <v>56</v>
      </c>
      <c r="C1515" s="1">
        <v>250</v>
      </c>
    </row>
    <row r="1516" spans="1:3">
      <c r="A1516" s="1" t="s">
        <v>2090</v>
      </c>
      <c r="B1516" s="1">
        <v>36</v>
      </c>
      <c r="C1516" s="1">
        <v>250</v>
      </c>
    </row>
    <row r="1517" spans="1:3">
      <c r="A1517" s="1" t="s">
        <v>2091</v>
      </c>
      <c r="B1517" s="1">
        <v>16</v>
      </c>
      <c r="C1517" s="1">
        <v>250</v>
      </c>
    </row>
    <row r="1518" spans="1:3">
      <c r="A1518" s="1" t="s">
        <v>2092</v>
      </c>
      <c r="B1518" s="1">
        <v>-4</v>
      </c>
      <c r="C1518" s="1">
        <v>250</v>
      </c>
    </row>
    <row r="1519" spans="1:3">
      <c r="A1519" s="1" t="s">
        <v>2093</v>
      </c>
      <c r="B1519" s="1">
        <v>-24</v>
      </c>
      <c r="C1519" s="1">
        <v>250</v>
      </c>
    </row>
    <row r="1520" spans="1:3">
      <c r="A1520" s="1" t="s">
        <v>2094</v>
      </c>
      <c r="B1520" s="1">
        <v>-44</v>
      </c>
      <c r="C1520" s="1">
        <v>250</v>
      </c>
    </row>
    <row r="1521" spans="1:3">
      <c r="A1521" s="1" t="s">
        <v>2095</v>
      </c>
      <c r="B1521" s="1">
        <v>-64</v>
      </c>
      <c r="C1521" s="1">
        <v>250</v>
      </c>
    </row>
    <row r="1522" spans="1:3">
      <c r="A1522" s="1" t="s">
        <v>2096</v>
      </c>
      <c r="B1522" s="1">
        <v>-84</v>
      </c>
      <c r="C1522" s="1">
        <v>250</v>
      </c>
    </row>
    <row r="1523" spans="1:3">
      <c r="A1523" s="1" t="s">
        <v>2097</v>
      </c>
      <c r="B1523" s="1">
        <v>-104</v>
      </c>
      <c r="C1523" s="1">
        <v>250</v>
      </c>
    </row>
    <row r="1524" spans="1:3">
      <c r="A1524" s="1" t="s">
        <v>2098</v>
      </c>
      <c r="B1524" s="1">
        <v>176</v>
      </c>
      <c r="C1524" s="1">
        <v>230</v>
      </c>
    </row>
    <row r="1525" spans="1:3">
      <c r="A1525" s="1" t="s">
        <v>2099</v>
      </c>
      <c r="B1525" s="1">
        <v>176</v>
      </c>
      <c r="C1525" s="1">
        <v>210</v>
      </c>
    </row>
    <row r="1526" spans="1:3">
      <c r="A1526" s="1" t="s">
        <v>2100</v>
      </c>
      <c r="B1526" s="1">
        <v>176</v>
      </c>
      <c r="C1526" s="1">
        <v>190</v>
      </c>
    </row>
    <row r="1527" spans="1:3">
      <c r="A1527" s="1" t="s">
        <v>2101</v>
      </c>
      <c r="B1527" s="1">
        <v>176</v>
      </c>
      <c r="C1527" s="1">
        <v>170</v>
      </c>
    </row>
    <row r="1528" spans="1:3">
      <c r="A1528" s="1" t="s">
        <v>2102</v>
      </c>
      <c r="B1528" s="1">
        <v>176</v>
      </c>
      <c r="C1528" s="1">
        <v>150</v>
      </c>
    </row>
    <row r="1529" spans="1:3">
      <c r="A1529" s="1" t="s">
        <v>2103</v>
      </c>
      <c r="B1529" s="1">
        <v>176</v>
      </c>
      <c r="C1529" s="1">
        <v>130</v>
      </c>
    </row>
    <row r="1530" spans="1:3">
      <c r="A1530" s="1" t="s">
        <v>2104</v>
      </c>
      <c r="B1530" s="1">
        <v>176</v>
      </c>
      <c r="C1530" s="1">
        <v>110</v>
      </c>
    </row>
    <row r="1531" spans="1:3">
      <c r="A1531" s="1" t="s">
        <v>2105</v>
      </c>
      <c r="B1531" s="1">
        <v>176</v>
      </c>
      <c r="C1531" s="1">
        <v>90</v>
      </c>
    </row>
    <row r="1532" spans="1:3">
      <c r="A1532" s="1" t="s">
        <v>2106</v>
      </c>
      <c r="B1532" s="1">
        <v>176</v>
      </c>
      <c r="C1532" s="1">
        <v>70</v>
      </c>
    </row>
    <row r="1533" spans="1:3">
      <c r="A1533" s="1" t="s">
        <v>2107</v>
      </c>
      <c r="B1533" s="1">
        <v>176</v>
      </c>
      <c r="C1533" s="1">
        <v>50</v>
      </c>
    </row>
    <row r="1534" spans="1:3">
      <c r="A1534" s="1" t="s">
        <v>2108</v>
      </c>
      <c r="B1534" s="1">
        <v>176</v>
      </c>
      <c r="C1534" s="1">
        <v>30</v>
      </c>
    </row>
    <row r="1535" spans="1:3">
      <c r="A1535" s="1" t="s">
        <v>2109</v>
      </c>
      <c r="B1535" s="1">
        <v>176</v>
      </c>
      <c r="C1535" s="1">
        <v>10</v>
      </c>
    </row>
    <row r="1536" spans="1:3">
      <c r="A1536" s="1" t="s">
        <v>2110</v>
      </c>
      <c r="B1536" s="1">
        <v>176</v>
      </c>
      <c r="C1536" s="1">
        <v>-10</v>
      </c>
    </row>
    <row r="1537" spans="1:3">
      <c r="A1537" s="1" t="s">
        <v>2111</v>
      </c>
      <c r="B1537" s="1">
        <v>176</v>
      </c>
      <c r="C1537" s="1">
        <v>-30</v>
      </c>
    </row>
    <row r="1538" spans="1:3">
      <c r="A1538" s="1" t="s">
        <v>2112</v>
      </c>
    </row>
    <row r="1539" spans="1:3">
      <c r="A1539" s="1" t="s">
        <v>2114</v>
      </c>
    </row>
    <row r="1540" spans="1:3">
      <c r="A1540" s="1" t="s">
        <v>2115</v>
      </c>
    </row>
    <row r="1541" spans="1:3">
      <c r="A1541" s="1" t="s">
        <v>2116</v>
      </c>
    </row>
    <row r="1542" spans="1:3">
      <c r="A1542" s="1" t="s">
        <v>2117</v>
      </c>
    </row>
    <row r="1543" spans="1:3">
      <c r="A1543" s="1" t="s">
        <v>2118</v>
      </c>
    </row>
    <row r="1544" spans="1:3">
      <c r="A1544" s="1" t="s">
        <v>2119</v>
      </c>
    </row>
    <row r="1545" spans="1:3">
      <c r="A1545" s="1" t="s">
        <v>2120</v>
      </c>
    </row>
    <row r="1546" spans="1:3">
      <c r="A1546" s="1" t="s">
        <v>2121</v>
      </c>
    </row>
    <row r="1547" spans="1:3">
      <c r="A1547" s="1" t="s">
        <v>2122</v>
      </c>
    </row>
    <row r="1548" spans="1:3">
      <c r="A1548" s="1" t="s">
        <v>2123</v>
      </c>
    </row>
    <row r="1549" spans="1:3">
      <c r="A1549" s="1" t="s">
        <v>2124</v>
      </c>
    </row>
    <row r="1550" spans="1:3">
      <c r="A1550" s="1" t="s">
        <v>2125</v>
      </c>
    </row>
    <row r="1551" spans="1:3">
      <c r="A1551" s="1" t="s">
        <v>2126</v>
      </c>
    </row>
    <row r="1552" spans="1:3">
      <c r="A1552" s="1" t="s">
        <v>2127</v>
      </c>
    </row>
    <row r="1553" spans="1:3">
      <c r="A1553" s="2" t="s">
        <v>2128</v>
      </c>
      <c r="B1553" s="2">
        <v>125</v>
      </c>
      <c r="C1553" s="2">
        <v>176</v>
      </c>
    </row>
    <row r="1554" spans="1:3">
      <c r="A1554" s="1" t="s">
        <v>2131</v>
      </c>
      <c r="B1554" s="1">
        <v>42</v>
      </c>
      <c r="C1554" s="1">
        <v>176</v>
      </c>
    </row>
    <row r="1555" spans="1:3">
      <c r="A1555" s="1" t="s">
        <v>2132</v>
      </c>
      <c r="B1555" s="1">
        <v>125</v>
      </c>
      <c r="C1555" s="1">
        <v>125</v>
      </c>
    </row>
    <row r="1556" spans="1:3">
      <c r="A1556" s="1" t="s">
        <v>2133</v>
      </c>
      <c r="B1556" s="1">
        <v>125</v>
      </c>
      <c r="C1556" s="1">
        <v>63</v>
      </c>
    </row>
    <row r="1557" spans="1:3">
      <c r="A1557" s="1" t="s">
        <v>2134</v>
      </c>
      <c r="B1557" s="1">
        <v>125</v>
      </c>
      <c r="C1557" s="1">
        <v>44</v>
      </c>
    </row>
    <row r="1558" spans="1:3">
      <c r="A1558" s="1" t="s">
        <v>2135</v>
      </c>
      <c r="B1558" s="1">
        <v>42</v>
      </c>
      <c r="C1558" s="1">
        <v>63</v>
      </c>
    </row>
    <row r="1559" spans="1:3">
      <c r="A1559" s="1" t="s">
        <v>2136</v>
      </c>
      <c r="B1559" s="1">
        <v>63</v>
      </c>
      <c r="C1559" s="1">
        <v>63</v>
      </c>
    </row>
    <row r="1560" spans="1:3">
      <c r="A1560" s="1" t="s">
        <v>2137</v>
      </c>
      <c r="B1560" s="1">
        <v>125</v>
      </c>
      <c r="C1560" s="1">
        <v>116</v>
      </c>
    </row>
    <row r="1561" spans="1:3">
      <c r="A1561" s="1" t="s">
        <v>2138</v>
      </c>
      <c r="B1561" s="1">
        <v>42</v>
      </c>
      <c r="C1561" s="1">
        <v>136</v>
      </c>
    </row>
    <row r="1562" spans="1:3">
      <c r="A1562" s="1" t="s">
        <v>2139</v>
      </c>
      <c r="B1562" s="1">
        <v>42</v>
      </c>
      <c r="C1562" s="1">
        <v>116</v>
      </c>
    </row>
    <row r="1563" spans="1:3">
      <c r="A1563" s="1" t="s">
        <v>2140</v>
      </c>
      <c r="B1563" s="1">
        <v>125</v>
      </c>
      <c r="C1563" s="1">
        <v>136</v>
      </c>
    </row>
    <row r="1564" spans="1:3">
      <c r="A1564" s="1" t="s">
        <v>2141</v>
      </c>
      <c r="B1564" s="1">
        <v>105</v>
      </c>
      <c r="C1564" s="1">
        <v>156</v>
      </c>
    </row>
    <row r="1565" spans="1:3">
      <c r="A1565" s="1" t="s">
        <v>2142</v>
      </c>
      <c r="B1565" s="1">
        <v>85</v>
      </c>
      <c r="C1565" s="1">
        <v>136</v>
      </c>
    </row>
    <row r="1566" spans="1:3">
      <c r="A1566" s="1" t="s">
        <v>2143</v>
      </c>
      <c r="B1566" s="1">
        <v>65</v>
      </c>
      <c r="C1566" s="1">
        <v>116</v>
      </c>
    </row>
    <row r="1567" spans="1:3">
      <c r="A1567" s="1" t="s">
        <v>2144</v>
      </c>
      <c r="B1567" s="1">
        <v>45</v>
      </c>
      <c r="C1567" s="1">
        <v>96</v>
      </c>
    </row>
    <row r="1568" spans="1:3">
      <c r="A1568" s="1" t="s">
        <v>2145</v>
      </c>
      <c r="B1568" s="1">
        <v>25</v>
      </c>
      <c r="C1568" s="1">
        <v>76</v>
      </c>
    </row>
    <row r="1569" spans="1:3">
      <c r="A1569" s="1" t="s">
        <v>2146</v>
      </c>
      <c r="B1569" s="1">
        <v>5</v>
      </c>
      <c r="C1569" s="1">
        <v>56</v>
      </c>
    </row>
    <row r="1570" spans="1:3">
      <c r="A1570" s="1" t="s">
        <v>2147</v>
      </c>
      <c r="B1570" s="1">
        <v>-15</v>
      </c>
      <c r="C1570" s="1">
        <v>36</v>
      </c>
    </row>
    <row r="1571" spans="1:3">
      <c r="A1571" s="1" t="s">
        <v>2148</v>
      </c>
      <c r="B1571" s="1">
        <v>105</v>
      </c>
      <c r="C1571" s="1">
        <v>105</v>
      </c>
    </row>
    <row r="1572" spans="1:3">
      <c r="A1572" s="1" t="s">
        <v>2149</v>
      </c>
      <c r="B1572" s="1">
        <v>85</v>
      </c>
      <c r="C1572" s="1">
        <v>85</v>
      </c>
    </row>
    <row r="1573" spans="1:3">
      <c r="A1573" s="1" t="s">
        <v>2150</v>
      </c>
      <c r="B1573" s="1">
        <v>65</v>
      </c>
      <c r="C1573" s="1">
        <v>65</v>
      </c>
    </row>
    <row r="1574" spans="1:3">
      <c r="A1574" s="1" t="s">
        <v>2151</v>
      </c>
      <c r="B1574" s="1">
        <v>45</v>
      </c>
      <c r="C1574" s="1">
        <v>45</v>
      </c>
    </row>
    <row r="1575" spans="1:3">
      <c r="A1575" s="1" t="s">
        <v>2152</v>
      </c>
      <c r="B1575" s="1">
        <v>25</v>
      </c>
      <c r="C1575" s="1">
        <v>25</v>
      </c>
    </row>
    <row r="1576" spans="1:3">
      <c r="A1576" s="1" t="s">
        <v>2153</v>
      </c>
      <c r="B1576" s="1">
        <v>5</v>
      </c>
      <c r="C1576" s="1">
        <v>5</v>
      </c>
    </row>
    <row r="1577" spans="1:3">
      <c r="A1577" s="1" t="s">
        <v>2154</v>
      </c>
      <c r="B1577" s="1">
        <v>-15</v>
      </c>
      <c r="C1577" s="1">
        <v>-15</v>
      </c>
    </row>
    <row r="1578" spans="1:3">
      <c r="A1578" s="1" t="s">
        <v>2155</v>
      </c>
      <c r="B1578" s="1">
        <v>-35</v>
      </c>
      <c r="C1578" s="1">
        <v>-35</v>
      </c>
    </row>
    <row r="1579" spans="1:3">
      <c r="A1579" s="1" t="s">
        <v>2156</v>
      </c>
      <c r="B1579" s="1">
        <v>-55</v>
      </c>
      <c r="C1579" s="1">
        <v>-55</v>
      </c>
    </row>
    <row r="1580" spans="1:3">
      <c r="A1580" s="1" t="s">
        <v>2157</v>
      </c>
      <c r="B1580" s="1">
        <v>-75</v>
      </c>
      <c r="C1580" s="1">
        <v>-75</v>
      </c>
    </row>
    <row r="1581" spans="1:3">
      <c r="A1581" s="1" t="s">
        <v>2158</v>
      </c>
      <c r="B1581" s="1">
        <v>105</v>
      </c>
      <c r="C1581" s="1">
        <v>176</v>
      </c>
    </row>
    <row r="1582" spans="1:3">
      <c r="A1582" s="1" t="s">
        <v>2159</v>
      </c>
      <c r="B1582" s="1">
        <v>85</v>
      </c>
      <c r="C1582" s="1">
        <v>176</v>
      </c>
    </row>
    <row r="1583" spans="1:3">
      <c r="A1583" s="1" t="s">
        <v>2160</v>
      </c>
      <c r="B1583" s="1">
        <v>65</v>
      </c>
      <c r="C1583" s="1">
        <v>176</v>
      </c>
    </row>
    <row r="1584" spans="1:3">
      <c r="A1584" s="1" t="s">
        <v>2161</v>
      </c>
      <c r="B1584" s="1">
        <v>45</v>
      </c>
      <c r="C1584" s="1">
        <v>176</v>
      </c>
    </row>
    <row r="1585" spans="1:3">
      <c r="A1585" s="1" t="s">
        <v>2162</v>
      </c>
      <c r="B1585" s="1">
        <v>25</v>
      </c>
      <c r="C1585" s="1">
        <v>176</v>
      </c>
    </row>
    <row r="1586" spans="1:3">
      <c r="A1586" s="1" t="s">
        <v>2163</v>
      </c>
      <c r="B1586" s="1">
        <v>5</v>
      </c>
      <c r="C1586" s="1">
        <v>176</v>
      </c>
    </row>
    <row r="1587" spans="1:3">
      <c r="A1587" s="1" t="s">
        <v>2164</v>
      </c>
      <c r="B1587" s="1">
        <v>-15</v>
      </c>
      <c r="C1587" s="1">
        <v>176</v>
      </c>
    </row>
    <row r="1588" spans="1:3">
      <c r="A1588" s="1" t="s">
        <v>2165</v>
      </c>
      <c r="B1588" s="1">
        <v>-35</v>
      </c>
      <c r="C1588" s="1">
        <v>176</v>
      </c>
    </row>
    <row r="1589" spans="1:3">
      <c r="A1589" s="1" t="s">
        <v>2166</v>
      </c>
      <c r="B1589" s="1">
        <v>-55</v>
      </c>
      <c r="C1589" s="1">
        <v>176</v>
      </c>
    </row>
    <row r="1590" spans="1:3">
      <c r="A1590" s="1" t="s">
        <v>2167</v>
      </c>
      <c r="B1590" s="1">
        <v>-75</v>
      </c>
      <c r="C1590" s="1">
        <v>176</v>
      </c>
    </row>
    <row r="1591" spans="1:3">
      <c r="A1591" s="1" t="s">
        <v>2168</v>
      </c>
      <c r="B1591" s="1">
        <v>-95</v>
      </c>
      <c r="C1591" s="1">
        <v>176</v>
      </c>
    </row>
    <row r="1592" spans="1:3">
      <c r="A1592" s="1" t="s">
        <v>2169</v>
      </c>
      <c r="B1592" s="1">
        <v>-115</v>
      </c>
      <c r="C1592" s="1">
        <v>176</v>
      </c>
    </row>
    <row r="1593" spans="1:3">
      <c r="A1593" s="1" t="s">
        <v>2170</v>
      </c>
      <c r="B1593" s="1">
        <v>-135</v>
      </c>
      <c r="C1593" s="1">
        <v>176</v>
      </c>
    </row>
    <row r="1594" spans="1:3">
      <c r="A1594" s="1" t="s">
        <v>2171</v>
      </c>
      <c r="B1594" s="1">
        <v>-155</v>
      </c>
      <c r="C1594" s="1">
        <v>176</v>
      </c>
    </row>
    <row r="1595" spans="1:3">
      <c r="A1595" s="1" t="s">
        <v>2172</v>
      </c>
      <c r="B1595" s="1">
        <v>125</v>
      </c>
      <c r="C1595" s="1">
        <v>156</v>
      </c>
    </row>
    <row r="1596" spans="1:3">
      <c r="A1596" s="1" t="s">
        <v>2173</v>
      </c>
      <c r="B1596" s="1">
        <v>125</v>
      </c>
      <c r="C1596" s="1">
        <v>136</v>
      </c>
    </row>
    <row r="1597" spans="1:3">
      <c r="A1597" s="1" t="s">
        <v>2174</v>
      </c>
      <c r="B1597" s="1">
        <v>125</v>
      </c>
      <c r="C1597" s="1">
        <v>116</v>
      </c>
    </row>
    <row r="1598" spans="1:3">
      <c r="A1598" s="1" t="s">
        <v>2175</v>
      </c>
      <c r="B1598" s="1">
        <v>125</v>
      </c>
      <c r="C1598" s="1">
        <v>96</v>
      </c>
    </row>
    <row r="1599" spans="1:3">
      <c r="A1599" s="1" t="s">
        <v>2176</v>
      </c>
      <c r="B1599" s="1">
        <v>125</v>
      </c>
      <c r="C1599" s="1">
        <v>76</v>
      </c>
    </row>
    <row r="1600" spans="1:3">
      <c r="A1600" s="1" t="s">
        <v>2177</v>
      </c>
      <c r="B1600" s="1">
        <v>125</v>
      </c>
      <c r="C1600" s="1">
        <v>56</v>
      </c>
    </row>
    <row r="1601" spans="1:3">
      <c r="A1601" s="1" t="s">
        <v>2178</v>
      </c>
      <c r="B1601" s="1">
        <v>125</v>
      </c>
      <c r="C1601" s="1">
        <v>36</v>
      </c>
    </row>
    <row r="1602" spans="1:3">
      <c r="A1602" s="1" t="s">
        <v>2179</v>
      </c>
      <c r="B1602" s="1">
        <v>125</v>
      </c>
      <c r="C1602" s="1">
        <v>16</v>
      </c>
    </row>
    <row r="1603" spans="1:3">
      <c r="A1603" s="1" t="s">
        <v>2180</v>
      </c>
      <c r="B1603" s="1">
        <v>125</v>
      </c>
      <c r="C1603" s="1">
        <v>-4</v>
      </c>
    </row>
    <row r="1604" spans="1:3">
      <c r="A1604" s="1" t="s">
        <v>2181</v>
      </c>
      <c r="B1604" s="1">
        <v>125</v>
      </c>
      <c r="C1604" s="1">
        <v>-24</v>
      </c>
    </row>
    <row r="1605" spans="1:3">
      <c r="A1605" s="1" t="s">
        <v>2182</v>
      </c>
      <c r="B1605" s="1">
        <v>125</v>
      </c>
      <c r="C1605" s="1">
        <v>-44</v>
      </c>
    </row>
    <row r="1606" spans="1:3">
      <c r="A1606" s="1" t="s">
        <v>2183</v>
      </c>
      <c r="B1606" s="1">
        <v>125</v>
      </c>
      <c r="C1606" s="1">
        <v>-64</v>
      </c>
    </row>
    <row r="1607" spans="1:3">
      <c r="A1607" s="1" t="s">
        <v>2184</v>
      </c>
      <c r="B1607" s="1">
        <v>125</v>
      </c>
      <c r="C1607" s="1">
        <v>-84</v>
      </c>
    </row>
    <row r="1608" spans="1:3">
      <c r="A1608" s="1" t="s">
        <v>2185</v>
      </c>
      <c r="B1608" s="1">
        <v>125</v>
      </c>
      <c r="C1608" s="1">
        <v>-104</v>
      </c>
    </row>
    <row r="1609" spans="1:3">
      <c r="A1609" s="1" t="s">
        <v>2186</v>
      </c>
    </row>
    <row r="1610" spans="1:3">
      <c r="A1610" s="1" t="s">
        <v>2188</v>
      </c>
    </row>
    <row r="1611" spans="1:3">
      <c r="A1611" s="1" t="s">
        <v>2189</v>
      </c>
    </row>
    <row r="1612" spans="1:3">
      <c r="A1612" s="1" t="s">
        <v>2190</v>
      </c>
    </row>
    <row r="1613" spans="1:3">
      <c r="A1613" s="1" t="s">
        <v>2191</v>
      </c>
    </row>
    <row r="1614" spans="1:3">
      <c r="A1614" s="1" t="s">
        <v>2192</v>
      </c>
    </row>
    <row r="1615" spans="1:3">
      <c r="A1615" s="1" t="s">
        <v>2193</v>
      </c>
    </row>
    <row r="1616" spans="1:3">
      <c r="A1616" s="1" t="s">
        <v>2194</v>
      </c>
    </row>
    <row r="1617" spans="1:3">
      <c r="A1617" s="1" t="s">
        <v>2195</v>
      </c>
    </row>
    <row r="1618" spans="1:3">
      <c r="A1618" s="1" t="s">
        <v>2196</v>
      </c>
    </row>
    <row r="1619" spans="1:3">
      <c r="A1619" s="1" t="s">
        <v>2197</v>
      </c>
    </row>
    <row r="1620" spans="1:3">
      <c r="A1620" s="1" t="s">
        <v>2198</v>
      </c>
    </row>
    <row r="1621" spans="1:3">
      <c r="A1621" s="1" t="s">
        <v>2199</v>
      </c>
    </row>
    <row r="1622" spans="1:3">
      <c r="A1622" s="1" t="s">
        <v>2200</v>
      </c>
    </row>
    <row r="1623" spans="1:3">
      <c r="A1623" s="1" t="s">
        <v>2201</v>
      </c>
    </row>
    <row r="1624" spans="1:3">
      <c r="A1624" s="2" t="s">
        <v>2202</v>
      </c>
      <c r="B1624" s="2">
        <v>88</v>
      </c>
      <c r="C1624" s="2">
        <v>125</v>
      </c>
    </row>
    <row r="1625" spans="1:3">
      <c r="A1625" s="1" t="s">
        <v>2205</v>
      </c>
      <c r="B1625" s="1">
        <v>29</v>
      </c>
      <c r="C1625" s="1">
        <v>125</v>
      </c>
    </row>
    <row r="1626" spans="1:3">
      <c r="A1626" s="1" t="s">
        <v>2206</v>
      </c>
      <c r="B1626" s="1">
        <v>88</v>
      </c>
      <c r="C1626" s="1">
        <v>88</v>
      </c>
    </row>
    <row r="1627" spans="1:3">
      <c r="A1627" s="1" t="s">
        <v>2207</v>
      </c>
      <c r="B1627" s="1">
        <v>88</v>
      </c>
      <c r="C1627" s="1">
        <v>44</v>
      </c>
    </row>
    <row r="1628" spans="1:3">
      <c r="A1628" s="1" t="s">
        <v>2208</v>
      </c>
      <c r="B1628" s="1">
        <v>88</v>
      </c>
      <c r="C1628" s="1">
        <v>31</v>
      </c>
    </row>
    <row r="1629" spans="1:3">
      <c r="A1629" s="1" t="s">
        <v>2209</v>
      </c>
      <c r="B1629" s="1">
        <v>29</v>
      </c>
      <c r="C1629" s="1">
        <v>44</v>
      </c>
    </row>
    <row r="1630" spans="1:3">
      <c r="A1630" s="1" t="s">
        <v>2210</v>
      </c>
      <c r="B1630" s="1">
        <v>44</v>
      </c>
      <c r="C1630" s="1">
        <v>44</v>
      </c>
    </row>
    <row r="1631" spans="1:3">
      <c r="A1631" s="1" t="s">
        <v>2211</v>
      </c>
      <c r="B1631" s="1">
        <v>88</v>
      </c>
      <c r="C1631" s="1">
        <v>65</v>
      </c>
    </row>
    <row r="1632" spans="1:3">
      <c r="A1632" s="1" t="s">
        <v>2212</v>
      </c>
      <c r="B1632" s="1">
        <v>29</v>
      </c>
      <c r="C1632" s="1">
        <v>85</v>
      </c>
    </row>
    <row r="1633" spans="1:3">
      <c r="A1633" s="1" t="s">
        <v>2213</v>
      </c>
      <c r="B1633" s="1">
        <v>29</v>
      </c>
      <c r="C1633" s="1">
        <v>65</v>
      </c>
    </row>
    <row r="1634" spans="1:3">
      <c r="A1634" s="1" t="s">
        <v>2214</v>
      </c>
      <c r="B1634" s="1">
        <v>88</v>
      </c>
      <c r="C1634" s="1">
        <v>85</v>
      </c>
    </row>
    <row r="1635" spans="1:3">
      <c r="A1635" s="1" t="s">
        <v>2215</v>
      </c>
      <c r="B1635" s="1">
        <v>68</v>
      </c>
      <c r="C1635" s="1">
        <v>105</v>
      </c>
    </row>
    <row r="1636" spans="1:3">
      <c r="A1636" s="1" t="s">
        <v>2216</v>
      </c>
      <c r="B1636" s="1">
        <v>48</v>
      </c>
      <c r="C1636" s="1">
        <v>85</v>
      </c>
    </row>
    <row r="1637" spans="1:3">
      <c r="A1637" s="1" t="s">
        <v>2217</v>
      </c>
      <c r="B1637" s="1">
        <v>28</v>
      </c>
      <c r="C1637" s="1">
        <v>65</v>
      </c>
    </row>
    <row r="1638" spans="1:3">
      <c r="A1638" s="1" t="s">
        <v>2218</v>
      </c>
      <c r="B1638" s="1">
        <v>8</v>
      </c>
      <c r="C1638" s="1">
        <v>45</v>
      </c>
    </row>
    <row r="1639" spans="1:3">
      <c r="A1639" s="1" t="s">
        <v>2219</v>
      </c>
      <c r="B1639" s="1">
        <v>-12</v>
      </c>
      <c r="C1639" s="1">
        <v>25</v>
      </c>
    </row>
    <row r="1640" spans="1:3">
      <c r="A1640" s="1" t="s">
        <v>2220</v>
      </c>
      <c r="B1640" s="1">
        <v>-32</v>
      </c>
      <c r="C1640" s="1">
        <v>5</v>
      </c>
    </row>
    <row r="1641" spans="1:3">
      <c r="A1641" s="1" t="s">
        <v>2221</v>
      </c>
      <c r="B1641" s="1">
        <v>-52</v>
      </c>
      <c r="C1641" s="1">
        <v>-15</v>
      </c>
    </row>
    <row r="1642" spans="1:3">
      <c r="A1642" s="1" t="s">
        <v>2222</v>
      </c>
      <c r="B1642" s="1">
        <v>68</v>
      </c>
      <c r="C1642" s="1">
        <v>68</v>
      </c>
    </row>
    <row r="1643" spans="1:3">
      <c r="A1643" s="1" t="s">
        <v>2223</v>
      </c>
      <c r="B1643" s="1">
        <v>48</v>
      </c>
      <c r="C1643" s="1">
        <v>48</v>
      </c>
    </row>
    <row r="1644" spans="1:3">
      <c r="A1644" s="1" t="s">
        <v>2224</v>
      </c>
      <c r="B1644" s="1">
        <v>28</v>
      </c>
      <c r="C1644" s="1">
        <v>28</v>
      </c>
    </row>
    <row r="1645" spans="1:3">
      <c r="A1645" s="1" t="s">
        <v>2225</v>
      </c>
      <c r="B1645" s="1">
        <v>8</v>
      </c>
      <c r="C1645" s="1">
        <v>8</v>
      </c>
    </row>
    <row r="1646" spans="1:3">
      <c r="A1646" s="1" t="s">
        <v>2226</v>
      </c>
      <c r="B1646" s="1">
        <v>-12</v>
      </c>
      <c r="C1646" s="1">
        <v>-12</v>
      </c>
    </row>
    <row r="1647" spans="1:3">
      <c r="A1647" s="1" t="s">
        <v>2227</v>
      </c>
      <c r="B1647" s="1">
        <v>-32</v>
      </c>
      <c r="C1647" s="1">
        <v>-32</v>
      </c>
    </row>
    <row r="1648" spans="1:3">
      <c r="A1648" s="1" t="s">
        <v>2228</v>
      </c>
      <c r="B1648" s="1">
        <v>-52</v>
      </c>
      <c r="C1648" s="1">
        <v>-52</v>
      </c>
    </row>
    <row r="1649" spans="1:3">
      <c r="A1649" s="1" t="s">
        <v>2229</v>
      </c>
      <c r="B1649" s="1">
        <v>-72</v>
      </c>
      <c r="C1649" s="1">
        <v>-72</v>
      </c>
    </row>
    <row r="1650" spans="1:3">
      <c r="A1650" s="1" t="s">
        <v>2230</v>
      </c>
      <c r="B1650" s="1">
        <v>-92</v>
      </c>
      <c r="C1650" s="1">
        <v>-92</v>
      </c>
    </row>
    <row r="1651" spans="1:3">
      <c r="A1651" s="1" t="s">
        <v>2231</v>
      </c>
      <c r="B1651" s="1">
        <v>-112</v>
      </c>
      <c r="C1651" s="1">
        <v>-112</v>
      </c>
    </row>
    <row r="1652" spans="1:3">
      <c r="A1652" s="1" t="s">
        <v>2232</v>
      </c>
      <c r="B1652" s="1">
        <v>68</v>
      </c>
      <c r="C1652" s="1">
        <v>125</v>
      </c>
    </row>
    <row r="1653" spans="1:3">
      <c r="A1653" s="1" t="s">
        <v>2233</v>
      </c>
      <c r="B1653" s="1">
        <v>48</v>
      </c>
      <c r="C1653" s="1">
        <v>125</v>
      </c>
    </row>
    <row r="1654" spans="1:3">
      <c r="A1654" s="1" t="s">
        <v>2234</v>
      </c>
      <c r="B1654" s="1">
        <v>28</v>
      </c>
      <c r="C1654" s="1">
        <v>125</v>
      </c>
    </row>
    <row r="1655" spans="1:3">
      <c r="A1655" s="1" t="s">
        <v>2235</v>
      </c>
      <c r="B1655" s="1">
        <v>8</v>
      </c>
      <c r="C1655" s="1">
        <v>125</v>
      </c>
    </row>
    <row r="1656" spans="1:3">
      <c r="A1656" s="1" t="s">
        <v>2236</v>
      </c>
      <c r="B1656" s="1">
        <v>-12</v>
      </c>
      <c r="C1656" s="1">
        <v>125</v>
      </c>
    </row>
    <row r="1657" spans="1:3">
      <c r="A1657" s="1" t="s">
        <v>2237</v>
      </c>
      <c r="B1657" s="1">
        <v>-32</v>
      </c>
      <c r="C1657" s="1">
        <v>125</v>
      </c>
    </row>
    <row r="1658" spans="1:3">
      <c r="A1658" s="1" t="s">
        <v>2238</v>
      </c>
      <c r="B1658" s="1">
        <v>-52</v>
      </c>
      <c r="C1658" s="1">
        <v>125</v>
      </c>
    </row>
    <row r="1659" spans="1:3">
      <c r="A1659" s="1" t="s">
        <v>2239</v>
      </c>
      <c r="B1659" s="1">
        <v>-72</v>
      </c>
      <c r="C1659" s="1">
        <v>125</v>
      </c>
    </row>
    <row r="1660" spans="1:3">
      <c r="A1660" s="1" t="s">
        <v>2240</v>
      </c>
      <c r="B1660" s="1">
        <v>-92</v>
      </c>
      <c r="C1660" s="1">
        <v>125</v>
      </c>
    </row>
    <row r="1661" spans="1:3">
      <c r="A1661" s="1" t="s">
        <v>2241</v>
      </c>
      <c r="B1661" s="1">
        <v>-112</v>
      </c>
      <c r="C1661" s="1">
        <v>125</v>
      </c>
    </row>
    <row r="1662" spans="1:3">
      <c r="A1662" s="1" t="s">
        <v>2242</v>
      </c>
      <c r="B1662" s="1">
        <v>-132</v>
      </c>
      <c r="C1662" s="1">
        <v>125</v>
      </c>
    </row>
    <row r="1663" spans="1:3">
      <c r="A1663" s="1" t="s">
        <v>2243</v>
      </c>
      <c r="B1663" s="1">
        <v>-152</v>
      </c>
      <c r="C1663" s="1">
        <v>125</v>
      </c>
    </row>
    <row r="1664" spans="1:3">
      <c r="A1664" s="1" t="s">
        <v>2244</v>
      </c>
      <c r="B1664" s="1">
        <v>-172</v>
      </c>
      <c r="C1664" s="1">
        <v>125</v>
      </c>
    </row>
    <row r="1665" spans="1:3">
      <c r="A1665" s="1" t="s">
        <v>2245</v>
      </c>
      <c r="B1665" s="1">
        <v>-192</v>
      </c>
      <c r="C1665" s="1">
        <v>125</v>
      </c>
    </row>
    <row r="1666" spans="1:3">
      <c r="A1666" s="1" t="s">
        <v>2246</v>
      </c>
      <c r="B1666" s="1">
        <v>88</v>
      </c>
      <c r="C1666" s="1">
        <v>105</v>
      </c>
    </row>
    <row r="1667" spans="1:3">
      <c r="A1667" s="1" t="s">
        <v>2247</v>
      </c>
      <c r="B1667" s="1">
        <v>88</v>
      </c>
      <c r="C1667" s="1">
        <v>85</v>
      </c>
    </row>
    <row r="1668" spans="1:3">
      <c r="A1668" s="1" t="s">
        <v>2248</v>
      </c>
      <c r="B1668" s="1">
        <v>88</v>
      </c>
      <c r="C1668" s="1">
        <v>65</v>
      </c>
    </row>
    <row r="1669" spans="1:3">
      <c r="A1669" s="1" t="s">
        <v>2249</v>
      </c>
      <c r="B1669" s="1">
        <v>88</v>
      </c>
      <c r="C1669" s="1">
        <v>45</v>
      </c>
    </row>
    <row r="1670" spans="1:3">
      <c r="A1670" s="1" t="s">
        <v>2250</v>
      </c>
      <c r="B1670" s="1">
        <v>88</v>
      </c>
      <c r="C1670" s="1">
        <v>25</v>
      </c>
    </row>
    <row r="1671" spans="1:3">
      <c r="A1671" s="1" t="s">
        <v>2251</v>
      </c>
      <c r="B1671" s="1">
        <v>88</v>
      </c>
      <c r="C1671" s="1">
        <v>5</v>
      </c>
    </row>
    <row r="1672" spans="1:3">
      <c r="A1672" s="1" t="s">
        <v>2252</v>
      </c>
      <c r="B1672" s="1">
        <v>88</v>
      </c>
      <c r="C1672" s="1">
        <v>-15</v>
      </c>
    </row>
    <row r="1673" spans="1:3">
      <c r="A1673" s="1" t="s">
        <v>2253</v>
      </c>
      <c r="B1673" s="1">
        <v>88</v>
      </c>
      <c r="C1673" s="1">
        <v>-35</v>
      </c>
    </row>
    <row r="1674" spans="1:3">
      <c r="A1674" s="1" t="s">
        <v>2254</v>
      </c>
      <c r="B1674" s="1">
        <v>88</v>
      </c>
      <c r="C1674" s="1">
        <v>-55</v>
      </c>
    </row>
    <row r="1675" spans="1:3">
      <c r="A1675" s="1" t="s">
        <v>2255</v>
      </c>
      <c r="B1675" s="1">
        <v>88</v>
      </c>
      <c r="C1675" s="1">
        <v>-75</v>
      </c>
    </row>
    <row r="1676" spans="1:3">
      <c r="A1676" s="1" t="s">
        <v>2256</v>
      </c>
      <c r="B1676" s="1">
        <v>88</v>
      </c>
      <c r="C1676" s="1">
        <v>-95</v>
      </c>
    </row>
    <row r="1677" spans="1:3">
      <c r="A1677" s="1" t="s">
        <v>2257</v>
      </c>
      <c r="B1677" s="1">
        <v>88</v>
      </c>
      <c r="C1677" s="1">
        <v>-115</v>
      </c>
    </row>
    <row r="1678" spans="1:3">
      <c r="A1678" s="1" t="s">
        <v>2258</v>
      </c>
      <c r="B1678" s="1">
        <v>88</v>
      </c>
      <c r="C1678" s="1">
        <v>-135</v>
      </c>
    </row>
    <row r="1679" spans="1:3">
      <c r="A1679" s="1" t="s">
        <v>2259</v>
      </c>
      <c r="B1679" s="1">
        <v>88</v>
      </c>
      <c r="C1679" s="1">
        <v>-155</v>
      </c>
    </row>
    <row r="1680" spans="1:3">
      <c r="A1680" s="1" t="s">
        <v>2260</v>
      </c>
    </row>
    <row r="1681" spans="1:3">
      <c r="A1681" s="1" t="s">
        <v>2262</v>
      </c>
    </row>
    <row r="1682" spans="1:3">
      <c r="A1682" s="1" t="s">
        <v>2263</v>
      </c>
    </row>
    <row r="1683" spans="1:3">
      <c r="A1683" s="1" t="s">
        <v>2264</v>
      </c>
    </row>
    <row r="1684" spans="1:3">
      <c r="A1684" s="1" t="s">
        <v>2265</v>
      </c>
    </row>
    <row r="1685" spans="1:3">
      <c r="A1685" s="1" t="s">
        <v>2266</v>
      </c>
    </row>
    <row r="1686" spans="1:3">
      <c r="A1686" s="1" t="s">
        <v>2267</v>
      </c>
    </row>
    <row r="1687" spans="1:3">
      <c r="A1687" s="1" t="s">
        <v>2268</v>
      </c>
    </row>
    <row r="1688" spans="1:3">
      <c r="A1688" s="1" t="s">
        <v>2269</v>
      </c>
    </row>
    <row r="1689" spans="1:3">
      <c r="A1689" s="1" t="s">
        <v>2270</v>
      </c>
    </row>
    <row r="1690" spans="1:3">
      <c r="A1690" s="1" t="s">
        <v>2271</v>
      </c>
    </row>
    <row r="1691" spans="1:3">
      <c r="A1691" s="1" t="s">
        <v>2272</v>
      </c>
    </row>
    <row r="1692" spans="1:3">
      <c r="A1692" s="1" t="s">
        <v>2273</v>
      </c>
    </row>
    <row r="1693" spans="1:3">
      <c r="A1693" s="1" t="s">
        <v>2274</v>
      </c>
    </row>
    <row r="1694" spans="1:3">
      <c r="A1694" s="1" t="s">
        <v>2275</v>
      </c>
    </row>
    <row r="1695" spans="1:3">
      <c r="A1695" s="2" t="s">
        <v>2276</v>
      </c>
      <c r="B1695" s="2">
        <v>62</v>
      </c>
      <c r="C1695" s="2">
        <v>88</v>
      </c>
    </row>
    <row r="1696" spans="1:3">
      <c r="A1696" s="1" t="s">
        <v>2279</v>
      </c>
      <c r="B1696" s="1">
        <v>21</v>
      </c>
      <c r="C1696" s="1">
        <v>88</v>
      </c>
    </row>
    <row r="1697" spans="1:3">
      <c r="A1697" s="1" t="s">
        <v>2280</v>
      </c>
      <c r="B1697" s="1">
        <v>62</v>
      </c>
      <c r="C1697" s="1">
        <v>62</v>
      </c>
    </row>
    <row r="1698" spans="1:3">
      <c r="A1698" s="1" t="s">
        <v>2281</v>
      </c>
      <c r="B1698" s="1">
        <v>62</v>
      </c>
      <c r="C1698" s="1">
        <v>31</v>
      </c>
    </row>
    <row r="1699" spans="1:3">
      <c r="A1699" s="1" t="s">
        <v>2282</v>
      </c>
      <c r="B1699" s="1">
        <v>62</v>
      </c>
      <c r="C1699" s="1">
        <v>22</v>
      </c>
    </row>
    <row r="1700" spans="1:3">
      <c r="A1700" s="1" t="s">
        <v>2283</v>
      </c>
      <c r="B1700" s="1">
        <v>21</v>
      </c>
      <c r="C1700" s="1">
        <v>31</v>
      </c>
    </row>
    <row r="1701" spans="1:3">
      <c r="A1701" s="1" t="s">
        <v>2284</v>
      </c>
      <c r="B1701" s="1">
        <v>31</v>
      </c>
      <c r="C1701" s="1">
        <v>31</v>
      </c>
    </row>
    <row r="1702" spans="1:3">
      <c r="A1702" s="1" t="s">
        <v>2285</v>
      </c>
      <c r="B1702" s="1">
        <v>62</v>
      </c>
      <c r="C1702" s="1">
        <v>28</v>
      </c>
    </row>
    <row r="1703" spans="1:3">
      <c r="A1703" s="1" t="s">
        <v>2286</v>
      </c>
      <c r="B1703" s="1">
        <v>21</v>
      </c>
      <c r="C1703" s="1">
        <v>48</v>
      </c>
    </row>
    <row r="1704" spans="1:3">
      <c r="A1704" s="1" t="s">
        <v>2287</v>
      </c>
      <c r="B1704" s="1">
        <v>21</v>
      </c>
      <c r="C1704" s="1">
        <v>28</v>
      </c>
    </row>
    <row r="1705" spans="1:3">
      <c r="A1705" s="1" t="s">
        <v>2288</v>
      </c>
      <c r="B1705" s="1">
        <v>62</v>
      </c>
      <c r="C1705" s="1">
        <v>48</v>
      </c>
    </row>
    <row r="1706" spans="1:3">
      <c r="A1706" s="1" t="s">
        <v>2289</v>
      </c>
      <c r="B1706" s="1">
        <v>42</v>
      </c>
      <c r="C1706" s="1">
        <v>68</v>
      </c>
    </row>
    <row r="1707" spans="1:3">
      <c r="A1707" s="1" t="s">
        <v>2290</v>
      </c>
      <c r="B1707" s="1">
        <v>22</v>
      </c>
      <c r="C1707" s="1">
        <v>48</v>
      </c>
    </row>
    <row r="1708" spans="1:3">
      <c r="A1708" s="1" t="s">
        <v>2291</v>
      </c>
      <c r="B1708" s="1">
        <v>2</v>
      </c>
      <c r="C1708" s="1">
        <v>28</v>
      </c>
    </row>
    <row r="1709" spans="1:3">
      <c r="A1709" s="1" t="s">
        <v>2292</v>
      </c>
      <c r="B1709" s="1">
        <v>-18</v>
      </c>
      <c r="C1709" s="1">
        <v>8</v>
      </c>
    </row>
    <row r="1710" spans="1:3">
      <c r="A1710" s="1" t="s">
        <v>2293</v>
      </c>
      <c r="B1710" s="1">
        <v>-38</v>
      </c>
      <c r="C1710" s="1">
        <v>-12</v>
      </c>
    </row>
    <row r="1711" spans="1:3">
      <c r="A1711" s="1" t="s">
        <v>2294</v>
      </c>
      <c r="B1711" s="1">
        <v>-58</v>
      </c>
      <c r="C1711" s="1">
        <v>-32</v>
      </c>
    </row>
    <row r="1712" spans="1:3">
      <c r="A1712" s="1" t="s">
        <v>2295</v>
      </c>
      <c r="B1712" s="1">
        <v>-78</v>
      </c>
      <c r="C1712" s="1">
        <v>-52</v>
      </c>
    </row>
    <row r="1713" spans="1:3">
      <c r="A1713" s="1" t="s">
        <v>2296</v>
      </c>
      <c r="B1713" s="1">
        <v>42</v>
      </c>
      <c r="C1713" s="1">
        <v>42</v>
      </c>
    </row>
    <row r="1714" spans="1:3">
      <c r="A1714" s="1" t="s">
        <v>2297</v>
      </c>
      <c r="B1714" s="1">
        <v>22</v>
      </c>
      <c r="C1714" s="1">
        <v>22</v>
      </c>
    </row>
    <row r="1715" spans="1:3">
      <c r="A1715" s="1" t="s">
        <v>2298</v>
      </c>
      <c r="B1715" s="1">
        <v>2</v>
      </c>
      <c r="C1715" s="1">
        <v>2</v>
      </c>
    </row>
    <row r="1716" spans="1:3">
      <c r="A1716" s="1" t="s">
        <v>2299</v>
      </c>
      <c r="B1716" s="1">
        <v>-18</v>
      </c>
      <c r="C1716" s="1">
        <v>-18</v>
      </c>
    </row>
    <row r="1717" spans="1:3">
      <c r="A1717" s="1" t="s">
        <v>2300</v>
      </c>
      <c r="B1717" s="1">
        <v>-38</v>
      </c>
      <c r="C1717" s="1">
        <v>-38</v>
      </c>
    </row>
    <row r="1718" spans="1:3">
      <c r="A1718" s="1" t="s">
        <v>2301</v>
      </c>
      <c r="B1718" s="1">
        <v>-58</v>
      </c>
      <c r="C1718" s="1">
        <v>-58</v>
      </c>
    </row>
    <row r="1719" spans="1:3">
      <c r="A1719" s="1" t="s">
        <v>2302</v>
      </c>
      <c r="B1719" s="1">
        <v>-78</v>
      </c>
      <c r="C1719" s="1">
        <v>-78</v>
      </c>
    </row>
    <row r="1720" spans="1:3">
      <c r="A1720" s="1" t="s">
        <v>2303</v>
      </c>
      <c r="B1720" s="1">
        <v>-98</v>
      </c>
      <c r="C1720" s="1">
        <v>-98</v>
      </c>
    </row>
    <row r="1721" spans="1:3">
      <c r="A1721" s="1" t="s">
        <v>2304</v>
      </c>
      <c r="B1721" s="1">
        <v>-118</v>
      </c>
      <c r="C1721" s="1">
        <v>-118</v>
      </c>
    </row>
    <row r="1722" spans="1:3">
      <c r="A1722" s="1" t="s">
        <v>2305</v>
      </c>
      <c r="B1722" s="1">
        <v>-138</v>
      </c>
      <c r="C1722" s="1">
        <v>-138</v>
      </c>
    </row>
    <row r="1723" spans="1:3">
      <c r="A1723" s="1" t="s">
        <v>2306</v>
      </c>
      <c r="B1723" s="1">
        <v>42</v>
      </c>
      <c r="C1723" s="1">
        <v>88</v>
      </c>
    </row>
    <row r="1724" spans="1:3">
      <c r="A1724" s="1" t="s">
        <v>2307</v>
      </c>
      <c r="B1724" s="1">
        <v>22</v>
      </c>
      <c r="C1724" s="1">
        <v>88</v>
      </c>
    </row>
    <row r="1725" spans="1:3">
      <c r="A1725" s="1" t="s">
        <v>2308</v>
      </c>
      <c r="B1725" s="1">
        <v>2</v>
      </c>
      <c r="C1725" s="1">
        <v>88</v>
      </c>
    </row>
    <row r="1726" spans="1:3">
      <c r="A1726" s="1" t="s">
        <v>2309</v>
      </c>
      <c r="B1726" s="1">
        <v>-18</v>
      </c>
      <c r="C1726" s="1">
        <v>88</v>
      </c>
    </row>
    <row r="1727" spans="1:3">
      <c r="A1727" s="1" t="s">
        <v>2310</v>
      </c>
      <c r="B1727" s="1">
        <v>-38</v>
      </c>
      <c r="C1727" s="1">
        <v>88</v>
      </c>
    </row>
    <row r="1728" spans="1:3">
      <c r="A1728" s="1" t="s">
        <v>2311</v>
      </c>
      <c r="B1728" s="1">
        <v>-58</v>
      </c>
      <c r="C1728" s="1">
        <v>88</v>
      </c>
    </row>
    <row r="1729" spans="1:3">
      <c r="A1729" s="1" t="s">
        <v>2312</v>
      </c>
      <c r="B1729" s="1">
        <v>-78</v>
      </c>
      <c r="C1729" s="1">
        <v>88</v>
      </c>
    </row>
    <row r="1730" spans="1:3">
      <c r="A1730" s="1" t="s">
        <v>2313</v>
      </c>
      <c r="B1730" s="1">
        <v>-98</v>
      </c>
      <c r="C1730" s="1">
        <v>88</v>
      </c>
    </row>
    <row r="1731" spans="1:3">
      <c r="A1731" s="1" t="s">
        <v>2314</v>
      </c>
      <c r="B1731" s="1">
        <v>-118</v>
      </c>
      <c r="C1731" s="1">
        <v>88</v>
      </c>
    </row>
    <row r="1732" spans="1:3">
      <c r="A1732" s="1" t="s">
        <v>2315</v>
      </c>
      <c r="B1732" s="1">
        <v>-138</v>
      </c>
      <c r="C1732" s="1">
        <v>88</v>
      </c>
    </row>
    <row r="1733" spans="1:3">
      <c r="A1733" s="1" t="s">
        <v>2316</v>
      </c>
      <c r="B1733" s="1">
        <v>-158</v>
      </c>
      <c r="C1733" s="1">
        <v>88</v>
      </c>
    </row>
    <row r="1734" spans="1:3">
      <c r="A1734" s="1" t="s">
        <v>2317</v>
      </c>
      <c r="B1734" s="1">
        <v>-178</v>
      </c>
      <c r="C1734" s="1">
        <v>88</v>
      </c>
    </row>
    <row r="1735" spans="1:3">
      <c r="A1735" s="1" t="s">
        <v>2318</v>
      </c>
      <c r="B1735" s="1">
        <v>-198</v>
      </c>
      <c r="C1735" s="1">
        <v>88</v>
      </c>
    </row>
    <row r="1736" spans="1:3">
      <c r="A1736" s="1" t="s">
        <v>2319</v>
      </c>
      <c r="B1736" s="1">
        <v>-218</v>
      </c>
      <c r="C1736" s="1">
        <v>88</v>
      </c>
    </row>
    <row r="1737" spans="1:3">
      <c r="A1737" s="1" t="s">
        <v>2320</v>
      </c>
      <c r="B1737" s="1">
        <v>62</v>
      </c>
      <c r="C1737" s="1">
        <v>68</v>
      </c>
    </row>
    <row r="1738" spans="1:3">
      <c r="A1738" s="1" t="s">
        <v>2321</v>
      </c>
      <c r="B1738" s="1">
        <v>62</v>
      </c>
      <c r="C1738" s="1">
        <v>48</v>
      </c>
    </row>
    <row r="1739" spans="1:3">
      <c r="A1739" s="1" t="s">
        <v>2322</v>
      </c>
      <c r="B1739" s="1">
        <v>62</v>
      </c>
      <c r="C1739" s="1">
        <v>28</v>
      </c>
    </row>
    <row r="1740" spans="1:3">
      <c r="A1740" s="1" t="s">
        <v>2323</v>
      </c>
      <c r="B1740" s="1">
        <v>62</v>
      </c>
      <c r="C1740" s="1">
        <v>8</v>
      </c>
    </row>
    <row r="1741" spans="1:3">
      <c r="A1741" s="1" t="s">
        <v>2324</v>
      </c>
      <c r="B1741" s="1">
        <v>62</v>
      </c>
      <c r="C1741" s="1">
        <v>-12</v>
      </c>
    </row>
    <row r="1742" spans="1:3">
      <c r="A1742" s="1" t="s">
        <v>2325</v>
      </c>
      <c r="B1742" s="1">
        <v>62</v>
      </c>
      <c r="C1742" s="1">
        <v>-32</v>
      </c>
    </row>
    <row r="1743" spans="1:3">
      <c r="A1743" s="1" t="s">
        <v>2326</v>
      </c>
      <c r="B1743" s="1">
        <v>62</v>
      </c>
      <c r="C1743" s="1">
        <v>-52</v>
      </c>
    </row>
    <row r="1744" spans="1:3">
      <c r="A1744" s="1" t="s">
        <v>2327</v>
      </c>
      <c r="B1744" s="1">
        <v>62</v>
      </c>
      <c r="C1744" s="1">
        <v>-72</v>
      </c>
    </row>
    <row r="1745" spans="1:3">
      <c r="A1745" s="1" t="s">
        <v>2328</v>
      </c>
      <c r="B1745" s="1">
        <v>62</v>
      </c>
      <c r="C1745" s="1">
        <v>-92</v>
      </c>
    </row>
    <row r="1746" spans="1:3">
      <c r="A1746" s="1" t="s">
        <v>2329</v>
      </c>
      <c r="B1746" s="1">
        <v>62</v>
      </c>
      <c r="C1746" s="1">
        <v>-112</v>
      </c>
    </row>
    <row r="1747" spans="1:3">
      <c r="A1747" s="1" t="s">
        <v>2330</v>
      </c>
      <c r="B1747" s="1">
        <v>62</v>
      </c>
      <c r="C1747" s="1">
        <v>-132</v>
      </c>
    </row>
    <row r="1748" spans="1:3">
      <c r="A1748" s="1" t="s">
        <v>2331</v>
      </c>
      <c r="B1748" s="1">
        <v>62</v>
      </c>
      <c r="C1748" s="1">
        <v>-152</v>
      </c>
    </row>
    <row r="1749" spans="1:3">
      <c r="A1749" s="1" t="s">
        <v>2332</v>
      </c>
      <c r="B1749" s="1">
        <v>62</v>
      </c>
      <c r="C1749" s="1">
        <v>-172</v>
      </c>
    </row>
    <row r="1750" spans="1:3">
      <c r="A1750" s="1" t="s">
        <v>2333</v>
      </c>
      <c r="B1750" s="1">
        <v>62</v>
      </c>
      <c r="C1750" s="1">
        <v>-192</v>
      </c>
    </row>
    <row r="1751" spans="1:3">
      <c r="A1751" s="1" t="s">
        <v>2334</v>
      </c>
    </row>
    <row r="1752" spans="1:3">
      <c r="A1752" s="1" t="s">
        <v>2336</v>
      </c>
    </row>
    <row r="1753" spans="1:3">
      <c r="A1753" s="1" t="s">
        <v>2337</v>
      </c>
    </row>
    <row r="1754" spans="1:3">
      <c r="A1754" s="1" t="s">
        <v>2338</v>
      </c>
    </row>
    <row r="1755" spans="1:3">
      <c r="A1755" s="1" t="s">
        <v>2339</v>
      </c>
    </row>
    <row r="1756" spans="1:3">
      <c r="A1756" s="1" t="s">
        <v>2340</v>
      </c>
    </row>
    <row r="1757" spans="1:3">
      <c r="A1757" s="1" t="s">
        <v>2341</v>
      </c>
    </row>
    <row r="1758" spans="1:3">
      <c r="A1758" s="1" t="s">
        <v>2342</v>
      </c>
    </row>
    <row r="1759" spans="1:3">
      <c r="A1759" s="1" t="s">
        <v>2343</v>
      </c>
    </row>
    <row r="1760" spans="1:3">
      <c r="A1760" s="1" t="s">
        <v>2344</v>
      </c>
    </row>
    <row r="1761" spans="1:3">
      <c r="A1761" s="1" t="s">
        <v>2345</v>
      </c>
    </row>
    <row r="1762" spans="1:3">
      <c r="A1762" s="1" t="s">
        <v>2346</v>
      </c>
    </row>
    <row r="1763" spans="1:3">
      <c r="A1763" s="1" t="s">
        <v>2347</v>
      </c>
    </row>
    <row r="1764" spans="1:3">
      <c r="A1764" s="1" t="s">
        <v>2348</v>
      </c>
    </row>
    <row r="1765" spans="1:3">
      <c r="A1765" s="1" t="s">
        <v>2349</v>
      </c>
    </row>
    <row r="1766" spans="1:3">
      <c r="A1766" s="2" t="s">
        <v>2350</v>
      </c>
      <c r="B1766" s="2">
        <v>44</v>
      </c>
      <c r="C1766" s="2">
        <v>62</v>
      </c>
    </row>
    <row r="1767" spans="1:3">
      <c r="A1767" s="1" t="s">
        <v>2353</v>
      </c>
      <c r="B1767" s="1">
        <v>15</v>
      </c>
      <c r="C1767" s="1">
        <v>62</v>
      </c>
    </row>
    <row r="1768" spans="1:3">
      <c r="A1768" s="1" t="s">
        <v>2354</v>
      </c>
      <c r="B1768" s="1">
        <v>44</v>
      </c>
      <c r="C1768" s="1">
        <v>44</v>
      </c>
    </row>
    <row r="1769" spans="1:3">
      <c r="A1769" s="1" t="s">
        <v>2355</v>
      </c>
      <c r="B1769" s="1">
        <v>44</v>
      </c>
      <c r="C1769" s="1">
        <v>22</v>
      </c>
    </row>
    <row r="1770" spans="1:3">
      <c r="A1770" s="1" t="s">
        <v>2356</v>
      </c>
      <c r="B1770" s="1">
        <v>44</v>
      </c>
      <c r="C1770" s="1">
        <v>16</v>
      </c>
    </row>
    <row r="1771" spans="1:3">
      <c r="A1771" s="1" t="s">
        <v>2357</v>
      </c>
      <c r="B1771" s="1">
        <v>15</v>
      </c>
      <c r="C1771" s="1">
        <v>22</v>
      </c>
    </row>
    <row r="1772" spans="1:3">
      <c r="A1772" s="1" t="s">
        <v>2358</v>
      </c>
      <c r="B1772" s="1">
        <v>22</v>
      </c>
      <c r="C1772" s="1">
        <v>22</v>
      </c>
    </row>
    <row r="1773" spans="1:3">
      <c r="A1773" s="1" t="s">
        <v>2359</v>
      </c>
      <c r="B1773" s="1">
        <v>44</v>
      </c>
      <c r="C1773" s="1">
        <v>2</v>
      </c>
    </row>
    <row r="1774" spans="1:3">
      <c r="A1774" s="1" t="s">
        <v>2360</v>
      </c>
      <c r="B1774" s="1">
        <v>15</v>
      </c>
      <c r="C1774" s="1">
        <v>22</v>
      </c>
    </row>
    <row r="1775" spans="1:3">
      <c r="A1775" s="1" t="s">
        <v>2361</v>
      </c>
      <c r="B1775" s="1">
        <v>15</v>
      </c>
      <c r="C1775" s="1">
        <v>2</v>
      </c>
    </row>
    <row r="1776" spans="1:3">
      <c r="A1776" s="1" t="s">
        <v>2362</v>
      </c>
      <c r="B1776" s="1">
        <v>44</v>
      </c>
      <c r="C1776" s="1">
        <v>22</v>
      </c>
    </row>
    <row r="1777" spans="1:3">
      <c r="A1777" s="1" t="s">
        <v>2363</v>
      </c>
      <c r="B1777" s="1">
        <v>24</v>
      </c>
      <c r="C1777" s="1">
        <v>42</v>
      </c>
    </row>
    <row r="1778" spans="1:3">
      <c r="A1778" s="1" t="s">
        <v>2364</v>
      </c>
      <c r="B1778" s="1">
        <v>4</v>
      </c>
      <c r="C1778" s="1">
        <v>22</v>
      </c>
    </row>
    <row r="1779" spans="1:3">
      <c r="A1779" s="1" t="s">
        <v>2365</v>
      </c>
      <c r="B1779" s="1">
        <v>-16</v>
      </c>
      <c r="C1779" s="1">
        <v>2</v>
      </c>
    </row>
    <row r="1780" spans="1:3">
      <c r="A1780" s="1" t="s">
        <v>2366</v>
      </c>
      <c r="B1780" s="1">
        <v>-36</v>
      </c>
      <c r="C1780" s="1">
        <v>-18</v>
      </c>
    </row>
    <row r="1781" spans="1:3">
      <c r="A1781" s="1" t="s">
        <v>2367</v>
      </c>
      <c r="B1781" s="1">
        <v>-56</v>
      </c>
      <c r="C1781" s="1">
        <v>-38</v>
      </c>
    </row>
    <row r="1782" spans="1:3">
      <c r="A1782" s="1" t="s">
        <v>2368</v>
      </c>
      <c r="B1782" s="1">
        <v>-76</v>
      </c>
      <c r="C1782" s="1">
        <v>-58</v>
      </c>
    </row>
    <row r="1783" spans="1:3">
      <c r="A1783" s="1" t="s">
        <v>2369</v>
      </c>
      <c r="B1783" s="1">
        <v>-96</v>
      </c>
      <c r="C1783" s="1">
        <v>-78</v>
      </c>
    </row>
    <row r="1784" spans="1:3">
      <c r="A1784" s="1" t="s">
        <v>2370</v>
      </c>
      <c r="B1784" s="1">
        <v>24</v>
      </c>
      <c r="C1784" s="1">
        <v>24</v>
      </c>
    </row>
    <row r="1785" spans="1:3">
      <c r="A1785" s="1" t="s">
        <v>2371</v>
      </c>
      <c r="B1785" s="1">
        <v>4</v>
      </c>
      <c r="C1785" s="1">
        <v>4</v>
      </c>
    </row>
    <row r="1786" spans="1:3">
      <c r="A1786" s="1" t="s">
        <v>2372</v>
      </c>
      <c r="B1786" s="1">
        <v>-16</v>
      </c>
      <c r="C1786" s="1">
        <v>-16</v>
      </c>
    </row>
    <row r="1787" spans="1:3">
      <c r="A1787" s="1" t="s">
        <v>2373</v>
      </c>
      <c r="B1787" s="1">
        <v>-36</v>
      </c>
      <c r="C1787" s="1">
        <v>-36</v>
      </c>
    </row>
    <row r="1788" spans="1:3">
      <c r="A1788" s="1" t="s">
        <v>2374</v>
      </c>
      <c r="B1788" s="1">
        <v>-56</v>
      </c>
      <c r="C1788" s="1">
        <v>-56</v>
      </c>
    </row>
    <row r="1789" spans="1:3">
      <c r="A1789" s="1" t="s">
        <v>2375</v>
      </c>
      <c r="B1789" s="1">
        <v>-76</v>
      </c>
      <c r="C1789" s="1">
        <v>-76</v>
      </c>
    </row>
    <row r="1790" spans="1:3">
      <c r="A1790" s="1" t="s">
        <v>2376</v>
      </c>
      <c r="B1790" s="1">
        <v>-96</v>
      </c>
      <c r="C1790" s="1">
        <v>-96</v>
      </c>
    </row>
    <row r="1791" spans="1:3">
      <c r="A1791" s="1" t="s">
        <v>2377</v>
      </c>
      <c r="B1791" s="1">
        <v>-116</v>
      </c>
      <c r="C1791" s="1">
        <v>-116</v>
      </c>
    </row>
    <row r="1792" spans="1:3">
      <c r="A1792" s="1" t="s">
        <v>2378</v>
      </c>
      <c r="B1792" s="1">
        <v>-136</v>
      </c>
      <c r="C1792" s="1">
        <v>-136</v>
      </c>
    </row>
    <row r="1793" spans="1:3">
      <c r="A1793" s="1" t="s">
        <v>2379</v>
      </c>
      <c r="B1793" s="1">
        <v>-156</v>
      </c>
      <c r="C1793" s="1">
        <v>-156</v>
      </c>
    </row>
    <row r="1794" spans="1:3">
      <c r="A1794" s="1" t="s">
        <v>2380</v>
      </c>
      <c r="B1794" s="1">
        <v>24</v>
      </c>
      <c r="C1794" s="1">
        <v>62</v>
      </c>
    </row>
    <row r="1795" spans="1:3">
      <c r="A1795" s="1" t="s">
        <v>2381</v>
      </c>
      <c r="B1795" s="1">
        <v>4</v>
      </c>
      <c r="C1795" s="1">
        <v>62</v>
      </c>
    </row>
    <row r="1796" spans="1:3">
      <c r="A1796" s="1" t="s">
        <v>2382</v>
      </c>
      <c r="B1796" s="1">
        <v>-16</v>
      </c>
      <c r="C1796" s="1">
        <v>62</v>
      </c>
    </row>
    <row r="1797" spans="1:3">
      <c r="A1797" s="1" t="s">
        <v>2383</v>
      </c>
      <c r="B1797" s="1">
        <v>-36</v>
      </c>
      <c r="C1797" s="1">
        <v>62</v>
      </c>
    </row>
    <row r="1798" spans="1:3">
      <c r="A1798" s="1" t="s">
        <v>2384</v>
      </c>
      <c r="B1798" s="1">
        <v>-56</v>
      </c>
      <c r="C1798" s="1">
        <v>62</v>
      </c>
    </row>
    <row r="1799" spans="1:3">
      <c r="A1799" s="1" t="s">
        <v>2385</v>
      </c>
      <c r="B1799" s="1">
        <v>-76</v>
      </c>
      <c r="C1799" s="1">
        <v>62</v>
      </c>
    </row>
    <row r="1800" spans="1:3">
      <c r="A1800" s="1" t="s">
        <v>2386</v>
      </c>
      <c r="B1800" s="1">
        <v>-96</v>
      </c>
      <c r="C1800" s="1">
        <v>62</v>
      </c>
    </row>
    <row r="1801" spans="1:3">
      <c r="A1801" s="1" t="s">
        <v>2387</v>
      </c>
      <c r="B1801" s="1">
        <v>-116</v>
      </c>
      <c r="C1801" s="1">
        <v>62</v>
      </c>
    </row>
    <row r="1802" spans="1:3">
      <c r="A1802" s="1" t="s">
        <v>2388</v>
      </c>
      <c r="B1802" s="1">
        <v>-136</v>
      </c>
      <c r="C1802" s="1">
        <v>62</v>
      </c>
    </row>
    <row r="1803" spans="1:3">
      <c r="A1803" s="1" t="s">
        <v>2389</v>
      </c>
      <c r="B1803" s="1">
        <v>-156</v>
      </c>
      <c r="C1803" s="1">
        <v>62</v>
      </c>
    </row>
    <row r="1804" spans="1:3">
      <c r="A1804" s="1" t="s">
        <v>2390</v>
      </c>
      <c r="B1804" s="1">
        <v>-176</v>
      </c>
      <c r="C1804" s="1">
        <v>62</v>
      </c>
    </row>
    <row r="1805" spans="1:3">
      <c r="A1805" s="1" t="s">
        <v>2391</v>
      </c>
      <c r="B1805" s="1">
        <v>-196</v>
      </c>
      <c r="C1805" s="1">
        <v>62</v>
      </c>
    </row>
    <row r="1806" spans="1:3">
      <c r="A1806" s="1" t="s">
        <v>2392</v>
      </c>
      <c r="B1806" s="1">
        <v>-216</v>
      </c>
      <c r="C1806" s="1">
        <v>62</v>
      </c>
    </row>
    <row r="1807" spans="1:3">
      <c r="A1807" s="1" t="s">
        <v>2393</v>
      </c>
      <c r="B1807" s="1">
        <v>-236</v>
      </c>
      <c r="C1807" s="1">
        <v>62</v>
      </c>
    </row>
    <row r="1808" spans="1:3">
      <c r="A1808" s="1" t="s">
        <v>2394</v>
      </c>
      <c r="B1808" s="1">
        <v>44</v>
      </c>
      <c r="C1808" s="1">
        <v>42</v>
      </c>
    </row>
    <row r="1809" spans="1:3">
      <c r="A1809" s="1" t="s">
        <v>2395</v>
      </c>
      <c r="B1809" s="1">
        <v>44</v>
      </c>
      <c r="C1809" s="1">
        <v>22</v>
      </c>
    </row>
    <row r="1810" spans="1:3">
      <c r="A1810" s="1" t="s">
        <v>2396</v>
      </c>
      <c r="B1810" s="1">
        <v>44</v>
      </c>
      <c r="C1810" s="1">
        <v>2</v>
      </c>
    </row>
    <row r="1811" spans="1:3">
      <c r="A1811" s="1" t="s">
        <v>2397</v>
      </c>
      <c r="B1811" s="1">
        <v>44</v>
      </c>
      <c r="C1811" s="1">
        <v>-18</v>
      </c>
    </row>
    <row r="1812" spans="1:3">
      <c r="A1812" s="1" t="s">
        <v>2398</v>
      </c>
      <c r="B1812" s="1">
        <v>44</v>
      </c>
      <c r="C1812" s="1">
        <v>-38</v>
      </c>
    </row>
    <row r="1813" spans="1:3">
      <c r="A1813" s="1" t="s">
        <v>2399</v>
      </c>
      <c r="B1813" s="1">
        <v>44</v>
      </c>
      <c r="C1813" s="1">
        <v>-58</v>
      </c>
    </row>
    <row r="1814" spans="1:3">
      <c r="A1814" s="1" t="s">
        <v>2400</v>
      </c>
      <c r="B1814" s="1">
        <v>44</v>
      </c>
      <c r="C1814" s="1">
        <v>-78</v>
      </c>
    </row>
    <row r="1815" spans="1:3">
      <c r="A1815" s="1" t="s">
        <v>2401</v>
      </c>
      <c r="B1815" s="1">
        <v>44</v>
      </c>
      <c r="C1815" s="1">
        <v>-98</v>
      </c>
    </row>
    <row r="1816" spans="1:3">
      <c r="A1816" s="1" t="s">
        <v>2402</v>
      </c>
      <c r="B1816" s="1">
        <v>44</v>
      </c>
      <c r="C1816" s="1">
        <v>-118</v>
      </c>
    </row>
    <row r="1817" spans="1:3">
      <c r="A1817" s="1" t="s">
        <v>2403</v>
      </c>
      <c r="B1817" s="1">
        <v>44</v>
      </c>
      <c r="C1817" s="1">
        <v>-138</v>
      </c>
    </row>
    <row r="1818" spans="1:3">
      <c r="A1818" s="1" t="s">
        <v>2404</v>
      </c>
      <c r="B1818" s="1">
        <v>44</v>
      </c>
      <c r="C1818" s="1">
        <v>-158</v>
      </c>
    </row>
    <row r="1819" spans="1:3">
      <c r="A1819" s="1" t="s">
        <v>2405</v>
      </c>
      <c r="B1819" s="1">
        <v>44</v>
      </c>
      <c r="C1819" s="1">
        <v>-178</v>
      </c>
    </row>
    <row r="1820" spans="1:3">
      <c r="A1820" s="1" t="s">
        <v>2406</v>
      </c>
      <c r="B1820" s="1">
        <v>44</v>
      </c>
      <c r="C1820" s="1">
        <v>-198</v>
      </c>
    </row>
    <row r="1821" spans="1:3">
      <c r="A1821" s="1" t="s">
        <v>2407</v>
      </c>
      <c r="B1821" s="1">
        <v>44</v>
      </c>
      <c r="C1821" s="1">
        <v>-218</v>
      </c>
    </row>
    <row r="1822" spans="1:3">
      <c r="A1822" s="1" t="s">
        <v>2408</v>
      </c>
    </row>
    <row r="1823" spans="1:3">
      <c r="A1823" s="1" t="s">
        <v>2410</v>
      </c>
    </row>
    <row r="1824" spans="1:3">
      <c r="A1824" s="1" t="s">
        <v>2411</v>
      </c>
    </row>
    <row r="1825" spans="1:3">
      <c r="A1825" s="1" t="s">
        <v>2412</v>
      </c>
    </row>
    <row r="1826" spans="1:3">
      <c r="A1826" s="1" t="s">
        <v>2413</v>
      </c>
    </row>
    <row r="1827" spans="1:3">
      <c r="A1827" s="1" t="s">
        <v>2414</v>
      </c>
    </row>
    <row r="1828" spans="1:3">
      <c r="A1828" s="1" t="s">
        <v>2415</v>
      </c>
    </row>
    <row r="1829" spans="1:3">
      <c r="A1829" s="1" t="s">
        <v>2416</v>
      </c>
    </row>
    <row r="1830" spans="1:3">
      <c r="A1830" s="1" t="s">
        <v>2417</v>
      </c>
    </row>
    <row r="1831" spans="1:3">
      <c r="A1831" s="1" t="s">
        <v>2418</v>
      </c>
    </row>
    <row r="1832" spans="1:3">
      <c r="A1832" s="1" t="s">
        <v>2419</v>
      </c>
    </row>
    <row r="1833" spans="1:3">
      <c r="A1833" s="1" t="s">
        <v>2420</v>
      </c>
    </row>
    <row r="1834" spans="1:3">
      <c r="A1834" s="1" t="s">
        <v>2421</v>
      </c>
    </row>
    <row r="1835" spans="1:3">
      <c r="A1835" s="1" t="s">
        <v>2422</v>
      </c>
    </row>
    <row r="1836" spans="1:3">
      <c r="A1836" s="1" t="s">
        <v>2423</v>
      </c>
    </row>
    <row r="1837" spans="1:3">
      <c r="A1837" s="2" t="s">
        <v>2424</v>
      </c>
      <c r="B1837" s="2">
        <v>31</v>
      </c>
      <c r="C1837" s="2">
        <v>44</v>
      </c>
    </row>
    <row r="1838" spans="1:3">
      <c r="A1838" s="1" t="s">
        <v>2427</v>
      </c>
      <c r="B1838" s="1">
        <v>10</v>
      </c>
      <c r="C1838" s="1">
        <v>44</v>
      </c>
    </row>
    <row r="1839" spans="1:3">
      <c r="A1839" s="1" t="s">
        <v>2428</v>
      </c>
      <c r="B1839" s="1">
        <v>31</v>
      </c>
      <c r="C1839" s="1">
        <v>31</v>
      </c>
    </row>
    <row r="1840" spans="1:3">
      <c r="A1840" s="1" t="s">
        <v>2429</v>
      </c>
      <c r="B1840" s="1">
        <v>31</v>
      </c>
      <c r="C1840" s="1">
        <v>16</v>
      </c>
    </row>
    <row r="1841" spans="1:3">
      <c r="A1841" s="1" t="s">
        <v>2430</v>
      </c>
      <c r="B1841" s="1">
        <v>31</v>
      </c>
      <c r="C1841" s="1">
        <v>11</v>
      </c>
    </row>
    <row r="1842" spans="1:3">
      <c r="A1842" s="1" t="s">
        <v>2431</v>
      </c>
      <c r="B1842" s="1">
        <v>10</v>
      </c>
      <c r="C1842" s="1">
        <v>16</v>
      </c>
    </row>
    <row r="1843" spans="1:3">
      <c r="A1843" s="1" t="s">
        <v>2432</v>
      </c>
      <c r="B1843" s="1">
        <v>16</v>
      </c>
      <c r="C1843" s="1">
        <v>16</v>
      </c>
    </row>
    <row r="1844" spans="1:3">
      <c r="A1844" s="1" t="s">
        <v>2433</v>
      </c>
      <c r="B1844" s="1">
        <v>31</v>
      </c>
      <c r="C1844" s="1">
        <v>-16</v>
      </c>
    </row>
    <row r="1845" spans="1:3">
      <c r="A1845" s="1" t="s">
        <v>2434</v>
      </c>
      <c r="B1845" s="1">
        <v>10</v>
      </c>
      <c r="C1845" s="1">
        <v>4</v>
      </c>
    </row>
    <row r="1846" spans="1:3">
      <c r="A1846" s="1" t="s">
        <v>2435</v>
      </c>
      <c r="B1846" s="1">
        <v>10</v>
      </c>
      <c r="C1846" s="1">
        <v>-16</v>
      </c>
    </row>
    <row r="1847" spans="1:3">
      <c r="A1847" s="1" t="s">
        <v>2436</v>
      </c>
      <c r="B1847" s="1">
        <v>31</v>
      </c>
      <c r="C1847" s="1">
        <v>4</v>
      </c>
    </row>
    <row r="1848" spans="1:3">
      <c r="A1848" s="1" t="s">
        <v>2437</v>
      </c>
      <c r="B1848" s="1">
        <v>11</v>
      </c>
      <c r="C1848" s="1">
        <v>24</v>
      </c>
    </row>
    <row r="1849" spans="1:3">
      <c r="A1849" s="1" t="s">
        <v>2438</v>
      </c>
      <c r="B1849" s="1">
        <v>-9</v>
      </c>
      <c r="C1849" s="1">
        <v>4</v>
      </c>
    </row>
    <row r="1850" spans="1:3">
      <c r="A1850" s="1" t="s">
        <v>2439</v>
      </c>
      <c r="B1850" s="1">
        <v>-29</v>
      </c>
      <c r="C1850" s="1">
        <v>-16</v>
      </c>
    </row>
    <row r="1851" spans="1:3">
      <c r="A1851" s="1" t="s">
        <v>2440</v>
      </c>
      <c r="B1851" s="1">
        <v>-49</v>
      </c>
      <c r="C1851" s="1">
        <v>-36</v>
      </c>
    </row>
    <row r="1852" spans="1:3">
      <c r="A1852" s="1" t="s">
        <v>2441</v>
      </c>
      <c r="B1852" s="1">
        <v>-69</v>
      </c>
      <c r="C1852" s="1">
        <v>-56</v>
      </c>
    </row>
    <row r="1853" spans="1:3">
      <c r="A1853" s="1" t="s">
        <v>2442</v>
      </c>
      <c r="B1853" s="1">
        <v>-89</v>
      </c>
      <c r="C1853" s="1">
        <v>-76</v>
      </c>
    </row>
    <row r="1854" spans="1:3">
      <c r="A1854" s="1" t="s">
        <v>2443</v>
      </c>
      <c r="B1854" s="1">
        <v>-109</v>
      </c>
      <c r="C1854" s="1">
        <v>-96</v>
      </c>
    </row>
    <row r="1855" spans="1:3">
      <c r="A1855" s="1" t="s">
        <v>2444</v>
      </c>
      <c r="B1855" s="1">
        <v>11</v>
      </c>
      <c r="C1855" s="1">
        <v>11</v>
      </c>
    </row>
    <row r="1856" spans="1:3">
      <c r="A1856" s="1" t="s">
        <v>2445</v>
      </c>
      <c r="B1856" s="1">
        <v>-9</v>
      </c>
      <c r="C1856" s="1">
        <v>-9</v>
      </c>
    </row>
    <row r="1857" spans="1:3">
      <c r="A1857" s="1" t="s">
        <v>2446</v>
      </c>
      <c r="B1857" s="1">
        <v>-29</v>
      </c>
      <c r="C1857" s="1">
        <v>-29</v>
      </c>
    </row>
    <row r="1858" spans="1:3">
      <c r="A1858" s="1" t="s">
        <v>2447</v>
      </c>
      <c r="B1858" s="1">
        <v>-49</v>
      </c>
      <c r="C1858" s="1">
        <v>-49</v>
      </c>
    </row>
    <row r="1859" spans="1:3">
      <c r="A1859" s="1" t="s">
        <v>2448</v>
      </c>
      <c r="B1859" s="1">
        <v>-69</v>
      </c>
      <c r="C1859" s="1">
        <v>-69</v>
      </c>
    </row>
    <row r="1860" spans="1:3">
      <c r="A1860" s="1" t="s">
        <v>2449</v>
      </c>
      <c r="B1860" s="1">
        <v>-89</v>
      </c>
      <c r="C1860" s="1">
        <v>-89</v>
      </c>
    </row>
    <row r="1861" spans="1:3">
      <c r="A1861" s="1" t="s">
        <v>2450</v>
      </c>
      <c r="B1861" s="1">
        <v>-109</v>
      </c>
      <c r="C1861" s="1">
        <v>-109</v>
      </c>
    </row>
    <row r="1862" spans="1:3">
      <c r="A1862" s="1" t="s">
        <v>2451</v>
      </c>
      <c r="B1862" s="1">
        <v>-129</v>
      </c>
      <c r="C1862" s="1">
        <v>-129</v>
      </c>
    </row>
    <row r="1863" spans="1:3">
      <c r="A1863" s="1" t="s">
        <v>2452</v>
      </c>
      <c r="B1863" s="1">
        <v>-149</v>
      </c>
      <c r="C1863" s="1">
        <v>-149</v>
      </c>
    </row>
    <row r="1864" spans="1:3">
      <c r="A1864" s="1" t="s">
        <v>2453</v>
      </c>
      <c r="B1864" s="1">
        <v>-169</v>
      </c>
      <c r="C1864" s="1">
        <v>-169</v>
      </c>
    </row>
    <row r="1865" spans="1:3">
      <c r="A1865" s="1" t="s">
        <v>2454</v>
      </c>
      <c r="B1865" s="1">
        <v>11</v>
      </c>
      <c r="C1865" s="1">
        <v>44</v>
      </c>
    </row>
    <row r="1866" spans="1:3">
      <c r="A1866" s="1" t="s">
        <v>2455</v>
      </c>
      <c r="B1866" s="1">
        <v>-9</v>
      </c>
      <c r="C1866" s="1">
        <v>44</v>
      </c>
    </row>
    <row r="1867" spans="1:3">
      <c r="A1867" s="1" t="s">
        <v>2456</v>
      </c>
      <c r="B1867" s="1">
        <v>-29</v>
      </c>
      <c r="C1867" s="1">
        <v>44</v>
      </c>
    </row>
    <row r="1868" spans="1:3">
      <c r="A1868" s="1" t="s">
        <v>2457</v>
      </c>
      <c r="B1868" s="1">
        <v>-49</v>
      </c>
      <c r="C1868" s="1">
        <v>44</v>
      </c>
    </row>
    <row r="1869" spans="1:3">
      <c r="A1869" s="1" t="s">
        <v>2458</v>
      </c>
      <c r="B1869" s="1">
        <v>-69</v>
      </c>
      <c r="C1869" s="1">
        <v>44</v>
      </c>
    </row>
    <row r="1870" spans="1:3">
      <c r="A1870" s="1" t="s">
        <v>2459</v>
      </c>
      <c r="B1870" s="1">
        <v>-89</v>
      </c>
      <c r="C1870" s="1">
        <v>44</v>
      </c>
    </row>
    <row r="1871" spans="1:3">
      <c r="A1871" s="1" t="s">
        <v>2460</v>
      </c>
      <c r="B1871" s="1">
        <v>-109</v>
      </c>
      <c r="C1871" s="1">
        <v>44</v>
      </c>
    </row>
    <row r="1872" spans="1:3">
      <c r="A1872" s="1" t="s">
        <v>2461</v>
      </c>
      <c r="B1872" s="1">
        <v>-129</v>
      </c>
      <c r="C1872" s="1">
        <v>44</v>
      </c>
    </row>
    <row r="1873" spans="1:3">
      <c r="A1873" s="1" t="s">
        <v>2462</v>
      </c>
      <c r="B1873" s="1">
        <v>-149</v>
      </c>
      <c r="C1873" s="1">
        <v>44</v>
      </c>
    </row>
    <row r="1874" spans="1:3">
      <c r="A1874" s="1" t="s">
        <v>2463</v>
      </c>
      <c r="B1874" s="1">
        <v>-169</v>
      </c>
      <c r="C1874" s="1">
        <v>44</v>
      </c>
    </row>
    <row r="1875" spans="1:3">
      <c r="A1875" s="1" t="s">
        <v>2464</v>
      </c>
      <c r="B1875" s="1">
        <v>-189</v>
      </c>
      <c r="C1875" s="1">
        <v>44</v>
      </c>
    </row>
    <row r="1876" spans="1:3">
      <c r="A1876" s="1" t="s">
        <v>2465</v>
      </c>
      <c r="B1876" s="1">
        <v>-209</v>
      </c>
      <c r="C1876" s="1">
        <v>44</v>
      </c>
    </row>
    <row r="1877" spans="1:3">
      <c r="A1877" s="1" t="s">
        <v>2466</v>
      </c>
      <c r="B1877" s="1">
        <v>-229</v>
      </c>
      <c r="C1877" s="1">
        <v>44</v>
      </c>
    </row>
    <row r="1878" spans="1:3">
      <c r="A1878" s="1" t="s">
        <v>2467</v>
      </c>
      <c r="B1878" s="1">
        <v>-249</v>
      </c>
      <c r="C1878" s="1">
        <v>44</v>
      </c>
    </row>
    <row r="1879" spans="1:3">
      <c r="A1879" s="1" t="s">
        <v>2468</v>
      </c>
      <c r="B1879" s="1">
        <v>31</v>
      </c>
      <c r="C1879" s="1">
        <v>24</v>
      </c>
    </row>
    <row r="1880" spans="1:3">
      <c r="A1880" s="1" t="s">
        <v>2469</v>
      </c>
      <c r="B1880" s="1">
        <v>31</v>
      </c>
      <c r="C1880" s="1">
        <v>4</v>
      </c>
    </row>
    <row r="1881" spans="1:3">
      <c r="A1881" s="1" t="s">
        <v>2470</v>
      </c>
      <c r="B1881" s="1">
        <v>31</v>
      </c>
      <c r="C1881" s="1">
        <v>-16</v>
      </c>
    </row>
    <row r="1882" spans="1:3">
      <c r="A1882" s="1" t="s">
        <v>2471</v>
      </c>
      <c r="B1882" s="1">
        <v>31</v>
      </c>
      <c r="C1882" s="1">
        <v>-36</v>
      </c>
    </row>
    <row r="1883" spans="1:3">
      <c r="A1883" s="1" t="s">
        <v>2472</v>
      </c>
      <c r="B1883" s="1">
        <v>31</v>
      </c>
      <c r="C1883" s="1">
        <v>-56</v>
      </c>
    </row>
    <row r="1884" spans="1:3">
      <c r="A1884" s="1" t="s">
        <v>2473</v>
      </c>
      <c r="B1884" s="1">
        <v>31</v>
      </c>
      <c r="C1884" s="1">
        <v>-76</v>
      </c>
    </row>
    <row r="1885" spans="1:3">
      <c r="A1885" s="1" t="s">
        <v>2474</v>
      </c>
      <c r="B1885" s="1">
        <v>31</v>
      </c>
      <c r="C1885" s="1">
        <v>-96</v>
      </c>
    </row>
    <row r="1886" spans="1:3">
      <c r="A1886" s="1" t="s">
        <v>2475</v>
      </c>
      <c r="B1886" s="1">
        <v>31</v>
      </c>
      <c r="C1886" s="1">
        <v>-116</v>
      </c>
    </row>
    <row r="1887" spans="1:3">
      <c r="A1887" s="1" t="s">
        <v>2476</v>
      </c>
      <c r="B1887" s="1">
        <v>31</v>
      </c>
      <c r="C1887" s="1">
        <v>-136</v>
      </c>
    </row>
    <row r="1888" spans="1:3">
      <c r="A1888" s="1" t="s">
        <v>2477</v>
      </c>
      <c r="B1888" s="1">
        <v>31</v>
      </c>
      <c r="C1888" s="1">
        <v>-156</v>
      </c>
    </row>
    <row r="1889" spans="1:3">
      <c r="A1889" s="1" t="s">
        <v>2478</v>
      </c>
      <c r="B1889" s="1">
        <v>31</v>
      </c>
      <c r="C1889" s="1">
        <v>-176</v>
      </c>
    </row>
    <row r="1890" spans="1:3">
      <c r="A1890" s="1" t="s">
        <v>2479</v>
      </c>
      <c r="B1890" s="1">
        <v>31</v>
      </c>
      <c r="C1890" s="1">
        <v>-196</v>
      </c>
    </row>
    <row r="1891" spans="1:3">
      <c r="A1891" s="1" t="s">
        <v>2480</v>
      </c>
      <c r="B1891" s="1">
        <v>31</v>
      </c>
      <c r="C1891" s="1">
        <v>-216</v>
      </c>
    </row>
    <row r="1892" spans="1:3">
      <c r="A1892" s="1" t="s">
        <v>2481</v>
      </c>
      <c r="B1892" s="1">
        <v>31</v>
      </c>
      <c r="C1892" s="1">
        <v>-236</v>
      </c>
    </row>
    <row r="1893" spans="1:3">
      <c r="A1893" s="1" t="s">
        <v>2482</v>
      </c>
    </row>
    <row r="1894" spans="1:3">
      <c r="A1894" s="1" t="s">
        <v>2484</v>
      </c>
    </row>
    <row r="1895" spans="1:3">
      <c r="A1895" s="1" t="s">
        <v>2485</v>
      </c>
    </row>
    <row r="1896" spans="1:3">
      <c r="A1896" s="1" t="s">
        <v>2486</v>
      </c>
    </row>
    <row r="1897" spans="1:3">
      <c r="A1897" s="1" t="s">
        <v>2487</v>
      </c>
    </row>
    <row r="1898" spans="1:3">
      <c r="A1898" s="1" t="s">
        <v>2488</v>
      </c>
    </row>
    <row r="1899" spans="1:3">
      <c r="A1899" s="1" t="s">
        <v>2489</v>
      </c>
    </row>
    <row r="1900" spans="1:3">
      <c r="A1900" s="1" t="s">
        <v>2490</v>
      </c>
    </row>
    <row r="1901" spans="1:3">
      <c r="A1901" s="1" t="s">
        <v>2491</v>
      </c>
    </row>
    <row r="1902" spans="1:3">
      <c r="A1902" s="1" t="s">
        <v>2492</v>
      </c>
    </row>
    <row r="1903" spans="1:3">
      <c r="A1903" s="1" t="s">
        <v>2493</v>
      </c>
    </row>
    <row r="1904" spans="1:3">
      <c r="A1904" s="1" t="s">
        <v>2494</v>
      </c>
    </row>
    <row r="1905" spans="1:1">
      <c r="A1905" s="1" t="s">
        <v>2495</v>
      </c>
    </row>
    <row r="1906" spans="1:1">
      <c r="A1906" s="1" t="s">
        <v>2496</v>
      </c>
    </row>
    <row r="1907" spans="1:1">
      <c r="A1907" s="1" t="s">
        <v>2497</v>
      </c>
    </row>
  </sheetData>
  <dataValidations count="1">
    <dataValidation allowBlank="1" showInputMessage="1" showErrorMessage="1" sqref="A1:C1 E1:H1" xr:uid="{00000000-0002-0000-0800-000000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2026-08-05T13:28:09Z</dcterms:created>
  <dcterms:modified xsi:type="dcterms:W3CDTF">2026-09-15T12:23:31Z</dcterms:modified>
  <cp:category/>
  <cp:contentStatus/>
</cp:coreProperties>
</file>